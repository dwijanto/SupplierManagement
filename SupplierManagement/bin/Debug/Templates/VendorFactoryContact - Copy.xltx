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hidePivotFieldList="1" defaultThemeVersion="124226"/>
  <bookViews>
    <workbookView xWindow="240" yWindow="105" windowWidth="14805" windowHeight="8010"/>
  </bookViews>
  <sheets>
    <sheet name="Summary (ByAddress)" sheetId="7" r:id="rId1"/>
    <sheet name="Summary(ByContact)" sheetId="6" r:id="rId2"/>
    <sheet name="Rawdata" sheetId="1" r:id="rId3"/>
  </sheets>
  <calcPr calcId="125725"/>
  <pivotCaches>
    <pivotCache cacheId="2" r:id="rId4"/>
  </pivotCaches>
</workbook>
</file>

<file path=xl/sharedStrings.xml><?xml version="1.0" encoding="utf-8"?>
<sst xmlns="http://schemas.openxmlformats.org/spreadsheetml/2006/main" count="121" uniqueCount="73">
  <si>
    <t>contactname</t>
  </si>
  <si>
    <t>title</t>
  </si>
  <si>
    <t>email</t>
  </si>
  <si>
    <t>officeph</t>
  </si>
  <si>
    <t>factoryph</t>
  </si>
  <si>
    <t>officemb</t>
  </si>
  <si>
    <t>factorymb</t>
  </si>
  <si>
    <t>Elaine</t>
  </si>
  <si>
    <t>elaine.ho@allan.com.hk</t>
  </si>
  <si>
    <t>852 2103 7161</t>
  </si>
  <si>
    <t>imsfe@ms8.hinet.net</t>
  </si>
  <si>
    <t>Ben</t>
  </si>
  <si>
    <t xml:space="preserve"> ben.li@homeculture.com</t>
  </si>
  <si>
    <t>Gloria KWOK</t>
  </si>
  <si>
    <t>gloriakwok@tech-link.com.hk</t>
  </si>
  <si>
    <t xml:space="preserve">Mrs. Bonnie xu </t>
  </si>
  <si>
    <t>bonnie.xu@jinsunway.com</t>
  </si>
  <si>
    <t>86 75529688766</t>
  </si>
  <si>
    <t>chinesename</t>
  </si>
  <si>
    <t>englishname</t>
  </si>
  <si>
    <t>englishaddress</t>
  </si>
  <si>
    <t>Address name Chinese</t>
  </si>
  <si>
    <t>江门市盈德钢化玻璃制品有限公司</t>
  </si>
  <si>
    <t>8-9# Section B Yaocun Industrial Zone, Jiangmen,Guangdong, China  529000</t>
  </si>
  <si>
    <t>中國江门市蓬江区杜阮镇瑶村工业区B区8-9号</t>
  </si>
  <si>
    <t>鴨都喇利</t>
  </si>
  <si>
    <t>東莞福登機電有限公司</t>
  </si>
  <si>
    <t>Xiaotang Industrial Park, Dongkeng Town, Dongguan, Guangdong, China, 523455</t>
  </si>
  <si>
    <t>長豐恆溫器廠有限公司</t>
  </si>
  <si>
    <t>Chang Feng Industrial Park, Zone 68, Bao An, Shenzhen, China</t>
  </si>
  <si>
    <t>中國深圳市寶安區68區畏豐工業區</t>
  </si>
  <si>
    <t>亞倫電器製造有限公司</t>
  </si>
  <si>
    <t>Amy CHENG</t>
  </si>
  <si>
    <t>2665 2868</t>
  </si>
  <si>
    <t>amy@jinsunway.com</t>
  </si>
  <si>
    <t>Director</t>
  </si>
  <si>
    <t>Manager</t>
  </si>
  <si>
    <t>852 2103 7162</t>
  </si>
  <si>
    <t>852 2103 7163</t>
  </si>
  <si>
    <t>852 2103 7164</t>
  </si>
  <si>
    <t>2665 2869</t>
  </si>
  <si>
    <t>2665 2861</t>
  </si>
  <si>
    <t>2665 2862</t>
  </si>
  <si>
    <t>2665 2864</t>
  </si>
  <si>
    <t>2665 2866</t>
  </si>
  <si>
    <t>2665 2812</t>
  </si>
  <si>
    <t>Row Labels</t>
  </si>
  <si>
    <t>(blank)</t>
  </si>
  <si>
    <t>Grand Total</t>
  </si>
  <si>
    <t>country</t>
  </si>
  <si>
    <t>China</t>
  </si>
  <si>
    <t>Korea</t>
  </si>
  <si>
    <t>HOLLYLAND COMPANY LIMITED</t>
  </si>
  <si>
    <t>HOLLYLAND</t>
  </si>
  <si>
    <t>HING WAH</t>
  </si>
  <si>
    <t>J&amp;P HONG KONG INDUSTRIAL CO LTD</t>
  </si>
  <si>
    <t>J&amp;P HONG KONG</t>
  </si>
  <si>
    <t>MEYER ALUMINIUM LTD</t>
  </si>
  <si>
    <t>MEYER</t>
  </si>
  <si>
    <t>WIK FAR EAST LTD</t>
  </si>
  <si>
    <t>WIK</t>
  </si>
  <si>
    <t>spm</t>
  </si>
  <si>
    <t>pm</t>
  </si>
  <si>
    <t>HING WAH LTD</t>
  </si>
  <si>
    <t>producttype</t>
  </si>
  <si>
    <t>中國東莞東坑鎮小塘工業區A</t>
  </si>
  <si>
    <t>中國東莞東坑鎮小塘工業區B</t>
  </si>
  <si>
    <t>(All)</t>
  </si>
  <si>
    <t>imsfe</t>
  </si>
  <si>
    <t>亞倫電器製造有限公司B</t>
  </si>
  <si>
    <t>ABC, Dongkeng Town, Dongguan, Guangdong, China, 523455</t>
  </si>
  <si>
    <t>Supplier contact summary - By Address</t>
  </si>
  <si>
    <t>Supplier contact summary - By Contact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</si>
</sst>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name val="Cambria"/>
      <family val="1"/>
      <scheme val="major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2093.410050578706" missingItemsLimit="0" createdVersion="3" refreshedVersion="3" minRefreshableVersion="3" recordCount="8">
  <cacheSource type="worksheet">
    <worksheetSource name="db"/>
  </cacheSource>
  <cacheFields count="23">
    <cacheField name="vendorcode" numFmtId="0">
      <sharedItems containsSemiMixedTypes="0" containsString="0" containsNumber="1" containsInteger="1" minValue="10002393" maxValue="10029063"/>
    </cacheField>
    <cacheField name="vendorname" numFmtId="0">
      <sharedItems/>
    </cacheField>
    <cacheField name="shortname" numFmtId="0">
      <sharedItems count="5">
        <s v="HOLLYLAND"/>
        <s v="HING WAH"/>
        <s v="J&amp;P HONG KONG"/>
        <s v="MEYER"/>
        <s v="WIK"/>
      </sharedItems>
    </cacheField>
    <cacheField name="spm" numFmtId="0">
      <sharedItems count="4">
        <s v="TIK CHUN KWOK"/>
        <s v="OLIVIER VALANCE"/>
        <s v="WHAM WAN"/>
        <s v="LILY LI"/>
      </sharedItems>
    </cacheField>
    <cacheField name="pm" numFmtId="0">
      <sharedItems count="5">
        <s v="EVA LAI"/>
        <s v="KITTY LAI"/>
        <s v="MAVERICK LAU"/>
        <s v="JAMICO CHAN"/>
        <s v="WENDY HO"/>
      </sharedItems>
    </cacheField>
    <cacheField name="producttype" numFmtId="0">
      <sharedItems count="2">
        <s v="CP"/>
        <s v="FP"/>
      </sharedItems>
    </cacheField>
    <cacheField name="statusname" numFmtId="0">
      <sharedItems/>
    </cacheField>
    <cacheField name="customname" numFmtId="0">
      <sharedItems/>
    </cacheField>
    <cacheField name="chinesename" numFmtId="0">
      <sharedItems count="6">
        <s v="江门市盈德钢化玻璃制品有限公司"/>
        <s v="鴨都喇利"/>
        <s v="東莞福登機電有限公司"/>
        <s v="長豐恆溫器廠有限公司"/>
        <s v="亞倫電器製造有限公司"/>
        <s v="亞倫電器製造有限公司B"/>
      </sharedItems>
    </cacheField>
    <cacheField name="englishname" numFmtId="0">
      <sharedItems count="5">
        <s v="HOLLYLAND COMPANY LIMITED"/>
        <s v="HING WAH LTD"/>
        <s v="J&amp;P HONG KONG INDUSTRIAL CO LTD"/>
        <s v="MEYER ALUMINIUM LTD"/>
        <s v="WIK FAR EAST LTD"/>
      </sharedItems>
    </cacheField>
    <cacheField name="englishaddress" numFmtId="0">
      <sharedItems containsBlank="1" count="5">
        <s v="8-9# Section B Yaocun Industrial Zone, Jiangmen,Guangdong, China  529000"/>
        <m/>
        <s v="Chang Feng Industrial Park, Zone 68, Bao An, Shenzhen, China"/>
        <s v="Xiaotang Industrial Park, Dongkeng Town, Dongguan, Guangdong, China, 523455"/>
        <s v="ABC, Dongkeng Town, Dongguan, Guangdong, China, 523455"/>
      </sharedItems>
    </cacheField>
    <cacheField name="Address name Chinese" numFmtId="0">
      <sharedItems containsBlank="1" count="5">
        <s v="中國江门市蓬江区杜阮镇瑶村工业区B区8-9号"/>
        <m/>
        <s v="中國深圳市寶安區68區畏豐工業區"/>
        <s v="中國東莞東坑鎮小塘工業區B"/>
        <s v="中國東莞東坑鎮小塘工業區A"/>
      </sharedItems>
    </cacheField>
    <cacheField name="area" numFmtId="0">
      <sharedItems containsBlank="1"/>
    </cacheField>
    <cacheField name="city" numFmtId="0">
      <sharedItems/>
    </cacheField>
    <cacheField name="province" numFmtId="0">
      <sharedItems/>
    </cacheField>
    <cacheField name="country" numFmtId="0">
      <sharedItems count="2">
        <s v="China"/>
        <s v="Korea"/>
      </sharedItems>
    </cacheField>
    <cacheField name="contactname" numFmtId="0">
      <sharedItems count="6">
        <s v="Elaine"/>
        <s v="imsfe"/>
        <s v="Ben"/>
        <s v="Gloria KWOK"/>
        <s v="Mrs. Bonnie xu "/>
        <s v="Amy CHENG"/>
      </sharedItems>
    </cacheField>
    <cacheField name="title" numFmtId="0">
      <sharedItems count="2">
        <s v="Director"/>
        <s v="Manager"/>
      </sharedItems>
    </cacheField>
    <cacheField name="email" numFmtId="0">
      <sharedItems count="6">
        <s v="elaine.ho@allan.com.hk"/>
        <s v="imsfe@ms8.hinet.net"/>
        <s v=" ben.li@homeculture.com"/>
        <s v="gloriakwok@tech-link.com.hk"/>
        <s v="bonnie.xu@jinsunway.com"/>
        <s v="amy@jinsunway.com"/>
      </sharedItems>
    </cacheField>
    <cacheField name="officeph" numFmtId="0">
      <sharedItems count="6">
        <s v="852 2103 7161"/>
        <s v="852 2103 7162"/>
        <s v="852 2103 7163"/>
        <s v="852 2103 7164"/>
        <s v="86 75529688766"/>
        <s v="2665 2868"/>
      </sharedItems>
    </cacheField>
    <cacheField name="factoryph" numFmtId="0">
      <sharedItems containsBlank="1" count="3">
        <m/>
        <s v="2665 2862"/>
        <s v="2665 2812"/>
      </sharedItems>
    </cacheField>
    <cacheField name="officemb" numFmtId="0">
      <sharedItems containsBlank="1" count="3">
        <s v="2665 2869"/>
        <s v="2665 2861"/>
        <m/>
      </sharedItems>
    </cacheField>
    <cacheField name="factorymb" numFmtId="0">
      <sharedItems containsBlank="1" count="3">
        <m/>
        <s v="2665 2864"/>
        <s v="2665 2866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n v="10002393"/>
    <s v="HOLLYLAND COMPANY LIMITED"/>
    <x v="0"/>
    <x v="0"/>
    <x v="0"/>
    <x v="0"/>
    <s v="Active supplier"/>
    <s v="廣東長盈電器有限公司"/>
    <x v="0"/>
    <x v="0"/>
    <x v="0"/>
    <x v="0"/>
    <m/>
    <s v="Jiangmen"/>
    <s v="Guangdong"/>
    <x v="0"/>
    <x v="0"/>
    <x v="0"/>
    <x v="0"/>
    <x v="0"/>
    <x v="0"/>
    <x v="0"/>
    <x v="0"/>
  </r>
  <r>
    <n v="10021150"/>
    <s v="HING WAH"/>
    <x v="1"/>
    <x v="1"/>
    <x v="1"/>
    <x v="1"/>
    <s v="Active supplier"/>
    <s v="華倫電器廠"/>
    <x v="1"/>
    <x v="1"/>
    <x v="1"/>
    <x v="1"/>
    <s v="XILIN"/>
    <s v="CHANGZHOU"/>
    <s v="Xiamen"/>
    <x v="0"/>
    <x v="1"/>
    <x v="1"/>
    <x v="1"/>
    <x v="1"/>
    <x v="0"/>
    <x v="1"/>
    <x v="0"/>
  </r>
  <r>
    <n v="10008206"/>
    <s v="J&amp;P HONG KONG INDUSTRIAL CO LTD"/>
    <x v="2"/>
    <x v="2"/>
    <x v="2"/>
    <x v="1"/>
    <s v="Active supplier"/>
    <s v="百年實業(中國)家電廠"/>
    <x v="2"/>
    <x v="2"/>
    <x v="1"/>
    <x v="1"/>
    <s v="ZHONGLOU"/>
    <s v="CHANGZHOU"/>
    <s v="Guangzhou"/>
    <x v="0"/>
    <x v="2"/>
    <x v="1"/>
    <x v="2"/>
    <x v="2"/>
    <x v="1"/>
    <x v="2"/>
    <x v="1"/>
  </r>
  <r>
    <n v="10020010"/>
    <s v="MEYER ALUMINIUM LTD"/>
    <x v="3"/>
    <x v="2"/>
    <x v="3"/>
    <x v="0"/>
    <s v="Active supplier"/>
    <s v="廣州市拓璞電器有限公司"/>
    <x v="3"/>
    <x v="3"/>
    <x v="2"/>
    <x v="2"/>
    <s v="CHANGZHOU"/>
    <s v="CHANGZHOU"/>
    <s v="Shanghai"/>
    <x v="0"/>
    <x v="3"/>
    <x v="1"/>
    <x v="3"/>
    <x v="3"/>
    <x v="0"/>
    <x v="2"/>
    <x v="2"/>
  </r>
  <r>
    <n v="10029063"/>
    <s v="WIK FAR EAST LTD"/>
    <x v="4"/>
    <x v="3"/>
    <x v="4"/>
    <x v="1"/>
    <s v="Active supplier"/>
    <s v="清溪光榮塑膠五金廠"/>
    <x v="4"/>
    <x v="4"/>
    <x v="3"/>
    <x v="3"/>
    <s v="ZHONGLOU"/>
    <s v="CHANGZHOU"/>
    <s v="Guangzhou"/>
    <x v="1"/>
    <x v="4"/>
    <x v="1"/>
    <x v="4"/>
    <x v="4"/>
    <x v="0"/>
    <x v="2"/>
    <x v="0"/>
  </r>
  <r>
    <n v="10029063"/>
    <s v="WIK FAR EAST LTD"/>
    <x v="4"/>
    <x v="3"/>
    <x v="4"/>
    <x v="1"/>
    <s v="Active supplier"/>
    <s v="清溪光榮塑膠五金廠"/>
    <x v="4"/>
    <x v="4"/>
    <x v="3"/>
    <x v="3"/>
    <s v="ZHONGLOU"/>
    <s v="CHANGZHOU"/>
    <s v="Guangzhou"/>
    <x v="1"/>
    <x v="5"/>
    <x v="1"/>
    <x v="5"/>
    <x v="5"/>
    <x v="2"/>
    <x v="2"/>
    <x v="0"/>
  </r>
  <r>
    <n v="10029063"/>
    <s v="WIK FAR EAST LTD"/>
    <x v="4"/>
    <x v="3"/>
    <x v="4"/>
    <x v="1"/>
    <s v="Active supplier"/>
    <s v="清溪光榮塑膠五金廠"/>
    <x v="5"/>
    <x v="4"/>
    <x v="4"/>
    <x v="4"/>
    <s v="ZHONGLOU"/>
    <s v="CHANGZHOU"/>
    <s v="Guangzhou"/>
    <x v="0"/>
    <x v="4"/>
    <x v="1"/>
    <x v="4"/>
    <x v="4"/>
    <x v="0"/>
    <x v="2"/>
    <x v="0"/>
  </r>
  <r>
    <n v="10029063"/>
    <s v="WIK FAR EAST LTD"/>
    <x v="4"/>
    <x v="3"/>
    <x v="4"/>
    <x v="1"/>
    <s v="Active supplier"/>
    <s v="清溪光榮塑膠五金廠"/>
    <x v="5"/>
    <x v="4"/>
    <x v="4"/>
    <x v="4"/>
    <s v="ZHONGLOU"/>
    <s v="CHANGZHOU"/>
    <s v="Guangzhou"/>
    <x v="0"/>
    <x v="5"/>
    <x v="1"/>
    <x v="5"/>
    <x v="5"/>
    <x v="2"/>
    <x v="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7:F14" firstHeaderRow="1" firstDataRow="1" firstDataCol="6" rowPageCount="3" colPageCount="1"/>
  <pivotFields count="23">
    <pivotField showAll="0"/>
    <pivotField showAll="0"/>
    <pivotField axis="axisRow" outline="0" showAll="0" defaultSubtotal="0">
      <items count="5">
        <item x="1"/>
        <item x="0"/>
        <item x="2"/>
        <item x="3"/>
        <item x="4"/>
      </items>
    </pivotField>
    <pivotField axis="axisPage" showAll="0">
      <items count="5">
        <item x="3"/>
        <item x="1"/>
        <item x="0"/>
        <item x="2"/>
        <item t="default"/>
      </items>
    </pivotField>
    <pivotField axis="axisPage" showAll="0">
      <items count="6">
        <item x="0"/>
        <item x="3"/>
        <item x="1"/>
        <item x="2"/>
        <item x="4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showAll="0" defaultSubtotal="0"/>
    <pivotField axis="axisRow" outline="0" showAll="0" defaultSubtotal="0">
      <items count="6">
        <item x="4"/>
        <item x="2"/>
        <item x="0"/>
        <item x="3"/>
        <item x="1"/>
        <item x="5"/>
      </items>
    </pivotField>
    <pivotField axis="axisRow" outline="0" showAll="0" defaultSubtotal="0">
      <items count="5">
        <item x="1"/>
        <item x="0"/>
        <item x="2"/>
        <item x="3"/>
        <item x="4"/>
      </items>
    </pivotField>
    <pivotField axis="axisRow" showAll="0">
      <items count="6">
        <item x="0"/>
        <item x="2"/>
        <item x="3"/>
        <item x="1"/>
        <item x="4"/>
        <item t="default"/>
      </items>
    </pivotField>
    <pivotField axis="axisRow" outline="0" showAll="0" defaultSubtotal="0">
      <items count="5">
        <item x="0"/>
        <item x="2"/>
        <item x="1"/>
        <item x="3"/>
        <item x="4"/>
      </items>
    </pivotField>
    <pivotField showAll="0"/>
    <pivotField showAll="0"/>
    <pivotField showAll="0"/>
    <pivotField axis="axisRow" outline="0" showAll="0" defaultSubtotal="0">
      <items count="2">
        <item x="0"/>
        <item x="1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6">
    <field x="2"/>
    <field x="15"/>
    <field x="8"/>
    <field x="9"/>
    <field x="11"/>
    <field x="10"/>
  </rowFields>
  <rowItems count="7">
    <i>
      <x/>
      <x/>
      <x v="4"/>
      <x/>
      <x v="2"/>
      <x v="3"/>
    </i>
    <i>
      <x v="1"/>
      <x/>
      <x v="2"/>
      <x v="1"/>
      <x/>
      <x/>
    </i>
    <i>
      <x v="2"/>
      <x/>
      <x v="1"/>
      <x v="2"/>
      <x v="2"/>
      <x v="3"/>
    </i>
    <i>
      <x v="3"/>
      <x/>
      <x v="3"/>
      <x v="3"/>
      <x v="1"/>
      <x v="1"/>
    </i>
    <i>
      <x v="4"/>
      <x/>
      <x v="5"/>
      <x v="4"/>
      <x v="4"/>
      <x v="4"/>
    </i>
    <i r="1">
      <x v="1"/>
      <x/>
      <x v="4"/>
      <x v="3"/>
      <x v="2"/>
    </i>
    <i t="grand">
      <x/>
    </i>
  </rowItems>
  <colItems count="1">
    <i/>
  </colItems>
  <pageFields count="3">
    <pageField fld="5" hier="-1"/>
    <pageField fld="3" hier="-1"/>
    <pageField fld="4" hier="-1"/>
  </page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7:I16" firstHeaderRow="1" firstDataRow="1" firstDataCol="9" rowPageCount="3" colPageCount="1"/>
  <pivotFields count="23">
    <pivotField showAll="0"/>
    <pivotField showAll="0"/>
    <pivotField axis="axisRow" outline="0" showAll="0" defaultSubtotal="0">
      <items count="5">
        <item x="1"/>
        <item x="0"/>
        <item x="2"/>
        <item x="3"/>
        <item x="4"/>
      </items>
    </pivotField>
    <pivotField axis="axisPage" showAll="0">
      <items count="5">
        <item x="3"/>
        <item x="1"/>
        <item x="0"/>
        <item x="2"/>
        <item t="default"/>
      </items>
    </pivotField>
    <pivotField axis="axisPage" showAll="0">
      <items count="6">
        <item x="0"/>
        <item x="3"/>
        <item x="1"/>
        <item x="2"/>
        <item x="4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showAll="0" defaultSubtotal="0"/>
    <pivotField outline="0" showAll="0" defaultSubtotal="0"/>
    <pivotField outline="0" showAll="0" defaultSubtotal="0"/>
    <pivotField showAll="0"/>
    <pivotField outline="0" showAll="0" defaultSubtotal="0"/>
    <pivotField showAll="0"/>
    <pivotField showAll="0"/>
    <pivotField showAll="0"/>
    <pivotField axis="axisRow" outline="0" showAll="0" defaultSubtotal="0">
      <items count="2">
        <item x="0"/>
        <item x="1"/>
      </items>
    </pivotField>
    <pivotField axis="axisRow" outline="0" showAll="0" defaultSubtotal="0">
      <items count="6">
        <item x="5"/>
        <item x="2"/>
        <item x="0"/>
        <item x="3"/>
        <item x="4"/>
        <item x="1"/>
      </items>
    </pivotField>
    <pivotField axis="axisRow" outline="0" showAll="0" defaultSubtotal="0">
      <items count="2">
        <item x="0"/>
        <item x="1"/>
      </items>
    </pivotField>
    <pivotField axis="axisRow" outline="0" showAll="0" defaultSubtotal="0">
      <items count="6">
        <item x="2"/>
        <item x="5"/>
        <item x="4"/>
        <item x="0"/>
        <item x="3"/>
        <item x="1"/>
      </items>
    </pivotField>
    <pivotField axis="axisRow" outline="0" showAll="0" defaultSubtotal="0">
      <items count="6">
        <item x="5"/>
        <item x="0"/>
        <item x="1"/>
        <item x="2"/>
        <item x="3"/>
        <item x="4"/>
      </items>
    </pivotField>
    <pivotField axis="axisRow" outline="0" showAll="0" defaultSubtotal="0">
      <items count="3">
        <item x="2"/>
        <item x="1"/>
        <item x="0"/>
      </items>
    </pivotField>
    <pivotField axis="axisRow" outline="0" showAll="0" defaultSubtotal="0">
      <items count="3">
        <item x="1"/>
        <item x="0"/>
        <item x="2"/>
      </items>
    </pivotField>
    <pivotField axis="axisRow" outline="0" showAll="0" defaultSubtotal="0">
      <items count="3">
        <item x="1"/>
        <item x="2"/>
        <item x="0"/>
      </items>
    </pivotField>
  </pivotFields>
  <rowFields count="9">
    <field x="2"/>
    <field x="16"/>
    <field x="17"/>
    <field x="18"/>
    <field x="19"/>
    <field x="20"/>
    <field x="21"/>
    <field x="22"/>
    <field x="15"/>
  </rowFields>
  <rowItems count="9">
    <i>
      <x/>
      <x v="5"/>
      <x v="1"/>
      <x v="5"/>
      <x v="2"/>
      <x v="2"/>
      <x/>
      <x v="2"/>
      <x/>
    </i>
    <i>
      <x v="1"/>
      <x v="2"/>
      <x/>
      <x v="3"/>
      <x v="1"/>
      <x v="2"/>
      <x v="1"/>
      <x v="2"/>
      <x/>
    </i>
    <i>
      <x v="2"/>
      <x v="1"/>
      <x v="1"/>
      <x/>
      <x v="3"/>
      <x v="1"/>
      <x v="2"/>
      <x/>
      <x/>
    </i>
    <i>
      <x v="3"/>
      <x v="3"/>
      <x v="1"/>
      <x v="4"/>
      <x v="4"/>
      <x v="2"/>
      <x v="2"/>
      <x v="1"/>
      <x/>
    </i>
    <i>
      <x v="4"/>
      <x/>
      <x v="1"/>
      <x v="1"/>
      <x/>
      <x/>
      <x v="2"/>
      <x v="2"/>
      <x/>
    </i>
    <i r="8">
      <x v="1"/>
    </i>
    <i r="1">
      <x v="4"/>
      <x v="1"/>
      <x v="2"/>
      <x v="5"/>
      <x v="2"/>
      <x v="2"/>
      <x v="2"/>
      <x/>
    </i>
    <i r="8">
      <x v="1"/>
    </i>
    <i t="grand">
      <x/>
    </i>
  </rowItems>
  <colItems count="1">
    <i/>
  </colItems>
  <pageFields count="3">
    <pageField fld="5" hier="-1"/>
    <pageField fld="3" hier="-1"/>
    <pageField fld="4" hier="-1"/>
  </page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rgb="FFFFFF00"/>
  </sheetPr>
  <dimension ref="A1:F14"/>
  <sheetViews>
    <sheetView showGridLines="0" tabSelected="1" workbookViewId="0">
      <selection activeCell="E17" sqref="E17"/>
    </sheetView>
  </sheetViews>
  <sheetFormatPr defaultRowHeight="15"/>
  <cols>
    <col min="1" max="1" width="18.28515625" customWidth="1"/>
    <col min="2" max="2" width="10" customWidth="1"/>
    <col min="3" max="3" width="38" customWidth="1"/>
    <col min="4" max="4" width="36.5703125" customWidth="1"/>
    <col min="5" max="5" width="49.140625" customWidth="1"/>
    <col min="6" max="6" width="73" bestFit="1" customWidth="1"/>
  </cols>
  <sheetData>
    <row r="1" spans="1:6">
      <c r="A1" s="4" t="s">
        <v>71</v>
      </c>
    </row>
    <row r="3" spans="1:6">
      <c r="A3" s="2" t="s">
        <v>64</v>
      </c>
      <c r="B3" t="s">
        <v>67</v>
      </c>
    </row>
    <row r="4" spans="1:6">
      <c r="A4" s="2" t="s">
        <v>61</v>
      </c>
      <c r="B4" t="s">
        <v>67</v>
      </c>
    </row>
    <row r="5" spans="1:6">
      <c r="A5" s="2" t="s">
        <v>62</v>
      </c>
      <c r="B5" t="s">
        <v>67</v>
      </c>
    </row>
    <row r="7" spans="1:6">
      <c r="A7" s="2" t="s">
        <v>46</v>
      </c>
      <c r="B7" s="2" t="s">
        <v>49</v>
      </c>
      <c r="C7" s="2" t="s">
        <v>18</v>
      </c>
      <c r="D7" s="2" t="s">
        <v>19</v>
      </c>
      <c r="E7" s="2" t="s">
        <v>21</v>
      </c>
      <c r="F7" s="2" t="s">
        <v>20</v>
      </c>
    </row>
    <row r="8" spans="1:6">
      <c r="A8" s="3" t="s">
        <v>54</v>
      </c>
      <c r="B8" s="3" t="s">
        <v>50</v>
      </c>
      <c r="C8" s="3" t="s">
        <v>25</v>
      </c>
      <c r="D8" s="3" t="s">
        <v>63</v>
      </c>
      <c r="E8" s="3" t="s">
        <v>47</v>
      </c>
      <c r="F8" s="3" t="s">
        <v>47</v>
      </c>
    </row>
    <row r="9" spans="1:6">
      <c r="A9" s="3" t="s">
        <v>53</v>
      </c>
      <c r="B9" s="3" t="s">
        <v>50</v>
      </c>
      <c r="C9" s="3" t="s">
        <v>22</v>
      </c>
      <c r="D9" s="3" t="s">
        <v>52</v>
      </c>
      <c r="E9" s="3" t="s">
        <v>24</v>
      </c>
      <c r="F9" s="3" t="s">
        <v>23</v>
      </c>
    </row>
    <row r="10" spans="1:6">
      <c r="A10" s="3" t="s">
        <v>56</v>
      </c>
      <c r="B10" s="3" t="s">
        <v>50</v>
      </c>
      <c r="C10" s="3" t="s">
        <v>26</v>
      </c>
      <c r="D10" s="3" t="s">
        <v>55</v>
      </c>
      <c r="E10" s="3" t="s">
        <v>47</v>
      </c>
      <c r="F10" s="3" t="s">
        <v>47</v>
      </c>
    </row>
    <row r="11" spans="1:6">
      <c r="A11" s="3" t="s">
        <v>58</v>
      </c>
      <c r="B11" s="3" t="s">
        <v>50</v>
      </c>
      <c r="C11" s="3" t="s">
        <v>28</v>
      </c>
      <c r="D11" s="3" t="s">
        <v>57</v>
      </c>
      <c r="E11" s="3" t="s">
        <v>30</v>
      </c>
      <c r="F11" s="3" t="s">
        <v>29</v>
      </c>
    </row>
    <row r="12" spans="1:6">
      <c r="A12" s="3" t="s">
        <v>60</v>
      </c>
      <c r="B12" s="3" t="s">
        <v>50</v>
      </c>
      <c r="C12" s="3" t="s">
        <v>69</v>
      </c>
      <c r="D12" s="3" t="s">
        <v>59</v>
      </c>
      <c r="E12" s="3" t="s">
        <v>65</v>
      </c>
      <c r="F12" s="3" t="s">
        <v>70</v>
      </c>
    </row>
    <row r="13" spans="1:6">
      <c r="B13" s="3" t="s">
        <v>51</v>
      </c>
      <c r="C13" s="3" t="s">
        <v>31</v>
      </c>
      <c r="D13" s="3" t="s">
        <v>59</v>
      </c>
      <c r="E13" s="3" t="s">
        <v>66</v>
      </c>
      <c r="F13" s="3" t="s">
        <v>27</v>
      </c>
    </row>
    <row r="14" spans="1:6">
      <c r="A14" s="3" t="s">
        <v>48</v>
      </c>
    </row>
  </sheetData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tabColor rgb="FFFFFF00"/>
  </sheetPr>
  <dimension ref="A1:I16"/>
  <sheetViews>
    <sheetView showGridLines="0" workbookViewId="0">
      <selection activeCell="D10" sqref="D10"/>
    </sheetView>
  </sheetViews>
  <sheetFormatPr defaultRowHeight="15"/>
  <cols>
    <col min="1" max="1" width="18.28515625" customWidth="1"/>
    <col min="2" max="2" width="16.7109375" customWidth="1"/>
    <col min="3" max="3" width="10.5703125" customWidth="1"/>
    <col min="4" max="4" width="29.85546875" customWidth="1"/>
    <col min="5" max="5" width="16.42578125" customWidth="1"/>
    <col min="6" max="6" width="11.7109375" customWidth="1"/>
    <col min="7" max="7" width="11.28515625" customWidth="1"/>
    <col min="8" max="8" width="12.28515625" customWidth="1"/>
    <col min="9" max="9" width="10" bestFit="1" customWidth="1"/>
  </cols>
  <sheetData>
    <row r="1" spans="1:9">
      <c r="A1" s="4" t="s">
        <v>72</v>
      </c>
    </row>
    <row r="3" spans="1:9">
      <c r="A3" s="2" t="s">
        <v>64</v>
      </c>
      <c r="B3" t="s">
        <v>67</v>
      </c>
    </row>
    <row r="4" spans="1:9">
      <c r="A4" s="2" t="s">
        <v>61</v>
      </c>
      <c r="B4" t="s">
        <v>67</v>
      </c>
    </row>
    <row r="5" spans="1:9">
      <c r="A5" s="2" t="s">
        <v>62</v>
      </c>
      <c r="B5" t="s">
        <v>67</v>
      </c>
    </row>
    <row r="7" spans="1:9">
      <c r="A7" s="2" t="s">
        <v>46</v>
      </c>
      <c r="B7" s="2" t="s">
        <v>0</v>
      </c>
      <c r="C7" s="2" t="s">
        <v>1</v>
      </c>
      <c r="D7" s="2" t="s">
        <v>2</v>
      </c>
      <c r="E7" s="2" t="s">
        <v>3</v>
      </c>
      <c r="F7" s="2" t="s">
        <v>4</v>
      </c>
      <c r="G7" s="2" t="s">
        <v>5</v>
      </c>
      <c r="H7" s="2" t="s">
        <v>6</v>
      </c>
      <c r="I7" s="2" t="s">
        <v>49</v>
      </c>
    </row>
    <row r="8" spans="1:9">
      <c r="A8" t="s">
        <v>54</v>
      </c>
      <c r="B8" t="s">
        <v>68</v>
      </c>
      <c r="C8" t="s">
        <v>36</v>
      </c>
      <c r="D8" t="s">
        <v>10</v>
      </c>
      <c r="E8" t="s">
        <v>37</v>
      </c>
      <c r="F8" t="s">
        <v>47</v>
      </c>
      <c r="G8" t="s">
        <v>41</v>
      </c>
      <c r="H8" t="s">
        <v>47</v>
      </c>
      <c r="I8" t="s">
        <v>50</v>
      </c>
    </row>
    <row r="9" spans="1:9">
      <c r="A9" t="s">
        <v>53</v>
      </c>
      <c r="B9" t="s">
        <v>7</v>
      </c>
      <c r="C9" t="s">
        <v>35</v>
      </c>
      <c r="D9" t="s">
        <v>8</v>
      </c>
      <c r="E9" t="s">
        <v>9</v>
      </c>
      <c r="F9" t="s">
        <v>47</v>
      </c>
      <c r="G9" t="s">
        <v>40</v>
      </c>
      <c r="H9" t="s">
        <v>47</v>
      </c>
      <c r="I9" t="s">
        <v>50</v>
      </c>
    </row>
    <row r="10" spans="1:9">
      <c r="A10" t="s">
        <v>56</v>
      </c>
      <c r="B10" t="s">
        <v>11</v>
      </c>
      <c r="C10" t="s">
        <v>36</v>
      </c>
      <c r="D10" t="s">
        <v>12</v>
      </c>
      <c r="E10" t="s">
        <v>38</v>
      </c>
      <c r="F10" t="s">
        <v>42</v>
      </c>
      <c r="G10" t="s">
        <v>47</v>
      </c>
      <c r="H10" t="s">
        <v>43</v>
      </c>
      <c r="I10" t="s">
        <v>50</v>
      </c>
    </row>
    <row r="11" spans="1:9">
      <c r="A11" t="s">
        <v>58</v>
      </c>
      <c r="B11" t="s">
        <v>13</v>
      </c>
      <c r="C11" t="s">
        <v>36</v>
      </c>
      <c r="D11" t="s">
        <v>14</v>
      </c>
      <c r="E11" t="s">
        <v>39</v>
      </c>
      <c r="F11" t="s">
        <v>47</v>
      </c>
      <c r="G11" t="s">
        <v>47</v>
      </c>
      <c r="H11" t="s">
        <v>44</v>
      </c>
      <c r="I11" t="s">
        <v>50</v>
      </c>
    </row>
    <row r="12" spans="1:9">
      <c r="A12" t="s">
        <v>60</v>
      </c>
      <c r="B12" t="s">
        <v>32</v>
      </c>
      <c r="C12" t="s">
        <v>36</v>
      </c>
      <c r="D12" t="s">
        <v>34</v>
      </c>
      <c r="E12" t="s">
        <v>33</v>
      </c>
      <c r="F12" t="s">
        <v>45</v>
      </c>
      <c r="G12" t="s">
        <v>47</v>
      </c>
      <c r="H12" t="s">
        <v>47</v>
      </c>
      <c r="I12" t="s">
        <v>50</v>
      </c>
    </row>
    <row r="13" spans="1:9">
      <c r="I13" t="s">
        <v>51</v>
      </c>
    </row>
    <row r="14" spans="1:9">
      <c r="B14" t="s">
        <v>15</v>
      </c>
      <c r="C14" t="s">
        <v>36</v>
      </c>
      <c r="D14" t="s">
        <v>16</v>
      </c>
      <c r="E14" t="s">
        <v>17</v>
      </c>
      <c r="F14" t="s">
        <v>47</v>
      </c>
      <c r="G14" t="s">
        <v>47</v>
      </c>
      <c r="H14" t="s">
        <v>47</v>
      </c>
      <c r="I14" t="s">
        <v>50</v>
      </c>
    </row>
    <row r="15" spans="1:9">
      <c r="I15" t="s">
        <v>51</v>
      </c>
    </row>
    <row r="16" spans="1:9">
      <c r="A16" t="s">
        <v>48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D23" sqref="D23"/>
    </sheetView>
  </sheetViews>
  <sheetFormatPr defaultRowHeight="14.25"/>
  <cols>
    <col min="1" max="1" width="10.140625" style="1" bestFit="1" customWidth="1"/>
    <col min="2" max="2" width="24.5703125" style="1" customWidth="1"/>
    <col min="3" max="7" width="18.7109375" style="1" customWidth="1"/>
    <col min="8" max="8" width="26.7109375" style="1" bestFit="1" customWidth="1"/>
    <col min="9" max="9" width="35.42578125" style="1" customWidth="1"/>
    <col min="10" max="10" width="42.140625" style="1" customWidth="1"/>
    <col min="11" max="11" width="50.85546875" style="1" customWidth="1"/>
    <col min="12" max="12" width="46.7109375" style="1" customWidth="1"/>
    <col min="13" max="13" width="22.7109375" style="1" customWidth="1"/>
    <col min="14" max="16" width="19.85546875" style="1" customWidth="1"/>
    <col min="17" max="17" width="21.28515625" style="1" customWidth="1"/>
    <col min="18" max="18" width="9.140625" style="1"/>
    <col min="19" max="19" width="34.5703125" style="1" customWidth="1"/>
    <col min="20" max="20" width="21.85546875" style="1" customWidth="1"/>
    <col min="21" max="21" width="15.140625" style="1" customWidth="1"/>
    <col min="22" max="22" width="14.7109375" style="1" customWidth="1"/>
    <col min="23" max="23" width="20.5703125" style="1" customWidth="1"/>
    <col min="24" max="16384" width="9.140625" style="1"/>
  </cols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 (ByAddress)</vt:lpstr>
      <vt:lpstr>Summary(ByContact)</vt:lpstr>
      <vt:lpstr>Rawdata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2017-04-03T01:54:52Z</dcterms:modified>
</cp:coreProperties>
</file>