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drawings/drawing9.xml" ContentType="application/vnd.openxmlformats-officedocument.drawing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gif" ContentType="image/gif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filterPrivacy="1" codeName="ThisWorkbook" defaultThemeVersion="124226"/>
  <bookViews>
    <workbookView xWindow="930" yWindow="75" windowWidth="16635" windowHeight="8010" tabRatio="846"/>
  </bookViews>
  <sheets>
    <sheet name="1 Front" sheetId="14" r:id="rId1"/>
    <sheet name="2 Turnover" sheetId="15" r:id="rId2"/>
    <sheet name="Scorecard" sheetId="10" r:id="rId3"/>
    <sheet name="Contractual terms" sheetId="3" state="hidden" r:id="rId4"/>
    <sheet name="Tooling" sheetId="4" state="hidden" r:id="rId5"/>
    <sheet name="Sustainable Development" sheetId="5" state="hidden" r:id="rId6"/>
    <sheet name="Factory &amp; Contact" sheetId="6" state="hidden" r:id="rId7"/>
    <sheet name="SIF &amp; IDS" sheetId="7" state="hidden" r:id="rId8"/>
    <sheet name="CMMF Price List" sheetId="12" state="hidden" r:id="rId9"/>
    <sheet name="Scorecardrawdata" sheetId="9" state="hidden" r:id="rId10"/>
    <sheet name="TurnoverRawData" sheetId="16" r:id="rId11"/>
  </sheets>
  <definedNames>
    <definedName name="currentmonth">'2 Turnover'!$D$12</definedName>
    <definedName name="currentyear">'2 Turnover'!$D$11</definedName>
    <definedName name="FilterAmt">'2 Turnover'!$D$22</definedName>
    <definedName name="FilterAmt1">'2 Turnover'!$E$22</definedName>
    <definedName name="FilterAmt2">'2 Turnover'!$F$22</definedName>
    <definedName name="FilterAmt3">'2 Turnover'!$G$22</definedName>
    <definedName name="FilterAmt4">'2 Turnover'!$H$22</definedName>
    <definedName name="filterapplied">'2 Turnover'!$C$24</definedName>
    <definedName name="FilterQty">'2 Turnover'!$D$21</definedName>
    <definedName name="FilterQty1">'2 Turnover'!$E$21</definedName>
    <definedName name="FilterQty2">'2 Turnover'!$F$21</definedName>
    <definedName name="FilterQty3">'2 Turnover'!$G$21</definedName>
    <definedName name="FilterQty4">'2 Turnover'!$H$21</definedName>
    <definedName name="frontbrand">'1 Front'!$C$16</definedName>
    <definedName name="frontcmmf">'1 Front'!$C$18</definedName>
    <definedName name="frontcommercialcode">'1 Front'!$C$19</definedName>
    <definedName name="frontfamily">'1 Front'!$C$15</definedName>
    <definedName name="frontproductype">'1 Front'!$C$13</definedName>
    <definedName name="frontrangecode">'1 Front'!$C$17</definedName>
    <definedName name="frontsbu">'1 Front'!$C$14</definedName>
    <definedName name="frontsebasiaplatform">'1 Front'!$C$20</definedName>
    <definedName name="frontshortname">'1 Front'!$C$8</definedName>
    <definedName name="frontsuppliercode">'1 Front'!$C$10</definedName>
    <definedName name="frontsuppliername">'1 Front'!$C$9</definedName>
    <definedName name="frontvendorstatus">'1 Front'!$C$21</definedName>
    <definedName name="frontyearperiod">'1 Front'!$C$22</definedName>
    <definedName name="issuedate">'1 Front'!$I$3</definedName>
    <definedName name="monthrange">'2 Turnover'!$T$8:$U$19</definedName>
    <definedName name="nqsu">Scorecard!$D$18</definedName>
    <definedName name="nqsu1">Scorecard!$E$18</definedName>
    <definedName name="nqsu2">Scorecard!$F$18</definedName>
    <definedName name="nqsu3">Scorecard!$G$18</definedName>
    <definedName name="nqsu4">Scorecard!$H$18</definedName>
    <definedName name="pdpot">Scorecard!$L$43</definedName>
    <definedName name="pdpot1">Scorecard!$M$43</definedName>
    <definedName name="pdpot2">Scorecard!$N$43</definedName>
    <definedName name="pdpot3">Scorecard!$O$43</definedName>
    <definedName name="pdpot4">Scorecard!$P$43</definedName>
    <definedName name="pdramp">Scorecard!$L$42</definedName>
    <definedName name="pdramp1">Scorecard!$M$42</definedName>
    <definedName name="pdramp2">Scorecard!$N$42</definedName>
    <definedName name="pdramp3">Scorecard!$O$42</definedName>
    <definedName name="pdramp4">Scorecard!$P$42</definedName>
    <definedName name="pdrp14">Scorecard!$L$40</definedName>
    <definedName name="pdrp141">Scorecard!$M$40</definedName>
    <definedName name="pdrp142">Scorecard!$N$40</definedName>
    <definedName name="pdrp143">Scorecard!$O$40</definedName>
    <definedName name="pdrp144">Scorecard!$P$40</definedName>
    <definedName name="pdrp5">Scorecard!$L$41</definedName>
    <definedName name="pdrp51">Scorecard!$M$41</definedName>
    <definedName name="pdrp52">Scorecard!$N$41</definedName>
    <definedName name="pdrp53">Scorecard!$O$41</definedName>
    <definedName name="pdrp54">Scorecard!$P$41</definedName>
    <definedName name="piavg">Scorecard!$D$40</definedName>
    <definedName name="piavg1">Scorecard!$E$40</definedName>
    <definedName name="piavg2">Scorecard!$F$40</definedName>
    <definedName name="piavg3">Scorecard!$G$40</definedName>
    <definedName name="piavg4">Scorecard!$H$40</definedName>
    <definedName name="pilkp">Scorecard!$D$41</definedName>
    <definedName name="pilkp1">Scorecard!$E$41</definedName>
    <definedName name="pilkp2">Scorecard!$F$41</definedName>
    <definedName name="pilkp3">Scorecard!$G$41</definedName>
    <definedName name="pilkp4">Scorecard!$H$41</definedName>
    <definedName name="pistd">Scorecard!$D$42</definedName>
    <definedName name="pistd1">Scorecard!$E$42</definedName>
    <definedName name="pistd2">Scorecard!$F$42</definedName>
    <definedName name="pistd3">Scorecard!$G$42</definedName>
    <definedName name="pistd4">Scorecard!$H$42</definedName>
    <definedName name="_xlnm.Print_Area" localSheetId="0">'1 Front'!$A$1:$J$24</definedName>
    <definedName name="_xlnm.Print_Area" localSheetId="1">'2 Turnover'!$A$1:$T$93</definedName>
    <definedName name="producttype">'2 Turnover'!$D$6</definedName>
    <definedName name="pvstd">Scorecard!$D$43</definedName>
    <definedName name="pvstd1">Scorecard!$E$43</definedName>
    <definedName name="pvstd2">Scorecard!$F$43</definedName>
    <definedName name="pvstd3">Scorecard!$G$43</definedName>
    <definedName name="pvstd4">Scorecard!$H$43</definedName>
    <definedName name="sclt">Scorecard!$L$17</definedName>
    <definedName name="sclt1">Scorecard!$M$17</definedName>
    <definedName name="sclt2">Scorecard!$N$17</definedName>
    <definedName name="sclt3">Scorecard!$O$17</definedName>
    <definedName name="sclt4">Scorecard!$P$17</definedName>
    <definedName name="scno">Scorecard!$L$18</definedName>
    <definedName name="scno1">Scorecard!$M$18</definedName>
    <definedName name="scno2">Scorecard!$N$18</definedName>
    <definedName name="scno3">Scorecard!$O$18</definedName>
    <definedName name="scno4">Scorecard!$P$18</definedName>
    <definedName name="scsasl">Scorecard!$L$15</definedName>
    <definedName name="scsasl1">Scorecard!$M$15</definedName>
    <definedName name="scsasl2">Scorecard!$N$15</definedName>
    <definedName name="scsasl3">Scorecard!$O$15</definedName>
    <definedName name="scsasl4">Scorecard!$P$15</definedName>
    <definedName name="scsh">Scorecard!$L$19</definedName>
    <definedName name="scsh1">Scorecard!$M$19</definedName>
    <definedName name="scsh2">Scorecard!$N$19</definedName>
    <definedName name="scsh3">Scorecard!$O$19</definedName>
    <definedName name="scsh4">Scorecard!$P$19</definedName>
    <definedName name="scssl">Scorecard!$L$16</definedName>
    <definedName name="scssl1">Scorecard!$M$16</definedName>
    <definedName name="scssl2">Scorecard!$N$16</definedName>
    <definedName name="scssl3">Scorecard!$O$16</definedName>
    <definedName name="scssl4">Scorecard!$P$16</definedName>
    <definedName name="sify">'2 Turnover'!$D$13</definedName>
    <definedName name="sify1">'2 Turnover'!$E$13</definedName>
    <definedName name="sify2">'2 Turnover'!$F$13</definedName>
    <definedName name="sify3">'2 Turnover'!$G$13</definedName>
    <definedName name="sify4">'2 Turnover'!$H$13</definedName>
    <definedName name="TOSEBAMT">'2 Turnover'!$D$18</definedName>
    <definedName name="TOSEBAMT1">'2 Turnover'!$E$18</definedName>
    <definedName name="TOSEBAMT2">'2 Turnover'!$F$18</definedName>
    <definedName name="TOSEBAMT3">'2 Turnover'!$G$18</definedName>
    <definedName name="TOSEBAMT4">'2 Turnover'!$H$18</definedName>
    <definedName name="TOSEBQTY">'2 Turnover'!$D$17</definedName>
    <definedName name="TOSEBQTY1">'2 Turnover'!$E$17</definedName>
    <definedName name="TOSEBQTY2">'2 Turnover'!$F$17</definedName>
    <definedName name="TOSEBQTY3">'2 Turnover'!$G$17</definedName>
    <definedName name="TOSEBQTY4">'2 Turnover'!$H$17</definedName>
  </definedNames>
  <calcPr calcId="125725"/>
</workbook>
</file>

<file path=xl/calcChain.xml><?xml version="1.0" encoding="utf-8"?>
<calcChain xmlns="http://schemas.openxmlformats.org/spreadsheetml/2006/main">
  <c r="P38" i="10"/>
  <c r="O38"/>
  <c r="N38"/>
  <c r="M38"/>
  <c r="L38"/>
  <c r="H38"/>
  <c r="G38"/>
  <c r="F38"/>
  <c r="E38"/>
  <c r="D38"/>
  <c r="P13"/>
  <c r="O13"/>
  <c r="N13"/>
  <c r="M13"/>
  <c r="L13"/>
  <c r="H16"/>
  <c r="G16"/>
  <c r="F16"/>
  <c r="E16"/>
  <c r="D16"/>
  <c r="D11" i="15"/>
  <c r="D12"/>
  <c r="D6"/>
  <c r="D5"/>
  <c r="E4" i="10"/>
  <c r="M3"/>
  <c r="R3" i="15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G88"/>
  <c r="M88" s="1"/>
  <c r="G87"/>
  <c r="G86"/>
  <c r="M86" s="1"/>
  <c r="G85"/>
  <c r="M85" s="1"/>
  <c r="G84"/>
  <c r="M84" s="1"/>
  <c r="G83"/>
  <c r="M83" s="1"/>
  <c r="G82"/>
  <c r="M82" s="1"/>
  <c r="G81"/>
  <c r="M81" s="1"/>
  <c r="G80"/>
  <c r="M80" s="1"/>
  <c r="G79"/>
  <c r="M79" s="1"/>
  <c r="G78"/>
  <c r="M78" s="1"/>
  <c r="G77"/>
  <c r="M77" s="1"/>
  <c r="G76"/>
  <c r="M76" s="1"/>
  <c r="G75"/>
  <c r="M75" s="1"/>
  <c r="G74"/>
  <c r="M74" s="1"/>
  <c r="G73"/>
  <c r="M73" s="1"/>
  <c r="G72"/>
  <c r="M72" s="1"/>
  <c r="G71"/>
  <c r="M71" s="1"/>
  <c r="G70"/>
  <c r="M70" s="1"/>
  <c r="G69"/>
  <c r="M69" s="1"/>
  <c r="F78"/>
  <c r="F88"/>
  <c r="L88" s="1"/>
  <c r="F87"/>
  <c r="F86"/>
  <c r="F85"/>
  <c r="F84"/>
  <c r="L84" s="1"/>
  <c r="F83"/>
  <c r="F82"/>
  <c r="F81"/>
  <c r="F80"/>
  <c r="L80" s="1"/>
  <c r="F79"/>
  <c r="F77"/>
  <c r="L77" s="1"/>
  <c r="F76"/>
  <c r="L76" s="1"/>
  <c r="F75"/>
  <c r="L75" s="1"/>
  <c r="F74"/>
  <c r="L74" s="1"/>
  <c r="F73"/>
  <c r="L73" s="1"/>
  <c r="F72"/>
  <c r="L72" s="1"/>
  <c r="F71"/>
  <c r="L71" s="1"/>
  <c r="F70"/>
  <c r="L70" s="1"/>
  <c r="F69"/>
  <c r="L69" s="1"/>
  <c r="E88"/>
  <c r="E87"/>
  <c r="E86"/>
  <c r="E85"/>
  <c r="K85" s="1"/>
  <c r="E84"/>
  <c r="E83"/>
  <c r="E82"/>
  <c r="E81"/>
  <c r="K81" s="1"/>
  <c r="E80"/>
  <c r="E79"/>
  <c r="E78"/>
  <c r="K78" s="1"/>
  <c r="E77"/>
  <c r="K77" s="1"/>
  <c r="E76"/>
  <c r="K76" s="1"/>
  <c r="E75"/>
  <c r="K75" s="1"/>
  <c r="E74"/>
  <c r="K74" s="1"/>
  <c r="E73"/>
  <c r="K73" s="1"/>
  <c r="E72"/>
  <c r="K72" s="1"/>
  <c r="E71"/>
  <c r="K71" s="1"/>
  <c r="E70"/>
  <c r="K70" s="1"/>
  <c r="E69"/>
  <c r="K69" s="1"/>
  <c r="D88"/>
  <c r="J88" s="1"/>
  <c r="D87"/>
  <c r="J87" s="1"/>
  <c r="D86"/>
  <c r="J86" s="1"/>
  <c r="D85"/>
  <c r="J85" s="1"/>
  <c r="D84"/>
  <c r="J84" s="1"/>
  <c r="D83"/>
  <c r="J83" s="1"/>
  <c r="D82"/>
  <c r="J82" s="1"/>
  <c r="D81"/>
  <c r="J81" s="1"/>
  <c r="D80"/>
  <c r="J80" s="1"/>
  <c r="D79"/>
  <c r="J79" s="1"/>
  <c r="D78"/>
  <c r="J78" s="1"/>
  <c r="D77"/>
  <c r="J77" s="1"/>
  <c r="D76"/>
  <c r="J76" s="1"/>
  <c r="D75"/>
  <c r="J75" s="1"/>
  <c r="D74"/>
  <c r="J74" s="1"/>
  <c r="D73"/>
  <c r="J73" s="1"/>
  <c r="D72"/>
  <c r="J72" s="1"/>
  <c r="D71"/>
  <c r="J71" s="1"/>
  <c r="D70"/>
  <c r="J70" s="1"/>
  <c r="D69"/>
  <c r="J69" s="1"/>
  <c r="C88"/>
  <c r="C87"/>
  <c r="C86"/>
  <c r="C85"/>
  <c r="C84"/>
  <c r="C83"/>
  <c r="C82"/>
  <c r="C81"/>
  <c r="C80"/>
  <c r="C79"/>
  <c r="C78"/>
  <c r="C77"/>
  <c r="C76"/>
  <c r="C75"/>
  <c r="C74"/>
  <c r="C73"/>
  <c r="C72"/>
  <c r="C71"/>
  <c r="C70"/>
  <c r="C69"/>
  <c r="M22"/>
  <c r="L22"/>
  <c r="K22"/>
  <c r="J22"/>
  <c r="M21"/>
  <c r="L21"/>
  <c r="K21"/>
  <c r="J21"/>
  <c r="M18"/>
  <c r="L18"/>
  <c r="K18"/>
  <c r="J18"/>
  <c r="M17"/>
  <c r="L17"/>
  <c r="K17"/>
  <c r="J17"/>
  <c r="M14"/>
  <c r="L14"/>
  <c r="K14"/>
  <c r="J14"/>
  <c r="M13"/>
  <c r="L13"/>
  <c r="K13"/>
  <c r="J13"/>
  <c r="H66"/>
  <c r="H65"/>
  <c r="H64"/>
  <c r="H63"/>
  <c r="H62"/>
  <c r="H61"/>
  <c r="H60"/>
  <c r="H59"/>
  <c r="H58"/>
  <c r="H57"/>
  <c r="H56"/>
  <c r="H55"/>
  <c r="H54"/>
  <c r="H53"/>
  <c r="H52"/>
  <c r="H51"/>
  <c r="H50"/>
  <c r="H49"/>
  <c r="H48"/>
  <c r="H47"/>
  <c r="G64"/>
  <c r="G66"/>
  <c r="M66" s="1"/>
  <c r="G65"/>
  <c r="G63"/>
  <c r="M63" s="1"/>
  <c r="G62"/>
  <c r="M62" s="1"/>
  <c r="G61"/>
  <c r="M61" s="1"/>
  <c r="G60"/>
  <c r="M60" s="1"/>
  <c r="G59"/>
  <c r="M59" s="1"/>
  <c r="G58"/>
  <c r="M58" s="1"/>
  <c r="G57"/>
  <c r="M57" s="1"/>
  <c r="G56"/>
  <c r="M56" s="1"/>
  <c r="G55"/>
  <c r="M55" s="1"/>
  <c r="G54"/>
  <c r="M54" s="1"/>
  <c r="G53"/>
  <c r="M53" s="1"/>
  <c r="G52"/>
  <c r="M52" s="1"/>
  <c r="G51"/>
  <c r="M51" s="1"/>
  <c r="G50"/>
  <c r="M50" s="1"/>
  <c r="G49"/>
  <c r="M49" s="1"/>
  <c r="G48"/>
  <c r="M48" s="1"/>
  <c r="G47"/>
  <c r="M47" s="1"/>
  <c r="F66"/>
  <c r="F65"/>
  <c r="L65" s="1"/>
  <c r="F64"/>
  <c r="F63"/>
  <c r="L63" s="1"/>
  <c r="F62"/>
  <c r="L62" s="1"/>
  <c r="F61"/>
  <c r="L61" s="1"/>
  <c r="F60"/>
  <c r="L60" s="1"/>
  <c r="F59"/>
  <c r="L59" s="1"/>
  <c r="F58"/>
  <c r="L58" s="1"/>
  <c r="F57"/>
  <c r="L57" s="1"/>
  <c r="F56"/>
  <c r="L56" s="1"/>
  <c r="F55"/>
  <c r="L55" s="1"/>
  <c r="F54"/>
  <c r="L54" s="1"/>
  <c r="F53"/>
  <c r="L53" s="1"/>
  <c r="F52"/>
  <c r="L52" s="1"/>
  <c r="F51"/>
  <c r="L51" s="1"/>
  <c r="F50"/>
  <c r="L50" s="1"/>
  <c r="F49"/>
  <c r="L49" s="1"/>
  <c r="F48"/>
  <c r="L48" s="1"/>
  <c r="F47"/>
  <c r="L47" s="1"/>
  <c r="E66"/>
  <c r="K66" s="1"/>
  <c r="E65"/>
  <c r="K65" s="1"/>
  <c r="E64"/>
  <c r="K64" s="1"/>
  <c r="E63"/>
  <c r="D62"/>
  <c r="E62"/>
  <c r="K62" s="1"/>
  <c r="E61"/>
  <c r="E60"/>
  <c r="E59"/>
  <c r="E58"/>
  <c r="K58" s="1"/>
  <c r="E57"/>
  <c r="E56"/>
  <c r="E55"/>
  <c r="E54"/>
  <c r="K54" s="1"/>
  <c r="E53"/>
  <c r="E52"/>
  <c r="E51"/>
  <c r="E50"/>
  <c r="K50" s="1"/>
  <c r="E49"/>
  <c r="E48"/>
  <c r="E47"/>
  <c r="D66"/>
  <c r="J66" s="1"/>
  <c r="D65"/>
  <c r="D64"/>
  <c r="D63"/>
  <c r="D61"/>
  <c r="J61" s="1"/>
  <c r="D60"/>
  <c r="D59"/>
  <c r="J59" s="1"/>
  <c r="D58"/>
  <c r="D57"/>
  <c r="J57" s="1"/>
  <c r="D56"/>
  <c r="D55"/>
  <c r="J55" s="1"/>
  <c r="D54"/>
  <c r="D53"/>
  <c r="J53" s="1"/>
  <c r="D52"/>
  <c r="D51"/>
  <c r="J51" s="1"/>
  <c r="D50"/>
  <c r="D49"/>
  <c r="J49" s="1"/>
  <c r="D48"/>
  <c r="D47"/>
  <c r="J47" s="1"/>
  <c r="C66"/>
  <c r="C65"/>
  <c r="C64"/>
  <c r="C63"/>
  <c r="C62"/>
  <c r="C61"/>
  <c r="C60"/>
  <c r="C59"/>
  <c r="C58"/>
  <c r="C57"/>
  <c r="C56"/>
  <c r="C55"/>
  <c r="C54"/>
  <c r="C53"/>
  <c r="C52"/>
  <c r="C51"/>
  <c r="C50"/>
  <c r="C49"/>
  <c r="C48"/>
  <c r="C47"/>
  <c r="H44"/>
  <c r="H43"/>
  <c r="H42"/>
  <c r="H41"/>
  <c r="H40"/>
  <c r="H39"/>
  <c r="H38"/>
  <c r="H37"/>
  <c r="H36"/>
  <c r="G44"/>
  <c r="M44" s="1"/>
  <c r="G43"/>
  <c r="G42"/>
  <c r="G41"/>
  <c r="G40"/>
  <c r="M40" s="1"/>
  <c r="G39"/>
  <c r="G38"/>
  <c r="G37"/>
  <c r="G36"/>
  <c r="M36" s="1"/>
  <c r="F44"/>
  <c r="F43"/>
  <c r="F42"/>
  <c r="F41"/>
  <c r="L41" s="1"/>
  <c r="F40"/>
  <c r="F39"/>
  <c r="F38"/>
  <c r="F37"/>
  <c r="L37" s="1"/>
  <c r="F36"/>
  <c r="E44"/>
  <c r="E43"/>
  <c r="E42"/>
  <c r="K42" s="1"/>
  <c r="E41"/>
  <c r="E40"/>
  <c r="E39"/>
  <c r="E38"/>
  <c r="K38" s="1"/>
  <c r="E37"/>
  <c r="E36"/>
  <c r="D44"/>
  <c r="D43"/>
  <c r="J43" s="1"/>
  <c r="D42"/>
  <c r="D41"/>
  <c r="D40"/>
  <c r="D39"/>
  <c r="J39" s="1"/>
  <c r="D38"/>
  <c r="D37"/>
  <c r="D36"/>
  <c r="C44"/>
  <c r="C43"/>
  <c r="C42"/>
  <c r="C41"/>
  <c r="C40"/>
  <c r="C39"/>
  <c r="C38"/>
  <c r="C37"/>
  <c r="C36"/>
  <c r="H32"/>
  <c r="H31"/>
  <c r="H30"/>
  <c r="H29"/>
  <c r="G32"/>
  <c r="M32" s="1"/>
  <c r="G31"/>
  <c r="M31" s="1"/>
  <c r="G30"/>
  <c r="M30" s="1"/>
  <c r="G29"/>
  <c r="M29" s="1"/>
  <c r="F33"/>
  <c r="F32"/>
  <c r="F31"/>
  <c r="F30"/>
  <c r="L30" s="1"/>
  <c r="F29"/>
  <c r="E33"/>
  <c r="E32"/>
  <c r="E31"/>
  <c r="K31" s="1"/>
  <c r="E30"/>
  <c r="J30" s="1"/>
  <c r="E29"/>
  <c r="H33"/>
  <c r="G33"/>
  <c r="M33" s="1"/>
  <c r="D32"/>
  <c r="J32" s="1"/>
  <c r="D31"/>
  <c r="D30"/>
  <c r="D29"/>
  <c r="C32"/>
  <c r="D33"/>
  <c r="J33" s="1"/>
  <c r="C29"/>
  <c r="C31"/>
  <c r="C30"/>
  <c r="C33"/>
  <c r="H14"/>
  <c r="G14"/>
  <c r="F14"/>
  <c r="E14"/>
  <c r="D14"/>
  <c r="J42" l="1"/>
  <c r="K49"/>
  <c r="K57"/>
  <c r="K61"/>
  <c r="L86"/>
  <c r="J31"/>
  <c r="K33"/>
  <c r="J50"/>
  <c r="K79"/>
  <c r="K83"/>
  <c r="K87"/>
  <c r="J38"/>
  <c r="J65"/>
  <c r="K53"/>
  <c r="J54"/>
  <c r="L82"/>
  <c r="J29"/>
  <c r="L32"/>
  <c r="J37"/>
  <c r="J41"/>
  <c r="K36"/>
  <c r="K40"/>
  <c r="K44"/>
  <c r="L39"/>
  <c r="L43"/>
  <c r="M38"/>
  <c r="M42"/>
  <c r="J64"/>
  <c r="K48"/>
  <c r="K52"/>
  <c r="J56"/>
  <c r="K60"/>
  <c r="J63"/>
  <c r="L81"/>
  <c r="L85"/>
  <c r="L78"/>
  <c r="M87"/>
  <c r="K32"/>
  <c r="L31"/>
  <c r="K39"/>
  <c r="K43"/>
  <c r="L38"/>
  <c r="L42"/>
  <c r="M37"/>
  <c r="M41"/>
  <c r="K47"/>
  <c r="K51"/>
  <c r="K55"/>
  <c r="K59"/>
  <c r="L66"/>
  <c r="M64"/>
  <c r="K82"/>
  <c r="K86"/>
  <c r="L79"/>
  <c r="L83"/>
  <c r="L87"/>
  <c r="M65"/>
  <c r="K30"/>
  <c r="L29"/>
  <c r="L33"/>
  <c r="K37"/>
  <c r="K41"/>
  <c r="L36"/>
  <c r="L40"/>
  <c r="L44"/>
  <c r="M39"/>
  <c r="M43"/>
  <c r="J58"/>
  <c r="J62"/>
  <c r="K80"/>
  <c r="K84"/>
  <c r="K88"/>
  <c r="J60"/>
  <c r="J40"/>
  <c r="L64"/>
  <c r="J52"/>
  <c r="J48"/>
  <c r="J36"/>
  <c r="J44"/>
  <c r="K56"/>
  <c r="K63"/>
  <c r="K29"/>
  <c r="G11"/>
  <c r="F11"/>
  <c r="H11"/>
  <c r="E11"/>
  <c r="E12" i="4"/>
  <c r="E11"/>
  <c r="E10"/>
  <c r="M11" i="15" l="1"/>
  <c r="K11"/>
  <c r="L11"/>
  <c r="J11"/>
</calcChain>
</file>

<file path=xl/sharedStrings.xml><?xml version="1.0" encoding="utf-8"?>
<sst xmlns="http://schemas.openxmlformats.org/spreadsheetml/2006/main" count="545" uniqueCount="353">
  <si>
    <t>AIRTEK</t>
  </si>
  <si>
    <t>AIRTEK INDUSTRY LTD</t>
  </si>
  <si>
    <t>SBU</t>
  </si>
  <si>
    <t>Family</t>
  </si>
  <si>
    <t>Brand</t>
  </si>
  <si>
    <t>ALL</t>
  </si>
  <si>
    <t>ALL, Active Supplier</t>
  </si>
  <si>
    <t>Mar</t>
  </si>
  <si>
    <t>FG</t>
  </si>
  <si>
    <t>Year To Date</t>
  </si>
  <si>
    <t>Y-1</t>
  </si>
  <si>
    <t>Y-2</t>
  </si>
  <si>
    <t>Y-3</t>
  </si>
  <si>
    <t>Y-4</t>
  </si>
  <si>
    <t>Trend</t>
  </si>
  <si>
    <t>Supplier total  From SIF</t>
  </si>
  <si>
    <t>Purchase Amount (USD)</t>
  </si>
  <si>
    <t>%</t>
  </si>
  <si>
    <t>Turnover Total with SEB Asia</t>
  </si>
  <si>
    <t>QTY</t>
  </si>
  <si>
    <t>By filter</t>
  </si>
  <si>
    <t>*Filter Applied</t>
  </si>
  <si>
    <t>Group By</t>
  </si>
  <si>
    <t>Product Type</t>
  </si>
  <si>
    <t>FOOD PREPARATION</t>
  </si>
  <si>
    <t>HANDMIXER/HANDBEATER</t>
  </si>
  <si>
    <t>JUICERS</t>
  </si>
  <si>
    <t>SEB</t>
  </si>
  <si>
    <t>ROWENTA</t>
  </si>
  <si>
    <t>YTD (Year To Date)</t>
  </si>
  <si>
    <t>Price index</t>
  </si>
  <si>
    <t>vs Avg Y-1</t>
  </si>
  <si>
    <t>vs LKP Y-1</t>
  </si>
  <si>
    <t>vs STD</t>
  </si>
  <si>
    <t>Price variance</t>
  </si>
  <si>
    <t>vs STD (USD)</t>
  </si>
  <si>
    <t>(Only available in Product type level (FG))</t>
  </si>
  <si>
    <t>Quality level</t>
  </si>
  <si>
    <t>NQSU (PPM)</t>
  </si>
  <si>
    <t>Service level</t>
  </si>
  <si>
    <t>SASL</t>
  </si>
  <si>
    <t>SSL</t>
  </si>
  <si>
    <t>Leadtime</t>
  </si>
  <si>
    <t>No of order</t>
  </si>
  <si>
    <t>No of shipment</t>
  </si>
  <si>
    <t>Number of Project</t>
  </si>
  <si>
    <t>RP1 - RP4</t>
  </si>
  <si>
    <t>RP5 (LUP Closure)</t>
  </si>
  <si>
    <t>Project on time</t>
  </si>
  <si>
    <t>RP4+RampUp</t>
  </si>
  <si>
    <t>Project On Time %</t>
  </si>
  <si>
    <t>FP</t>
  </si>
  <si>
    <t>37E9 Before End in 3 months due net 37E9</t>
  </si>
  <si>
    <t>37D4 Within 45 days due net on posting date</t>
  </si>
  <si>
    <t>Remarks</t>
  </si>
  <si>
    <t>Version</t>
  </si>
  <si>
    <t>Authorization letter</t>
  </si>
  <si>
    <t>Vacuum Cleaner</t>
  </si>
  <si>
    <t>Project Specification</t>
  </si>
  <si>
    <t>Vacuum Cleaner 2</t>
  </si>
  <si>
    <t>Project</t>
  </si>
  <si>
    <t>New Asset - Tooling Amount (USD)</t>
  </si>
  <si>
    <t>Tooling Modification - Tooling Amount (USD)</t>
  </si>
  <si>
    <t>Total (USD)</t>
  </si>
  <si>
    <t xml:space="preserve">Elea juicer </t>
  </si>
  <si>
    <t xml:space="preserve">Nova 2 hand mixer </t>
  </si>
  <si>
    <t>HT30 hand mixer</t>
  </si>
  <si>
    <t>Details - Tooling list</t>
  </si>
  <si>
    <t>10002393_ZN355C3E_20141209_0001</t>
  </si>
  <si>
    <t>020303-34</t>
  </si>
  <si>
    <t>Insert core for base</t>
  </si>
  <si>
    <t>2014-12-09</t>
  </si>
  <si>
    <t>Tooling Modification</t>
  </si>
  <si>
    <t>2014-1150-81 V1</t>
  </si>
  <si>
    <t>1000001857</t>
  </si>
  <si>
    <t>DENNIS LAM</t>
  </si>
  <si>
    <t>10002393</t>
  </si>
  <si>
    <t>ALLAN ELECTRIC MANUFACTURING LTD</t>
  </si>
  <si>
    <t>10002393_ZN355C3E_20141209</t>
  </si>
  <si>
    <t>10002393_Nova 2 hand mixer_20141208_0001</t>
  </si>
  <si>
    <t>142001</t>
  </si>
  <si>
    <t>Coupling</t>
  </si>
  <si>
    <t>2014-12-08</t>
  </si>
  <si>
    <t xml:space="preserve">Tooling Modification </t>
  </si>
  <si>
    <t>2014-1150-56 V1</t>
  </si>
  <si>
    <t>10022928</t>
  </si>
  <si>
    <t>CONAN ELECTRIC MANUFACTURING LTD</t>
  </si>
  <si>
    <t>10022928_Nova 2 hand mixer_20141208</t>
  </si>
  <si>
    <t>10002393_Stick bar for Nova 2 hand mixer_20141208_0001</t>
  </si>
  <si>
    <t>Nova 2 hand mixer</t>
  </si>
  <si>
    <t>976610</t>
  </si>
  <si>
    <t>Duplicated tooling - stick bar (II)</t>
  </si>
  <si>
    <t>New Asset</t>
  </si>
  <si>
    <t>2014-1150-42 V1</t>
  </si>
  <si>
    <t>10022928_Stick bar for Nova 2 hand mixer_20141208</t>
  </si>
  <si>
    <t>10022928_HT30_20150107_0001</t>
  </si>
  <si>
    <t>0609002-56</t>
  </si>
  <si>
    <t>DWG# 0609002-56 rating  insert in left housing</t>
  </si>
  <si>
    <t>2015-01-07</t>
  </si>
  <si>
    <t>10022928_HT30_20150107</t>
  </si>
  <si>
    <t>10022928_HT30_20150107_0002</t>
  </si>
  <si>
    <t>0609001-56</t>
  </si>
  <si>
    <t>DWG# 0609001-56 rating  insert in rigth housing</t>
  </si>
  <si>
    <t>Responsible Purchasing Charter</t>
  </si>
  <si>
    <t>Chinese</t>
  </si>
  <si>
    <t>Social Audit Result</t>
  </si>
  <si>
    <t>SGS</t>
  </si>
  <si>
    <t>Initial</t>
  </si>
  <si>
    <t>Major</t>
  </si>
  <si>
    <t>SEB Asia</t>
  </si>
  <si>
    <t>Minor</t>
  </si>
  <si>
    <t>email</t>
  </si>
  <si>
    <t xml:space="preserve">耀川電子（深圳）有限公司 </t>
  </si>
  <si>
    <t>耀川電子（深圳）有限公司</t>
  </si>
  <si>
    <t>YAO CHUAN(SHEN ZHEN) LTD</t>
  </si>
  <si>
    <t>Yao Chuan Industrial Park, Tangwei Village, Fuyong, Bao An, Shenzhen, 518103, China</t>
  </si>
  <si>
    <t>深圳市寶安區福永街道塘尾村耀川工業園區﹐郵編518103</t>
  </si>
  <si>
    <t>Shenzhen</t>
  </si>
  <si>
    <t>Guangdong</t>
  </si>
  <si>
    <t>China</t>
  </si>
  <si>
    <t>Mrs. Lesley Zhang</t>
  </si>
  <si>
    <t>Officer</t>
  </si>
  <si>
    <t>lesley.zhang@airtek88.com</t>
  </si>
  <si>
    <t xml:space="preserve"> </t>
  </si>
  <si>
    <t>86 75529607067 #550</t>
  </si>
  <si>
    <t xml:space="preserve">Tony </t>
  </si>
  <si>
    <t>Manager</t>
  </si>
  <si>
    <t>abc@airtek88.com</t>
  </si>
  <si>
    <t>86 75529607067 #510</t>
  </si>
  <si>
    <t>Web-site</t>
  </si>
  <si>
    <t>Brand1</t>
  </si>
  <si>
    <t>SIF Brand2</t>
  </si>
  <si>
    <t>SIF</t>
  </si>
  <si>
    <t>www.air.com</t>
  </si>
  <si>
    <t>Heuck</t>
  </si>
  <si>
    <t>Bren</t>
  </si>
  <si>
    <t>ABC</t>
  </si>
  <si>
    <t>CDE</t>
  </si>
  <si>
    <t>DEF</t>
  </si>
  <si>
    <t>Mr. Chan</t>
  </si>
  <si>
    <t>Mr. Chiu</t>
  </si>
  <si>
    <t>Iron electronics</t>
  </si>
  <si>
    <t>Energy Regulator</t>
  </si>
  <si>
    <t>Distribution Business</t>
  </si>
  <si>
    <t>IDS</t>
  </si>
  <si>
    <t>POTENTIAL SUPPLIER</t>
  </si>
  <si>
    <t>N2850 Bayanihan St., Jose Abad Santos Ave., Clark Freeport Zone Clarkfield Pampanga</t>
  </si>
  <si>
    <t>Jocelyn Tasarra</t>
  </si>
  <si>
    <t>Vice President</t>
  </si>
  <si>
    <t>nga.phanthuy@goldsun.vn</t>
  </si>
  <si>
    <t>OUI</t>
  </si>
  <si>
    <t>Trevor</t>
  </si>
  <si>
    <t>360.000 pcs/ month</t>
  </si>
  <si>
    <t>30.000m²</t>
  </si>
  <si>
    <t>2 Tay Thanh, Tay Thanh Ward, Tan Phu District, Ho Chi Minh, Vietnam</t>
  </si>
  <si>
    <t>3Tay Thanh, Tay Thanh Ward, Tan Phu District, Ho Chi Minh, Vietnam</t>
  </si>
  <si>
    <t>4 Tay Thanh, Tay Thanh Ward, Tan Phu District, Ho Chi Minh, Vietnam</t>
  </si>
  <si>
    <t>COOKWARE</t>
  </si>
  <si>
    <t>LIDS</t>
  </si>
  <si>
    <t>HOME_CLEANING</t>
  </si>
  <si>
    <t>CLEANER</t>
  </si>
  <si>
    <t>OEM, ODM</t>
  </si>
  <si>
    <t>Cast Iron</t>
  </si>
  <si>
    <t>Copper</t>
  </si>
  <si>
    <t>24.7 Mil USD / 2011</t>
  </si>
  <si>
    <t>IKEA111</t>
  </si>
  <si>
    <t>2-Mar-2015 - 2nd visit</t>
  </si>
  <si>
    <t>OR</t>
  </si>
  <si>
    <t>depends on the latest data from SIF or IDS</t>
  </si>
  <si>
    <t>QUALITY PERFORMANCE</t>
  </si>
  <si>
    <t>LOGISTICS PERFORMANCE</t>
  </si>
  <si>
    <t>PURCHASING PERFORMANCE</t>
  </si>
  <si>
    <t>PRODUCT DEVELOPMENT PERFORMANCE</t>
  </si>
  <si>
    <t>vsAvgY-1</t>
  </si>
  <si>
    <t>vsLKPY-1</t>
  </si>
  <si>
    <t>vsSTDFP</t>
  </si>
  <si>
    <t>vsSTDUSDFP</t>
  </si>
  <si>
    <t>year</t>
  </si>
  <si>
    <t>month</t>
  </si>
  <si>
    <t>Date issue:</t>
  </si>
  <si>
    <t xml:space="preserve">AIRTEK </t>
  </si>
  <si>
    <t>NQSU(PPM)</t>
  </si>
  <si>
    <t>SASL%</t>
  </si>
  <si>
    <t>SSL%</t>
  </si>
  <si>
    <t>No. of order</t>
  </si>
  <si>
    <t>No. of shipment</t>
  </si>
  <si>
    <t>Project On Time%</t>
  </si>
  <si>
    <t>RP4 + RampUp</t>
  </si>
  <si>
    <t>RP1-RP4</t>
  </si>
  <si>
    <t>SEB ASIA LTD -  Dashboard</t>
  </si>
  <si>
    <t>display all the tooling details</t>
  </si>
  <si>
    <t>CMMF</t>
  </si>
  <si>
    <t>Description</t>
  </si>
  <si>
    <t>CMMF Price List Last FOB in SAP (Master), LKP (Order) ,  STD</t>
  </si>
  <si>
    <t>Turnover Year to date</t>
  </si>
  <si>
    <t>FOB in SAP Year to date</t>
  </si>
  <si>
    <t>FOB in SAP Year to date Y-1</t>
  </si>
  <si>
    <t>FOB in SAP Year to date Y-2</t>
  </si>
  <si>
    <t>FOB in SAP Year to date Y-3</t>
  </si>
  <si>
    <t>FOB in SAP Year to date Y-4</t>
  </si>
  <si>
    <t>LKP Year to date</t>
  </si>
  <si>
    <t>LKP Year to date Y-1</t>
  </si>
  <si>
    <t>LKP Year to date Y-2</t>
  </si>
  <si>
    <t>LKP Year to date Y-3</t>
  </si>
  <si>
    <t>LKP Year to date Y-4</t>
  </si>
  <si>
    <t>STD price Year to date</t>
  </si>
  <si>
    <t>STD price Year to date Y-1</t>
  </si>
  <si>
    <t>STD price Year to date Y-2</t>
  </si>
  <si>
    <t>STD price Year to date Y-3</t>
  </si>
  <si>
    <t>STD price Year to date Y-4</t>
  </si>
  <si>
    <t>Area</t>
  </si>
  <si>
    <t>City</t>
  </si>
  <si>
    <t>Province</t>
  </si>
  <si>
    <t>Country</t>
  </si>
  <si>
    <t>Supplier Basic Information</t>
  </si>
  <si>
    <t>Supplier's Customer/ Brand/ Product</t>
  </si>
  <si>
    <t>Title</t>
  </si>
  <si>
    <t>Responsible Purchasing Charter/Social Audit Result</t>
  </si>
  <si>
    <t>Supplier Tooling Information</t>
  </si>
  <si>
    <t>Scorecard</t>
  </si>
  <si>
    <t>Contractual terms</t>
  </si>
  <si>
    <t>…</t>
  </si>
  <si>
    <t>SS-1921253 PINON</t>
  </si>
  <si>
    <t>SEB ASIA LTD -  Supplier information Dashboard</t>
  </si>
  <si>
    <t>Issue Date:</t>
  </si>
  <si>
    <t>Supplier:</t>
  </si>
  <si>
    <t>Supplier Short Name</t>
  </si>
  <si>
    <t>Supplier Name</t>
  </si>
  <si>
    <t>Supplier Code</t>
  </si>
  <si>
    <t>Product Type Filter</t>
  </si>
  <si>
    <t>Vendor Status Filter</t>
  </si>
  <si>
    <t>Year Period From Filter</t>
  </si>
  <si>
    <t>Filter applied:</t>
  </si>
  <si>
    <t>Range Code</t>
  </si>
  <si>
    <t>Commerical Code</t>
  </si>
  <si>
    <t>SEB Asia Platform only (Y/N)</t>
  </si>
  <si>
    <t>N</t>
  </si>
  <si>
    <t>1 - Front page</t>
  </si>
  <si>
    <t>2 - Turnover</t>
  </si>
  <si>
    <t>Turnover:</t>
  </si>
  <si>
    <t>SAP Payment Terms</t>
  </si>
  <si>
    <t>Contract Payment Terms</t>
  </si>
  <si>
    <t>Contract Payment terms Effective Date</t>
  </si>
  <si>
    <t>Contract Payment terms Expired Date</t>
  </si>
  <si>
    <t>VFP Product Type</t>
  </si>
  <si>
    <t>VFP Date</t>
  </si>
  <si>
    <t>NQSU Comment</t>
  </si>
  <si>
    <t>NQSU Effective Date</t>
  </si>
  <si>
    <t>NQSU Expired Date</t>
  </si>
  <si>
    <t>Contract SASL%</t>
  </si>
  <si>
    <t>Contract Lead Time (Days)</t>
  </si>
  <si>
    <t>Contract NQSU (PPM)</t>
  </si>
  <si>
    <t>Document Date</t>
  </si>
  <si>
    <t>Document type(Authorization Letter/Project Specification)</t>
  </si>
  <si>
    <t>Project Name</t>
  </si>
  <si>
    <t>Expired Date</t>
  </si>
  <si>
    <t>Contract Lead Time Expired Date</t>
  </si>
  <si>
    <t>Contract Lead Time Effective Date</t>
  </si>
  <si>
    <t>SASL Lead Time Comment</t>
  </si>
  <si>
    <t>Tooling ID</t>
  </si>
  <si>
    <t>Supplier Mold No</t>
  </si>
  <si>
    <t>Tools Description</t>
  </si>
  <si>
    <t>Cost (USD)</t>
  </si>
  <si>
    <t>Family Name</t>
  </si>
  <si>
    <t>Applicant Date</t>
  </si>
  <si>
    <t>Type of Investment</t>
  </si>
  <si>
    <t>AEB</t>
  </si>
  <si>
    <t>Budget Amount (USD)</t>
  </si>
  <si>
    <t>Comments</t>
  </si>
  <si>
    <t>Finance Asset No</t>
  </si>
  <si>
    <t>Applicant Name</t>
  </si>
  <si>
    <t>SBU Name</t>
  </si>
  <si>
    <t>Vendor Code</t>
  </si>
  <si>
    <t>Vendor Name</t>
  </si>
  <si>
    <t>Asset Purchase ID</t>
  </si>
  <si>
    <t>Document (Responsible Purchasing Charter/Social Audit Result)</t>
  </si>
  <si>
    <t>Charter Version</t>
  </si>
  <si>
    <t>Audit By</t>
  </si>
  <si>
    <t>Audit Type</t>
  </si>
  <si>
    <t>Audit Grade</t>
  </si>
  <si>
    <t>Custom Name</t>
  </si>
  <si>
    <t>Chinese Name</t>
  </si>
  <si>
    <t>English Name</t>
  </si>
  <si>
    <t>English Address</t>
  </si>
  <si>
    <t>Chinese Address</t>
  </si>
  <si>
    <t>Factory Mobile No</t>
  </si>
  <si>
    <t>Office Mobile No</t>
  </si>
  <si>
    <t>Factory Phone No</t>
  </si>
  <si>
    <t>Office Phone No</t>
  </si>
  <si>
    <t>Contact Name</t>
  </si>
  <si>
    <t>Document Type (SIF/IDS)</t>
  </si>
  <si>
    <t>Customer Name1</t>
  </si>
  <si>
    <t>Customer Name2</t>
  </si>
  <si>
    <t>Customer Name3</t>
  </si>
  <si>
    <t>SIF Brand3</t>
  </si>
  <si>
    <t>Main Shareholders Name1</t>
  </si>
  <si>
    <t>SIF Main Shareholders Name2</t>
  </si>
  <si>
    <t>SIF Main Shareholders Name3</t>
  </si>
  <si>
    <t>SIF% Share1</t>
  </si>
  <si>
    <t>SIF% Share2</t>
  </si>
  <si>
    <t>SIF% Share3</t>
  </si>
  <si>
    <t>SIF Date</t>
  </si>
  <si>
    <t>SIF OEM%</t>
  </si>
  <si>
    <t>SIF ODM%</t>
  </si>
  <si>
    <t>SIF Main Products Sold1</t>
  </si>
  <si>
    <t>SIF Main Products Sold2</t>
  </si>
  <si>
    <t>SIF Main Products Sold3</t>
  </si>
  <si>
    <t xml:space="preserve">IDS LAST UPDATING </t>
  </si>
  <si>
    <t>IDS STATUS</t>
  </si>
  <si>
    <t>IDS OFFICE ADDRESS</t>
  </si>
  <si>
    <t>IDS CONTACT</t>
  </si>
  <si>
    <t>IDS CONTACT POSITION</t>
  </si>
  <si>
    <t>IDS CONTACT MAIL</t>
  </si>
  <si>
    <t>IDS VISIT</t>
  </si>
  <si>
    <t xml:space="preserve">IDS VISIT WHEN </t>
  </si>
  <si>
    <t>IDS VISIT WHO</t>
  </si>
  <si>
    <t>IDS CAPACITY OF PRODUCTION</t>
  </si>
  <si>
    <t>IDS NO FACTORY</t>
  </si>
  <si>
    <t>IDS NO WORKER</t>
  </si>
  <si>
    <t>IDS ASSEMBLY LINE</t>
  </si>
  <si>
    <t>IDS TOTAL AREA</t>
  </si>
  <si>
    <t>IDS FACTORY1</t>
  </si>
  <si>
    <t>IDS FACTORY2</t>
  </si>
  <si>
    <t>IDS FACTORY3</t>
  </si>
  <si>
    <t>IDS SBU1</t>
  </si>
  <si>
    <t>IDS FAMILLY NAME1</t>
  </si>
  <si>
    <t>IDS SBU2</t>
  </si>
  <si>
    <t>IDS FAMILLY NAME2</t>
  </si>
  <si>
    <t>IDS OEM ODM</t>
  </si>
  <si>
    <t>IDS MATERIAL1</t>
  </si>
  <si>
    <t>IDS MATERIAL2</t>
  </si>
  <si>
    <t>IDS ORIGIN INFO</t>
  </si>
  <si>
    <t>IDS TURNOVER YEARS</t>
  </si>
  <si>
    <t>IDS CUSTOMERS4</t>
  </si>
  <si>
    <t>IDS SYNTHESIS</t>
  </si>
  <si>
    <t>SPM</t>
  </si>
  <si>
    <t>PM</t>
  </si>
  <si>
    <t xml:space="preserve">Since </t>
  </si>
  <si>
    <t>Since</t>
  </si>
  <si>
    <t>Lily LI</t>
  </si>
  <si>
    <t>Wendy HO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</si>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</sst>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>
  <numFmts count="2">
    <numFmt numFmtId="164" formatCode="0.0%"/>
    <numFmt numFmtId="165" formatCode="[$-409]d\-mmm\-yy;@"/>
  </numFmts>
  <fonts count="2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7"/>
      <color rgb="FF0000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5">
    <xf numFmtId="0" fontId="0" fillId="0" borderId="0" xfId="0"/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left" vertical="center" wrapText="1"/>
    </xf>
    <xf numFmtId="0" fontId="2" fillId="0" borderId="11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" fillId="0" borderId="2" xfId="0" applyFont="1" applyBorder="1"/>
    <xf numFmtId="0" fontId="6" fillId="0" borderId="0" xfId="0" applyFont="1"/>
    <xf numFmtId="0" fontId="2" fillId="0" borderId="0" xfId="0" applyFont="1" applyBorder="1" applyAlignment="1">
      <alignment horizontal="center" vertical="center" wrapText="1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/>
    </xf>
    <xf numFmtId="0" fontId="8" fillId="0" borderId="0" xfId="0" applyFont="1"/>
    <xf numFmtId="0" fontId="2" fillId="3" borderId="2" xfId="0" applyFont="1" applyFill="1" applyBorder="1" applyAlignment="1">
      <alignment horizontal="right"/>
    </xf>
    <xf numFmtId="9" fontId="2" fillId="3" borderId="2" xfId="0" applyNumberFormat="1" applyFont="1" applyFill="1" applyBorder="1" applyAlignment="1">
      <alignment horizontal="right"/>
    </xf>
    <xf numFmtId="0" fontId="4" fillId="0" borderId="0" xfId="0" applyFont="1" applyBorder="1" applyAlignment="1">
      <alignment horizontal="center"/>
    </xf>
    <xf numFmtId="0" fontId="2" fillId="0" borderId="0" xfId="0" applyFont="1" applyFill="1" applyAlignment="1">
      <alignment vertical="center"/>
    </xf>
    <xf numFmtId="0" fontId="9" fillId="3" borderId="0" xfId="0" applyFont="1" applyFill="1" applyAlignment="1">
      <alignment vertical="center"/>
    </xf>
    <xf numFmtId="0" fontId="10" fillId="3" borderId="0" xfId="0" applyFont="1" applyFill="1" applyAlignment="1">
      <alignment vertical="center"/>
    </xf>
    <xf numFmtId="0" fontId="0" fillId="0" borderId="0" xfId="0" applyFont="1"/>
    <xf numFmtId="0" fontId="0" fillId="0" borderId="0" xfId="0" applyFont="1" applyAlignment="1">
      <alignment horizontal="left"/>
    </xf>
    <xf numFmtId="15" fontId="0" fillId="0" borderId="0" xfId="0" applyNumberFormat="1" applyFont="1" applyAlignment="1">
      <alignment horizontal="left"/>
    </xf>
    <xf numFmtId="0" fontId="2" fillId="0" borderId="0" xfId="0" applyFont="1" applyAlignment="1"/>
    <xf numFmtId="0" fontId="2" fillId="0" borderId="0" xfId="0" applyFont="1"/>
    <xf numFmtId="0" fontId="0" fillId="0" borderId="0" xfId="0" applyFont="1" applyBorder="1"/>
    <xf numFmtId="0" fontId="2" fillId="0" borderId="0" xfId="0" applyFont="1" applyBorder="1" applyAlignment="1"/>
    <xf numFmtId="0" fontId="3" fillId="0" borderId="0" xfId="0" applyFont="1" applyBorder="1" applyAlignment="1"/>
    <xf numFmtId="0" fontId="11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15" fontId="13" fillId="0" borderId="0" xfId="0" applyNumberFormat="1" applyFont="1" applyAlignment="1">
      <alignment horizontal="left" vertical="center"/>
    </xf>
    <xf numFmtId="0" fontId="3" fillId="2" borderId="15" xfId="0" applyFont="1" applyFill="1" applyBorder="1" applyAlignment="1">
      <alignment vertical="center" wrapText="1"/>
    </xf>
    <xf numFmtId="0" fontId="3" fillId="0" borderId="15" xfId="0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17" fontId="13" fillId="0" borderId="15" xfId="0" applyNumberFormat="1" applyFont="1" applyBorder="1" applyAlignment="1">
      <alignment horizontal="center" vertical="center"/>
    </xf>
    <xf numFmtId="0" fontId="0" fillId="0" borderId="16" xfId="0" applyFont="1" applyBorder="1"/>
    <xf numFmtId="0" fontId="3" fillId="0" borderId="16" xfId="0" applyFont="1" applyBorder="1" applyAlignment="1">
      <alignment horizontal="center"/>
    </xf>
    <xf numFmtId="0" fontId="2" fillId="0" borderId="16" xfId="0" applyFont="1" applyBorder="1" applyAlignment="1"/>
    <xf numFmtId="0" fontId="3" fillId="4" borderId="15" xfId="0" applyFont="1" applyFill="1" applyBorder="1" applyAlignment="1">
      <alignment vertical="center" wrapText="1"/>
    </xf>
    <xf numFmtId="0" fontId="3" fillId="0" borderId="16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12" fillId="0" borderId="0" xfId="0" applyFont="1"/>
    <xf numFmtId="0" fontId="5" fillId="0" borderId="0" xfId="0" applyFont="1" applyAlignment="1">
      <alignment horizontal="right"/>
    </xf>
    <xf numFmtId="3" fontId="5" fillId="0" borderId="2" xfId="0" applyNumberFormat="1" applyFont="1" applyBorder="1" applyAlignment="1">
      <alignment vertical="center"/>
    </xf>
    <xf numFmtId="9" fontId="12" fillId="0" borderId="2" xfId="1" applyNumberFormat="1" applyFont="1" applyBorder="1"/>
    <xf numFmtId="0" fontId="12" fillId="0" borderId="0" xfId="0" applyFont="1" applyFill="1" applyBorder="1" applyAlignment="1">
      <alignment vertical="center"/>
    </xf>
    <xf numFmtId="164" fontId="5" fillId="0" borderId="2" xfId="1" applyNumberFormat="1" applyFont="1" applyBorder="1"/>
    <xf numFmtId="0" fontId="5" fillId="4" borderId="0" xfId="0" quotePrefix="1" applyFont="1" applyFill="1" applyAlignment="1">
      <alignment vertical="center"/>
    </xf>
    <xf numFmtId="0" fontId="12" fillId="0" borderId="7" xfId="0" applyFont="1" applyBorder="1"/>
    <xf numFmtId="0" fontId="5" fillId="0" borderId="0" xfId="0" applyFont="1" applyAlignment="1">
      <alignment horizontal="center" vertical="center"/>
    </xf>
    <xf numFmtId="0" fontId="12" fillId="0" borderId="6" xfId="0" applyFont="1" applyBorder="1"/>
    <xf numFmtId="0" fontId="12" fillId="0" borderId="2" xfId="0" applyFont="1" applyBorder="1"/>
    <xf numFmtId="3" fontId="5" fillId="0" borderId="6" xfId="0" applyNumberFormat="1" applyFont="1" applyBorder="1" applyAlignment="1">
      <alignment vertical="center"/>
    </xf>
    <xf numFmtId="0" fontId="12" fillId="0" borderId="0" xfId="0" applyFont="1" applyBorder="1"/>
    <xf numFmtId="0" fontId="5" fillId="0" borderId="0" xfId="0" applyFont="1" applyAlignment="1">
      <alignment horizontal="center" vertical="top"/>
    </xf>
    <xf numFmtId="0" fontId="3" fillId="0" borderId="0" xfId="0" applyFont="1" applyAlignment="1"/>
    <xf numFmtId="0" fontId="2" fillId="0" borderId="0" xfId="0" applyFont="1" applyBorder="1"/>
    <xf numFmtId="15" fontId="0" fillId="0" borderId="0" xfId="0" applyNumberFormat="1" applyFont="1" applyBorder="1" applyAlignment="1">
      <alignment horizontal="left"/>
    </xf>
    <xf numFmtId="0" fontId="0" fillId="0" borderId="7" xfId="0" applyFont="1" applyBorder="1"/>
    <xf numFmtId="0" fontId="3" fillId="0" borderId="7" xfId="0" applyFont="1" applyBorder="1" applyAlignment="1"/>
    <xf numFmtId="0" fontId="2" fillId="0" borderId="7" xfId="0" applyFont="1" applyBorder="1" applyAlignment="1"/>
    <xf numFmtId="0" fontId="9" fillId="3" borderId="0" xfId="0" applyFont="1" applyFill="1"/>
    <xf numFmtId="0" fontId="2" fillId="5" borderId="0" xfId="0" applyFont="1" applyFill="1"/>
    <xf numFmtId="0" fontId="0" fillId="0" borderId="2" xfId="0" applyFont="1" applyBorder="1"/>
    <xf numFmtId="0" fontId="15" fillId="0" borderId="0" xfId="0" applyFont="1"/>
    <xf numFmtId="0" fontId="9" fillId="3" borderId="0" xfId="0" applyFont="1" applyFill="1" applyBorder="1"/>
    <xf numFmtId="0" fontId="2" fillId="3" borderId="2" xfId="0" applyFont="1" applyFill="1" applyBorder="1"/>
    <xf numFmtId="15" fontId="0" fillId="0" borderId="2" xfId="0" applyNumberFormat="1" applyFont="1" applyBorder="1"/>
    <xf numFmtId="0" fontId="0" fillId="0" borderId="13" xfId="0" applyFont="1" applyBorder="1"/>
    <xf numFmtId="0" fontId="16" fillId="0" borderId="0" xfId="0" applyFont="1" applyBorder="1"/>
    <xf numFmtId="15" fontId="0" fillId="0" borderId="0" xfId="0" applyNumberFormat="1" applyFont="1" applyBorder="1"/>
    <xf numFmtId="0" fontId="16" fillId="0" borderId="7" xfId="0" applyFont="1" applyBorder="1"/>
    <xf numFmtId="15" fontId="0" fillId="0" borderId="7" xfId="0" applyNumberFormat="1" applyFont="1" applyBorder="1"/>
    <xf numFmtId="15" fontId="0" fillId="0" borderId="0" xfId="0" applyNumberFormat="1" applyFont="1"/>
    <xf numFmtId="0" fontId="16" fillId="0" borderId="0" xfId="0" applyFont="1"/>
    <xf numFmtId="0" fontId="17" fillId="3" borderId="2" xfId="0" applyFont="1" applyFill="1" applyBorder="1"/>
    <xf numFmtId="0" fontId="2" fillId="3" borderId="2" xfId="0" applyFont="1" applyFill="1" applyBorder="1" applyAlignment="1"/>
    <xf numFmtId="0" fontId="2" fillId="6" borderId="2" xfId="0" applyFont="1" applyFill="1" applyBorder="1" applyAlignment="1">
      <alignment vertical="center"/>
    </xf>
    <xf numFmtId="0" fontId="2" fillId="3" borderId="2" xfId="0" applyFont="1" applyFill="1" applyBorder="1" applyAlignment="1">
      <alignment vertical="center"/>
    </xf>
    <xf numFmtId="0" fontId="0" fillId="0" borderId="0" xfId="0" applyFont="1" applyFill="1" applyAlignment="1"/>
    <xf numFmtId="0" fontId="0" fillId="0" borderId="12" xfId="0" applyFont="1" applyBorder="1"/>
    <xf numFmtId="0" fontId="0" fillId="0" borderId="0" xfId="0" applyFont="1" applyFill="1" applyAlignment="1">
      <alignment vertical="center"/>
    </xf>
    <xf numFmtId="0" fontId="0" fillId="0" borderId="0" xfId="0" applyFont="1" applyFill="1"/>
    <xf numFmtId="0" fontId="18" fillId="7" borderId="2" xfId="0" applyFont="1" applyFill="1" applyBorder="1" applyAlignment="1">
      <alignment wrapText="1"/>
    </xf>
    <xf numFmtId="0" fontId="0" fillId="0" borderId="10" xfId="0" applyFont="1" applyBorder="1"/>
    <xf numFmtId="0" fontId="18" fillId="8" borderId="2" xfId="0" applyFont="1" applyFill="1" applyBorder="1" applyAlignment="1">
      <alignment wrapText="1"/>
    </xf>
    <xf numFmtId="0" fontId="18" fillId="9" borderId="2" xfId="0" applyFont="1" applyFill="1" applyBorder="1" applyAlignment="1">
      <alignment wrapText="1"/>
    </xf>
    <xf numFmtId="0" fontId="18" fillId="10" borderId="2" xfId="0" applyFont="1" applyFill="1" applyBorder="1" applyAlignment="1">
      <alignment wrapText="1"/>
    </xf>
    <xf numFmtId="0" fontId="19" fillId="0" borderId="0" xfId="0" applyFont="1"/>
    <xf numFmtId="0" fontId="20" fillId="0" borderId="0" xfId="0" applyFont="1"/>
    <xf numFmtId="9" fontId="20" fillId="0" borderId="0" xfId="1" applyFont="1"/>
    <xf numFmtId="9" fontId="19" fillId="0" borderId="0" xfId="0" applyNumberFormat="1" applyFont="1"/>
    <xf numFmtId="0" fontId="3" fillId="0" borderId="12" xfId="0" applyFont="1" applyBorder="1" applyAlignment="1"/>
    <xf numFmtId="0" fontId="2" fillId="0" borderId="12" xfId="0" applyFont="1" applyBorder="1" applyAlignment="1"/>
    <xf numFmtId="0" fontId="16" fillId="0" borderId="2" xfId="0" applyFont="1" applyBorder="1"/>
    <xf numFmtId="0" fontId="16" fillId="0" borderId="5" xfId="0" applyFont="1" applyBorder="1" applyAlignment="1">
      <alignment horizontal="left"/>
    </xf>
    <xf numFmtId="0" fontId="16" fillId="0" borderId="5" xfId="0" applyFont="1" applyBorder="1"/>
    <xf numFmtId="165" fontId="15" fillId="0" borderId="2" xfId="0" applyNumberFormat="1" applyFont="1" applyBorder="1"/>
    <xf numFmtId="15" fontId="16" fillId="0" borderId="2" xfId="0" applyNumberFormat="1" applyFont="1" applyBorder="1"/>
    <xf numFmtId="0" fontId="8" fillId="0" borderId="0" xfId="0" applyFont="1" applyBorder="1"/>
    <xf numFmtId="17" fontId="8" fillId="0" borderId="0" xfId="0" applyNumberFormat="1" applyFont="1" applyBorder="1"/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9" fontId="20" fillId="3" borderId="2" xfId="1" applyFont="1" applyFill="1" applyBorder="1"/>
    <xf numFmtId="0" fontId="20" fillId="3" borderId="2" xfId="0" applyFont="1" applyFill="1" applyBorder="1"/>
    <xf numFmtId="0" fontId="19" fillId="3" borderId="2" xfId="0" applyFont="1" applyFill="1" applyBorder="1"/>
    <xf numFmtId="0" fontId="21" fillId="0" borderId="0" xfId="0" applyFont="1"/>
    <xf numFmtId="0" fontId="21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5" fillId="0" borderId="8" xfId="0" applyFont="1" applyBorder="1" applyAlignment="1">
      <alignment horizontal="center" vertical="center" wrapText="1"/>
    </xf>
    <xf numFmtId="0" fontId="12" fillId="0" borderId="9" xfId="0" applyFont="1" applyBorder="1"/>
    <xf numFmtId="0" fontId="14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12" fillId="0" borderId="3" xfId="0" applyFont="1" applyBorder="1"/>
    <xf numFmtId="0" fontId="5" fillId="0" borderId="3" xfId="0" applyFont="1" applyBorder="1" applyAlignment="1">
      <alignment horizontal="center" vertical="center" wrapText="1"/>
    </xf>
    <xf numFmtId="0" fontId="12" fillId="4" borderId="4" xfId="0" applyFont="1" applyFill="1" applyBorder="1" applyAlignment="1">
      <alignment horizontal="left" vertical="top"/>
    </xf>
    <xf numFmtId="0" fontId="12" fillId="4" borderId="5" xfId="0" applyFont="1" applyFill="1" applyBorder="1" applyAlignment="1">
      <alignment horizontal="left" vertical="top"/>
    </xf>
    <xf numFmtId="0" fontId="12" fillId="4" borderId="6" xfId="0" applyFont="1" applyFill="1" applyBorder="1" applyAlignment="1">
      <alignment horizontal="left" vertical="top"/>
    </xf>
    <xf numFmtId="0" fontId="5" fillId="0" borderId="0" xfId="0" applyFont="1" applyAlignment="1">
      <alignment horizontal="center" vertical="top"/>
    </xf>
    <xf numFmtId="0" fontId="2" fillId="0" borderId="1" xfId="0" applyFont="1" applyBorder="1" applyAlignment="1">
      <alignment horizontal="center" vertical="center" wrapText="1"/>
    </xf>
    <xf numFmtId="0" fontId="2" fillId="0" borderId="10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4" fillId="0" borderId="7" xfId="0" applyFont="1" applyBorder="1" applyAlignment="1">
      <alignment horizontal="center"/>
    </xf>
    <xf numFmtId="0" fontId="0" fillId="0" borderId="0" xfId="0" quotePrefix="1" applyFont="1" applyAlignment="1">
      <alignment horizontal="center"/>
    </xf>
    <xf numFmtId="0" fontId="0" fillId="0" borderId="0" xfId="0" applyFont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17" fillId="3" borderId="4" xfId="0" applyFont="1" applyFill="1" applyBorder="1" applyAlignment="1">
      <alignment horizontal="left"/>
    </xf>
    <xf numFmtId="0" fontId="17" fillId="3" borderId="6" xfId="0" applyFont="1" applyFill="1" applyBorder="1" applyAlignment="1">
      <alignment horizontal="left"/>
    </xf>
    <xf numFmtId="0" fontId="16" fillId="0" borderId="4" xfId="0" applyFont="1" applyBorder="1" applyAlignment="1">
      <alignment horizontal="left"/>
    </xf>
    <xf numFmtId="0" fontId="16" fillId="0" borderId="6" xfId="0" applyFont="1" applyBorder="1" applyAlignment="1">
      <alignment horizontal="left"/>
    </xf>
    <xf numFmtId="0" fontId="16" fillId="0" borderId="9" xfId="0" applyFont="1" applyBorder="1" applyAlignment="1">
      <alignment horizontal="left"/>
    </xf>
    <xf numFmtId="0" fontId="16" fillId="0" borderId="14" xfId="0" applyFont="1" applyBorder="1" applyAlignment="1">
      <alignment horizontal="left"/>
    </xf>
    <xf numFmtId="0" fontId="3" fillId="0" borderId="0" xfId="0" applyFont="1" applyBorder="1" applyAlignment="1">
      <alignment horizontal="center"/>
    </xf>
    <xf numFmtId="0" fontId="4" fillId="0" borderId="12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Turnover'!$D$13:$H$13</c:f>
              <c:numCache>
                <c:formatCode>#,##0</c:formatCode>
                <c:ptCount val="5"/>
                <c:pt idx="0">
                  <c:v>0</c:v>
                </c:pt>
                <c:pt idx="1">
                  <c:v>75000000</c:v>
                </c:pt>
                <c:pt idx="2">
                  <c:v>65000000</c:v>
                </c:pt>
                <c:pt idx="3">
                  <c:v>60000000</c:v>
                </c:pt>
                <c:pt idx="4">
                  <c:v>45000000</c:v>
                </c:pt>
              </c:numCache>
            </c:numRef>
          </c:val>
        </c:ser>
        <c:axId val="114755840"/>
        <c:axId val="114761728"/>
      </c:barChart>
      <c:catAx>
        <c:axId val="114755840"/>
        <c:scaling>
          <c:orientation val="minMax"/>
        </c:scaling>
        <c:axPos val="b"/>
        <c:numFmt formatCode="General" sourceLinked="1"/>
        <c:tickLblPos val="nextTo"/>
        <c:crossAx val="114761728"/>
        <c:crosses val="autoZero"/>
        <c:auto val="1"/>
        <c:lblAlgn val="ctr"/>
        <c:lblOffset val="100"/>
      </c:catAx>
      <c:valAx>
        <c:axId val="114761728"/>
        <c:scaling>
          <c:orientation val="minMax"/>
        </c:scaling>
        <c:axPos val="l"/>
        <c:majorGridlines/>
        <c:numFmt formatCode="#,##0" sourceLinked="1"/>
        <c:tickLblPos val="nextTo"/>
        <c:crossAx val="114755840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0933" l="0.70000000000000062" r="0.70000000000000062" t="0.750000000000009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Turnover'!$D$18:$H$18</c:f>
              <c:numCache>
                <c:formatCode>#,##0</c:formatCode>
                <c:ptCount val="5"/>
                <c:pt idx="0">
                  <c:v>17209449.100000001</c:v>
                </c:pt>
                <c:pt idx="1">
                  <c:v>18707459.180000003</c:v>
                </c:pt>
                <c:pt idx="2">
                  <c:v>26607655.880000025</c:v>
                </c:pt>
                <c:pt idx="3">
                  <c:v>32829123.260000013</c:v>
                </c:pt>
                <c:pt idx="4">
                  <c:v>33742652.080000013</c:v>
                </c:pt>
              </c:numCache>
            </c:numRef>
          </c:val>
        </c:ser>
        <c:axId val="114788992"/>
        <c:axId val="114794880"/>
      </c:barChart>
      <c:catAx>
        <c:axId val="114788992"/>
        <c:scaling>
          <c:orientation val="minMax"/>
        </c:scaling>
        <c:axPos val="b"/>
        <c:numFmt formatCode="General" sourceLinked="1"/>
        <c:tickLblPos val="nextTo"/>
        <c:crossAx val="114794880"/>
        <c:crosses val="autoZero"/>
        <c:auto val="1"/>
        <c:lblAlgn val="ctr"/>
        <c:lblOffset val="100"/>
      </c:catAx>
      <c:valAx>
        <c:axId val="114794880"/>
        <c:scaling>
          <c:orientation val="minMax"/>
        </c:scaling>
        <c:axPos val="l"/>
        <c:majorGridlines/>
        <c:numFmt formatCode="#,##0" sourceLinked="1"/>
        <c:tickLblPos val="nextTo"/>
        <c:crossAx val="114788992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cluster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Turnover'!$D$22:$H$22</c:f>
              <c:numCache>
                <c:formatCode>#,##0</c:formatCode>
                <c:ptCount val="5"/>
                <c:pt idx="0">
                  <c:v>17209449.100000001</c:v>
                </c:pt>
                <c:pt idx="1">
                  <c:v>18707459.180000003</c:v>
                </c:pt>
                <c:pt idx="2">
                  <c:v>26607655.880000025</c:v>
                </c:pt>
                <c:pt idx="3">
                  <c:v>32829123.260000013</c:v>
                </c:pt>
                <c:pt idx="4">
                  <c:v>33742652.080000013</c:v>
                </c:pt>
              </c:numCache>
            </c:numRef>
          </c:val>
        </c:ser>
        <c:axId val="114801664"/>
        <c:axId val="114815744"/>
      </c:barChart>
      <c:catAx>
        <c:axId val="114801664"/>
        <c:scaling>
          <c:orientation val="minMax"/>
        </c:scaling>
        <c:axPos val="b"/>
        <c:numFmt formatCode="General" sourceLinked="1"/>
        <c:tickLblPos val="nextTo"/>
        <c:crossAx val="114815744"/>
        <c:crosses val="autoZero"/>
        <c:auto val="1"/>
        <c:lblAlgn val="ctr"/>
        <c:lblOffset val="100"/>
      </c:catAx>
      <c:valAx>
        <c:axId val="114815744"/>
        <c:scaling>
          <c:orientation val="minMax"/>
        </c:scaling>
        <c:axPos val="l"/>
        <c:majorGridlines/>
        <c:numFmt formatCode="#,##0" sourceLinked="1"/>
        <c:tickLblPos val="nextTo"/>
        <c:crossAx val="114801664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Turnover'!$D$29:$H$29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Turnover'!$D$30:$H$30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Turnover'!$D$31:$H$31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Turnover'!$D$32:$H$32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Turnover'!$D$33:$H$33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17156480"/>
        <c:axId val="117162368"/>
      </c:barChart>
      <c:catAx>
        <c:axId val="117156480"/>
        <c:scaling>
          <c:orientation val="minMax"/>
        </c:scaling>
        <c:axPos val="b"/>
        <c:numFmt formatCode="General" sourceLinked="1"/>
        <c:tickLblPos val="nextTo"/>
        <c:crossAx val="117162368"/>
        <c:crosses val="autoZero"/>
        <c:auto val="1"/>
        <c:lblAlgn val="ctr"/>
        <c:lblOffset val="100"/>
      </c:catAx>
      <c:valAx>
        <c:axId val="117162368"/>
        <c:scaling>
          <c:orientation val="minMax"/>
        </c:scaling>
        <c:axPos val="l"/>
        <c:majorGridlines/>
        <c:numFmt formatCode="#,##0" sourceLinked="1"/>
        <c:tickLblPos val="nextTo"/>
        <c:crossAx val="117156480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0977" l="0.70000000000000062" r="0.70000000000000062" t="0.750000000000009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Turnover'!$D$36:$H$36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Turnover'!$D$37:$H$37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Turnover'!$D$38:$H$38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Turnover'!$D$39:$H$39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Turnover'!$D$40:$H$40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Turnover'!$D$41:$H$41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Turnover'!$D$42:$H$42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Turnover'!$D$43:$H$43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Turnover'!$D$44:$H$44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18867456"/>
        <c:axId val="118868992"/>
      </c:barChart>
      <c:catAx>
        <c:axId val="118867456"/>
        <c:scaling>
          <c:orientation val="minMax"/>
        </c:scaling>
        <c:axPos val="b"/>
        <c:numFmt formatCode="General" sourceLinked="1"/>
        <c:tickLblPos val="nextTo"/>
        <c:crossAx val="118868992"/>
        <c:crosses val="autoZero"/>
        <c:auto val="1"/>
        <c:lblAlgn val="ctr"/>
        <c:lblOffset val="100"/>
      </c:catAx>
      <c:valAx>
        <c:axId val="118868992"/>
        <c:scaling>
          <c:orientation val="minMax"/>
        </c:scaling>
        <c:axPos val="l"/>
        <c:majorGridlines/>
        <c:numFmt formatCode="#,##0" sourceLinked="1"/>
        <c:tickLblPos val="nextTo"/>
        <c:crossAx val="118867456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0999" l="0.70000000000000062" r="0.70000000000000062" t="0.75000000000000999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Turnover'!$D$47:$H$47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Turnover'!$D$48:$H$48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Turnover'!$D$49:$H$49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Turnover'!$D$50:$H$50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Turnover'!$D$51:$H$51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Turnover'!$D$52:$H$52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Turnover'!$D$53:$H$53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Turnover'!$D$54:$H$54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Turnover'!$D$55:$H$55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Turnover'!$D$56:$H$56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Turnover'!$D$57:$H$57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Turnover'!$D$58:$H$58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Turnover'!$D$59:$H$59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Turnover'!$D$60:$H$60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Turnover'!$D$61:$H$61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Turnover'!$D$62:$H$62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Turnover'!$D$63:$H$63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Turnover'!$D$64:$H$64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Turnover'!$D$65:$H$65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Turnover'!$D$66:$H$66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18961664"/>
        <c:axId val="118963200"/>
      </c:barChart>
      <c:catAx>
        <c:axId val="118961664"/>
        <c:scaling>
          <c:orientation val="minMax"/>
        </c:scaling>
        <c:axPos val="b"/>
        <c:numFmt formatCode="General" sourceLinked="1"/>
        <c:tickLblPos val="nextTo"/>
        <c:crossAx val="118963200"/>
        <c:crosses val="autoZero"/>
        <c:auto val="1"/>
        <c:lblAlgn val="ctr"/>
        <c:lblOffset val="100"/>
      </c:catAx>
      <c:valAx>
        <c:axId val="118963200"/>
        <c:scaling>
          <c:orientation val="minMax"/>
        </c:scaling>
        <c:axPos val="l"/>
        <c:majorGridlines/>
        <c:numFmt formatCode="#,##0" sourceLinked="1"/>
        <c:tickLblPos val="nextTo"/>
        <c:crossAx val="118961664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021" l="0.70000000000000062" r="0.70000000000000062" t="0.7500000000000102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26426846031093798"/>
          <c:y val="0.1772232402987364"/>
          <c:w val="0.68832976434497495"/>
          <c:h val="0.50270355874301487"/>
        </c:manualLayout>
      </c:layout>
      <c:barChart>
        <c:barDir val="col"/>
        <c:grouping val="stacked"/>
        <c:ser>
          <c:idx val="0"/>
          <c:order val="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Turnover'!$D$69:$H$69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Turnover'!$D$70:$H$70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2"/>
          <c:order val="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Turnover'!$D$71:$H$71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3"/>
          <c:order val="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Turnover'!$D$72:$H$72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4"/>
          <c:order val="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Turnover'!$D$73:$H$73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5"/>
          <c:order val="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Turnover'!$D$74:$H$74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6"/>
          <c:order val="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Turnover'!$D$75:$H$75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Turnover'!$D$76:$H$76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8"/>
          <c:order val="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Turnover'!$D$77:$H$77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Turnover'!$D$78:$H$78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10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Turnover'!$D$79:$H$79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1"/>
          <c:order val="11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Turnover'!$D$80:$H$80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2"/>
          <c:order val="12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Turnover'!$D$81:$H$81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3"/>
          <c:order val="13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Turnover'!$D$82:$H$82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4"/>
          <c:order val="14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Turnover'!$D$83:$H$83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5"/>
          <c:order val="15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Turnover'!$D$84:$H$84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6"/>
          <c:order val="16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Turnover'!$D$85:$H$85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7"/>
          <c:order val="17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Turnover'!$D$86:$H$86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8"/>
          <c:order val="18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Turnover'!$D$87:$H$87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9"/>
          <c:order val="19"/>
          <c:cat>
            <c:numRef>
              <c:f>'2 Turnover'!$D$11:$H$11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'2 Turnover'!$D$88:$H$88</c:f>
              <c:numCache>
                <c:formatCode>#,##0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overlap val="100"/>
        <c:axId val="119075584"/>
        <c:axId val="119077120"/>
      </c:barChart>
      <c:catAx>
        <c:axId val="119075584"/>
        <c:scaling>
          <c:orientation val="minMax"/>
        </c:scaling>
        <c:axPos val="b"/>
        <c:numFmt formatCode="General" sourceLinked="1"/>
        <c:tickLblPos val="nextTo"/>
        <c:crossAx val="119077120"/>
        <c:crosses val="autoZero"/>
        <c:auto val="1"/>
        <c:lblAlgn val="ctr"/>
        <c:lblOffset val="100"/>
      </c:catAx>
      <c:valAx>
        <c:axId val="119077120"/>
        <c:scaling>
          <c:orientation val="minMax"/>
        </c:scaling>
        <c:axPos val="l"/>
        <c:majorGridlines/>
        <c:numFmt formatCode="#,##0" sourceLinked="1"/>
        <c:tickLblPos val="nextTo"/>
        <c:crossAx val="119075584"/>
        <c:crosses val="autoZero"/>
        <c:crossBetween val="between"/>
      </c:valAx>
    </c:plotArea>
    <c:plotVisOnly val="1"/>
  </c:chart>
  <c:txPr>
    <a:bodyPr/>
    <a:lstStyle/>
    <a:p>
      <a:pPr>
        <a:defRPr sz="1400"/>
      </a:pPr>
      <a:endParaRPr lang="en-US"/>
    </a:p>
  </c:txPr>
  <c:printSettings>
    <c:headerFooter/>
    <c:pageMargins b="0.75000000000001044" l="0.70000000000000062" r="0.70000000000000062" t="0.75000000000001044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8.5184403495954755E-2"/>
          <c:y val="5.8280919139058383E-2"/>
          <c:w val="0.88288421679248863"/>
          <c:h val="0.71047690062334901"/>
        </c:manualLayout>
      </c:layout>
      <c:barChart>
        <c:barDir val="col"/>
        <c:grouping val="clustered"/>
        <c:ser>
          <c:idx val="2"/>
          <c:order val="0"/>
          <c:tx>
            <c:strRef>
              <c:f>Scorecard!$C$40</c:f>
              <c:strCache>
                <c:ptCount val="1"/>
                <c:pt idx="0">
                  <c:v>vs Avg Y-1</c:v>
                </c:pt>
              </c:strCache>
            </c:strRef>
          </c:tx>
          <c:cat>
            <c:numRef>
              <c:f>Scorecard!$D$38:$H$38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Scorecard!$D$40:$H$40</c:f>
              <c:numCache>
                <c:formatCode>General</c:formatCode>
                <c:ptCount val="5"/>
                <c:pt idx="0">
                  <c:v>98.65</c:v>
                </c:pt>
                <c:pt idx="1">
                  <c:v>99.59</c:v>
                </c:pt>
                <c:pt idx="2">
                  <c:v>100.37</c:v>
                </c:pt>
                <c:pt idx="3">
                  <c:v>101.46</c:v>
                </c:pt>
                <c:pt idx="4">
                  <c:v>105.46</c:v>
                </c:pt>
              </c:numCache>
            </c:numRef>
          </c:val>
        </c:ser>
        <c:ser>
          <c:idx val="3"/>
          <c:order val="1"/>
          <c:tx>
            <c:strRef>
              <c:f>Scorecard!$C$41</c:f>
              <c:strCache>
                <c:ptCount val="1"/>
                <c:pt idx="0">
                  <c:v>vs LKP Y-1</c:v>
                </c:pt>
              </c:strCache>
            </c:strRef>
          </c:tx>
          <c:cat>
            <c:numRef>
              <c:f>Scorecard!$D$38:$H$38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Scorecard!$D$41:$H$41</c:f>
              <c:numCache>
                <c:formatCode>General</c:formatCode>
                <c:ptCount val="5"/>
                <c:pt idx="0">
                  <c:v>99.79</c:v>
                </c:pt>
                <c:pt idx="1">
                  <c:v>99.49</c:v>
                </c:pt>
                <c:pt idx="2">
                  <c:v>100.29</c:v>
                </c:pt>
                <c:pt idx="3">
                  <c:v>100.66</c:v>
                </c:pt>
                <c:pt idx="4">
                  <c:v>104.65</c:v>
                </c:pt>
              </c:numCache>
            </c:numRef>
          </c:val>
        </c:ser>
        <c:axId val="119242112"/>
        <c:axId val="119264384"/>
      </c:barChart>
      <c:lineChart>
        <c:grouping val="stacked"/>
        <c:ser>
          <c:idx val="4"/>
          <c:order val="2"/>
          <c:tx>
            <c:strRef>
              <c:f>Scorecard!$C$42</c:f>
              <c:strCache>
                <c:ptCount val="1"/>
                <c:pt idx="0">
                  <c:v>vs STD</c:v>
                </c:pt>
              </c:strCache>
            </c:strRef>
          </c:tx>
          <c:cat>
            <c:numRef>
              <c:f>Scorecard!$D$38:$H$38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Scorecard!$D$42:$H$42</c:f>
              <c:numCache>
                <c:formatCode>General</c:formatCode>
                <c:ptCount val="5"/>
                <c:pt idx="0">
                  <c:v>99.18</c:v>
                </c:pt>
                <c:pt idx="1">
                  <c:v>98.55</c:v>
                </c:pt>
                <c:pt idx="2">
                  <c:v>100.24</c:v>
                </c:pt>
                <c:pt idx="3">
                  <c:v>99.72</c:v>
                </c:pt>
                <c:pt idx="4">
                  <c:v>102.56</c:v>
                </c:pt>
              </c:numCache>
            </c:numRef>
          </c:val>
        </c:ser>
        <c:marker val="1"/>
        <c:axId val="119242112"/>
        <c:axId val="119264384"/>
      </c:lineChart>
      <c:catAx>
        <c:axId val="119242112"/>
        <c:scaling>
          <c:orientation val="minMax"/>
        </c:scaling>
        <c:axPos val="b"/>
        <c:numFmt formatCode="General" sourceLinked="1"/>
        <c:tickLblPos val="nextTo"/>
        <c:crossAx val="119264384"/>
        <c:crosses val="autoZero"/>
        <c:auto val="1"/>
        <c:lblAlgn val="ctr"/>
        <c:lblOffset val="100"/>
      </c:catAx>
      <c:valAx>
        <c:axId val="119264384"/>
        <c:scaling>
          <c:orientation val="minMax"/>
          <c:min val="90"/>
        </c:scaling>
        <c:axPos val="l"/>
        <c:majorGridlines/>
        <c:numFmt formatCode="General" sourceLinked="1"/>
        <c:tickLblPos val="nextTo"/>
        <c:crossAx val="119242112"/>
        <c:crosses val="autoZero"/>
        <c:crossBetween val="between"/>
        <c:majorUnit val="5"/>
      </c:valAx>
    </c:plotArea>
    <c:legend>
      <c:legendPos val="r"/>
      <c:layout>
        <c:manualLayout>
          <c:xMode val="edge"/>
          <c:yMode val="edge"/>
          <c:x val="3.3360716508374605E-2"/>
          <c:y val="0.86155171366205263"/>
          <c:w val="0.92265302919609271"/>
          <c:h val="0.10104321365523262"/>
        </c:manualLayout>
      </c:layout>
    </c:legend>
    <c:plotVisOnly val="1"/>
    <c:dispBlanksAs val="zero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autoTitleDeleted val="1"/>
    <c:plotArea>
      <c:layout>
        <c:manualLayout>
          <c:layoutTarget val="inner"/>
          <c:xMode val="edge"/>
          <c:yMode val="edge"/>
          <c:x val="0.14459951881014874"/>
          <c:y val="7.9317998635997713E-2"/>
          <c:w val="0.79673512685914261"/>
          <c:h val="0.60344100688201374"/>
        </c:manualLayout>
      </c:layout>
      <c:barChart>
        <c:barDir val="col"/>
        <c:grouping val="clustered"/>
        <c:ser>
          <c:idx val="5"/>
          <c:order val="0"/>
          <c:tx>
            <c:strRef>
              <c:f>Scorecardrawdata!$G$3</c:f>
              <c:strCache>
                <c:ptCount val="1"/>
                <c:pt idx="0">
                  <c:v>NQSU(PPM)</c:v>
                </c:pt>
              </c:strCache>
            </c:strRef>
          </c:tx>
          <c:cat>
            <c:numRef>
              <c:f>Scorecard!$D$16:$H$16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Scorecard!$D$18:$H$18</c:f>
              <c:numCache>
                <c:formatCode>General</c:formatCode>
                <c:ptCount val="5"/>
                <c:pt idx="0">
                  <c:v>896</c:v>
                </c:pt>
                <c:pt idx="1">
                  <c:v>4522</c:v>
                </c:pt>
                <c:pt idx="2">
                  <c:v>4164</c:v>
                </c:pt>
                <c:pt idx="3">
                  <c:v>2031</c:v>
                </c:pt>
                <c:pt idx="4">
                  <c:v>0</c:v>
                </c:pt>
              </c:numCache>
            </c:numRef>
          </c:val>
        </c:ser>
        <c:axId val="119284096"/>
        <c:axId val="119285632"/>
      </c:barChart>
      <c:catAx>
        <c:axId val="119284096"/>
        <c:scaling>
          <c:orientation val="minMax"/>
        </c:scaling>
        <c:axPos val="b"/>
        <c:numFmt formatCode="General" sourceLinked="1"/>
        <c:tickLblPos val="nextTo"/>
        <c:crossAx val="119285632"/>
        <c:crosses val="autoZero"/>
        <c:auto val="1"/>
        <c:lblAlgn val="ctr"/>
        <c:lblOffset val="100"/>
      </c:catAx>
      <c:valAx>
        <c:axId val="119285632"/>
        <c:scaling>
          <c:orientation val="minMax"/>
        </c:scaling>
        <c:axPos val="l"/>
        <c:majorGridlines/>
        <c:numFmt formatCode="General" sourceLinked="1"/>
        <c:tickLblPos val="nextTo"/>
        <c:crossAx val="119284096"/>
        <c:crosses val="autoZero"/>
        <c:crossBetween val="between"/>
        <c:majorUnit val="1000"/>
      </c:valAx>
    </c:plotArea>
    <c:legend>
      <c:legendPos val="r"/>
      <c:layout>
        <c:manualLayout>
          <c:xMode val="edge"/>
          <c:yMode val="edge"/>
          <c:x val="0.1107790901137358"/>
          <c:y val="0.82519147704962403"/>
          <c:w val="0.18366535433070871"/>
          <c:h val="9.4923429846859766E-2"/>
        </c:manualLayout>
      </c:layout>
    </c:legend>
    <c:plotVisOnly val="1"/>
  </c:chart>
  <c:printSettings>
    <c:headerFooter/>
    <c:pageMargins b="0.75000000000000266" l="0.70000000000000062" r="0.70000000000000062" t="0.7500000000000026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10549658368139862"/>
          <c:y val="5.1400554097404488E-2"/>
          <c:w val="0.78310383186574017"/>
          <c:h val="0.69276809691901464"/>
        </c:manualLayout>
      </c:layout>
      <c:barChart>
        <c:barDir val="col"/>
        <c:grouping val="clustered"/>
        <c:ser>
          <c:idx val="8"/>
          <c:order val="2"/>
          <c:tx>
            <c:strRef>
              <c:f>Scorecard!$K$17</c:f>
              <c:strCache>
                <c:ptCount val="1"/>
                <c:pt idx="0">
                  <c:v>Leadtime</c:v>
                </c:pt>
              </c:strCache>
            </c:strRef>
          </c:tx>
          <c:cat>
            <c:numRef>
              <c:f>Scorecard!$L$13:$P$13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Scorecard!$L$17:$P$17</c:f>
              <c:numCache>
                <c:formatCode>General</c:formatCode>
                <c:ptCount val="5"/>
                <c:pt idx="0">
                  <c:v>61</c:v>
                </c:pt>
                <c:pt idx="1">
                  <c:v>58</c:v>
                </c:pt>
                <c:pt idx="2">
                  <c:v>60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9"/>
          <c:order val="3"/>
          <c:tx>
            <c:strRef>
              <c:f>Scorecard!$K$18</c:f>
              <c:strCache>
                <c:ptCount val="1"/>
                <c:pt idx="0">
                  <c:v>No of order</c:v>
                </c:pt>
              </c:strCache>
            </c:strRef>
          </c:tx>
          <c:cat>
            <c:numRef>
              <c:f>Scorecard!$L$13:$P$13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Scorecard!$L$18:$P$18</c:f>
              <c:numCache>
                <c:formatCode>General</c:formatCode>
                <c:ptCount val="5"/>
                <c:pt idx="0">
                  <c:v>64</c:v>
                </c:pt>
                <c:pt idx="1">
                  <c:v>354</c:v>
                </c:pt>
                <c:pt idx="2">
                  <c:v>283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0"/>
          <c:order val="4"/>
          <c:tx>
            <c:strRef>
              <c:f>Scorecard!$K$19</c:f>
              <c:strCache>
                <c:ptCount val="1"/>
                <c:pt idx="0">
                  <c:v>No of shipment</c:v>
                </c:pt>
              </c:strCache>
            </c:strRef>
          </c:tx>
          <c:cat>
            <c:numRef>
              <c:f>Scorecard!$L$13:$P$13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Scorecard!$L$19:$P$19</c:f>
              <c:numCache>
                <c:formatCode>General</c:formatCode>
                <c:ptCount val="5"/>
                <c:pt idx="0">
                  <c:v>81</c:v>
                </c:pt>
                <c:pt idx="1">
                  <c:v>443</c:v>
                </c:pt>
                <c:pt idx="2">
                  <c:v>319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119365632"/>
        <c:axId val="119367168"/>
      </c:barChart>
      <c:lineChart>
        <c:grouping val="standard"/>
        <c:ser>
          <c:idx val="6"/>
          <c:order val="0"/>
          <c:tx>
            <c:strRef>
              <c:f>Scorecard!$K$15</c:f>
              <c:strCache>
                <c:ptCount val="1"/>
                <c:pt idx="0">
                  <c:v>SASL</c:v>
                </c:pt>
              </c:strCache>
            </c:strRef>
          </c:tx>
          <c:dLbls>
            <c:dLbl>
              <c:idx val="0"/>
              <c:layout>
                <c:manualLayout>
                  <c:x val="-4.4004408063617224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2.6402644838170352E-2"/>
                  <c:y val="-4.8076910943642921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3.2051273962428517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Scorecard!$L$13:$P$13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Scorecard!$L$15:$P$15</c:f>
              <c:numCache>
                <c:formatCode>0%</c:formatCode>
                <c:ptCount val="5"/>
                <c:pt idx="0">
                  <c:v>0.87</c:v>
                </c:pt>
                <c:pt idx="1">
                  <c:v>0.76</c:v>
                </c:pt>
                <c:pt idx="2">
                  <c:v>0.83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7"/>
          <c:order val="1"/>
          <c:tx>
            <c:strRef>
              <c:f>Scorecard!$K$16</c:f>
              <c:strCache>
                <c:ptCount val="1"/>
                <c:pt idx="0">
                  <c:v>SSL</c:v>
                </c:pt>
              </c:strCache>
            </c:strRef>
          </c:tx>
          <c:marker>
            <c:symbol val="none"/>
          </c:marker>
          <c:dLbls>
            <c:dLbl>
              <c:idx val="0"/>
              <c:layout>
                <c:manualLayout>
                  <c:x val="-3.080308564453205E-2"/>
                  <c:y val="-2.8846146566185601E-2"/>
                </c:manualLayout>
              </c:layout>
              <c:showVal val="1"/>
            </c:dLbl>
            <c:dLbl>
              <c:idx val="1"/>
              <c:layout>
                <c:manualLayout>
                  <c:x val="-3.5203526450893842E-2"/>
                  <c:y val="-4.8076910943642831E-2"/>
                </c:manualLayout>
              </c:layout>
              <c:showVal val="1"/>
            </c:dLbl>
            <c:dLbl>
              <c:idx val="2"/>
              <c:layout>
                <c:manualLayout>
                  <c:x val="-2.6402644838170352E-2"/>
                  <c:y val="-4.8076910943642831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Scorecard!$L$13:$P$13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Scorecard!$L$16:$P$16</c:f>
              <c:numCache>
                <c:formatCode>0%</c:formatCode>
                <c:ptCount val="5"/>
                <c:pt idx="0">
                  <c:v>0.75</c:v>
                </c:pt>
                <c:pt idx="1">
                  <c:v>0.7</c:v>
                </c:pt>
                <c:pt idx="2">
                  <c:v>0.71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marker val="1"/>
        <c:axId val="119390976"/>
        <c:axId val="119368704"/>
      </c:lineChart>
      <c:catAx>
        <c:axId val="119365632"/>
        <c:scaling>
          <c:orientation val="minMax"/>
        </c:scaling>
        <c:axPos val="b"/>
        <c:numFmt formatCode="General" sourceLinked="1"/>
        <c:tickLblPos val="nextTo"/>
        <c:crossAx val="119367168"/>
        <c:crosses val="autoZero"/>
        <c:auto val="1"/>
        <c:lblAlgn val="ctr"/>
        <c:lblOffset val="100"/>
      </c:catAx>
      <c:valAx>
        <c:axId val="119367168"/>
        <c:scaling>
          <c:orientation val="minMax"/>
        </c:scaling>
        <c:axPos val="l"/>
        <c:majorGridlines/>
        <c:numFmt formatCode="0" sourceLinked="0"/>
        <c:tickLblPos val="nextTo"/>
        <c:crossAx val="119365632"/>
        <c:crosses val="autoZero"/>
        <c:crossBetween val="between"/>
        <c:majorUnit val="100"/>
      </c:valAx>
      <c:valAx>
        <c:axId val="119368704"/>
        <c:scaling>
          <c:orientation val="minMax"/>
        </c:scaling>
        <c:axPos val="r"/>
        <c:numFmt formatCode="0%" sourceLinked="0"/>
        <c:tickLblPos val="nextTo"/>
        <c:crossAx val="119390976"/>
        <c:crosses val="max"/>
        <c:crossBetween val="between"/>
      </c:valAx>
      <c:catAx>
        <c:axId val="119390976"/>
        <c:scaling>
          <c:orientation val="minMax"/>
        </c:scaling>
        <c:delete val="1"/>
        <c:axPos val="b"/>
        <c:numFmt formatCode="General" sourceLinked="1"/>
        <c:tickLblPos val="none"/>
        <c:crossAx val="119368704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5.7577833258647799E-2"/>
          <c:y val="0.86015129554675762"/>
          <c:w val="0.87880424321960171"/>
          <c:h val="8.0622995042287163E-2"/>
        </c:manualLayout>
      </c:layout>
    </c:legend>
    <c:plotVisOnly val="1"/>
    <c:dispBlanksAs val="zero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9.5668853893263975E-2"/>
          <c:y val="9.2685373091250703E-2"/>
          <c:w val="0.81071662449379722"/>
          <c:h val="0.63383175041264161"/>
        </c:manualLayout>
      </c:layout>
      <c:barChart>
        <c:barDir val="col"/>
        <c:grouping val="clustered"/>
        <c:ser>
          <c:idx val="11"/>
          <c:order val="0"/>
          <c:tx>
            <c:strRef>
              <c:f>Scorecard!$K$40</c:f>
              <c:strCache>
                <c:ptCount val="1"/>
                <c:pt idx="0">
                  <c:v>RP1 - RP4</c:v>
                </c:pt>
              </c:strCache>
            </c:strRef>
          </c:tx>
          <c:cat>
            <c:numRef>
              <c:f>Scorecard!$L$38:$P$38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Scorecard!$L$40:$P$40</c:f>
              <c:numCache>
                <c:formatCode>General</c:formatCode>
                <c:ptCount val="5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10</c:v>
                </c:pt>
              </c:numCache>
            </c:numRef>
          </c:val>
        </c:ser>
        <c:ser>
          <c:idx val="12"/>
          <c:order val="1"/>
          <c:tx>
            <c:strRef>
              <c:f>Scorecard!$K$41</c:f>
              <c:strCache>
                <c:ptCount val="1"/>
                <c:pt idx="0">
                  <c:v>RP5 (LUP Closure)</c:v>
                </c:pt>
              </c:strCache>
            </c:strRef>
          </c:tx>
          <c:cat>
            <c:numRef>
              <c:f>Scorecard!$L$38:$P$38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Scorecard!$L$41:$P$41</c:f>
              <c:numCache>
                <c:formatCode>General</c:formatCode>
                <c:ptCount val="5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</c:numCache>
            </c:numRef>
          </c:val>
        </c:ser>
        <c:ser>
          <c:idx val="13"/>
          <c:order val="2"/>
          <c:tx>
            <c:strRef>
              <c:f>Scorecard!$K$42</c:f>
              <c:strCache>
                <c:ptCount val="1"/>
                <c:pt idx="0">
                  <c:v>RP4+RampUp</c:v>
                </c:pt>
              </c:strCache>
            </c:strRef>
          </c:tx>
          <c:cat>
            <c:numRef>
              <c:f>Scorecard!$L$38:$P$38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Scorecard!$L$42:$P$42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axId val="120467456"/>
        <c:axId val="120468992"/>
      </c:barChart>
      <c:lineChart>
        <c:grouping val="stacked"/>
        <c:ser>
          <c:idx val="14"/>
          <c:order val="3"/>
          <c:tx>
            <c:strRef>
              <c:f>Scorecard!$K$43</c:f>
              <c:strCache>
                <c:ptCount val="1"/>
                <c:pt idx="0">
                  <c:v>Project On Time %</c:v>
                </c:pt>
              </c:strCache>
            </c:strRef>
          </c:tx>
          <c:dLbls>
            <c:dLbl>
              <c:idx val="1"/>
              <c:layout>
                <c:manualLayout>
                  <c:x val="-6.3888810305897395E-2"/>
                  <c:y val="-5.3524185765438874E-2"/>
                </c:manualLayout>
              </c:layout>
              <c:showVal val="1"/>
            </c:dLbl>
            <c:dLbl>
              <c:idx val="2"/>
              <c:layout>
                <c:manualLayout>
                  <c:x val="-5.2777803972108413E-2"/>
                  <c:y val="-6.268798874367508E-2"/>
                </c:manualLayout>
              </c:layout>
              <c:showVal val="1"/>
            </c:dLbl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Val val="1"/>
          </c:dLbls>
          <c:cat>
            <c:numRef>
              <c:f>Scorecard!$L$38:$P$38</c:f>
              <c:numCache>
                <c:formatCode>General</c:formatCode>
                <c:ptCount val="5"/>
                <c:pt idx="0">
                  <c:v>2015</c:v>
                </c:pt>
                <c:pt idx="1">
                  <c:v>2014</c:v>
                </c:pt>
                <c:pt idx="2">
                  <c:v>2013</c:v>
                </c:pt>
                <c:pt idx="3">
                  <c:v>2012</c:v>
                </c:pt>
                <c:pt idx="4">
                  <c:v>2011</c:v>
                </c:pt>
              </c:numCache>
            </c:numRef>
          </c:cat>
          <c:val>
            <c:numRef>
              <c:f>Scorecard!$L$43:$P$43</c:f>
              <c:numCache>
                <c:formatCode>0%</c:formatCode>
                <c:ptCount val="5"/>
                <c:pt idx="1">
                  <c:v>1</c:v>
                </c:pt>
                <c:pt idx="2">
                  <c:v>1</c:v>
                </c:pt>
                <c:pt idx="3" formatCode="General">
                  <c:v>0</c:v>
                </c:pt>
                <c:pt idx="4" formatCode="General">
                  <c:v>0</c:v>
                </c:pt>
              </c:numCache>
            </c:numRef>
          </c:val>
        </c:ser>
        <c:marker val="1"/>
        <c:axId val="120472320"/>
        <c:axId val="120470528"/>
      </c:lineChart>
      <c:catAx>
        <c:axId val="120467456"/>
        <c:scaling>
          <c:orientation val="minMax"/>
        </c:scaling>
        <c:axPos val="b"/>
        <c:numFmt formatCode="General" sourceLinked="1"/>
        <c:tickLblPos val="nextTo"/>
        <c:crossAx val="120468992"/>
        <c:crosses val="autoZero"/>
        <c:auto val="1"/>
        <c:lblAlgn val="ctr"/>
        <c:lblOffset val="100"/>
      </c:catAx>
      <c:valAx>
        <c:axId val="120468992"/>
        <c:scaling>
          <c:orientation val="minMax"/>
        </c:scaling>
        <c:axPos val="l"/>
        <c:majorGridlines/>
        <c:numFmt formatCode="General" sourceLinked="1"/>
        <c:tickLblPos val="nextTo"/>
        <c:crossAx val="120467456"/>
        <c:crosses val="autoZero"/>
        <c:crossBetween val="between"/>
      </c:valAx>
      <c:valAx>
        <c:axId val="120470528"/>
        <c:scaling>
          <c:orientation val="minMax"/>
        </c:scaling>
        <c:axPos val="r"/>
        <c:numFmt formatCode="General" sourceLinked="1"/>
        <c:tickLblPos val="nextTo"/>
        <c:crossAx val="120472320"/>
        <c:crosses val="max"/>
        <c:crossBetween val="between"/>
      </c:valAx>
      <c:catAx>
        <c:axId val="120472320"/>
        <c:scaling>
          <c:orientation val="minMax"/>
        </c:scaling>
        <c:delete val="1"/>
        <c:axPos val="b"/>
        <c:numFmt formatCode="General" sourceLinked="1"/>
        <c:tickLblPos val="none"/>
        <c:crossAx val="120470528"/>
        <c:crosses val="autoZero"/>
        <c:auto val="1"/>
        <c:lblAlgn val="ctr"/>
        <c:lblOffset val="100"/>
      </c:catAx>
    </c:plotArea>
    <c:legend>
      <c:legendPos val="r"/>
      <c:layout>
        <c:manualLayout>
          <c:xMode val="edge"/>
          <c:yMode val="edge"/>
          <c:x val="2.6279090113735852E-2"/>
          <c:y val="0.83256561679790031"/>
          <c:w val="0.93483202099737528"/>
          <c:h val="0.103387284922718"/>
        </c:manualLayout>
      </c:layout>
    </c:legend>
    <c:plotVisOnly val="1"/>
    <c:dispBlanksAs val="zero"/>
  </c:chart>
  <c:printSettings>
    <c:headerFooter/>
    <c:pageMargins b="0.75000000000000244" l="0.70000000000000062" r="0.70000000000000062" t="0.750000000000002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gif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image" Target="../media/image2.jpeg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217715</xdr:colOff>
      <xdr:row>0</xdr:row>
      <xdr:rowOff>13608</xdr:rowOff>
    </xdr:from>
    <xdr:to>
      <xdr:col>1</xdr:col>
      <xdr:colOff>1374322</xdr:colOff>
      <xdr:row>5</xdr:row>
      <xdr:rowOff>74010</xdr:rowOff>
    </xdr:to>
    <xdr:pic>
      <xdr:nvPicPr>
        <xdr:cNvPr id="17" name="Image 6" descr="B1-GroupeSEB-logotype-maitr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p="http://schemas.openxmlformats.org/presentationml/2006/main" xmlns:a14="http://schemas.microsoft.com/office/drawing/2010/main" xmlns="" xmlns:lc="http://schemas.openxmlformats.org/drawingml/2006/lockedCanvas" val="0"/>
            </a:ext>
          </a:extLst>
        </a:blip>
        <a:stretch>
          <a:fillRect/>
        </a:stretch>
      </xdr:blipFill>
      <xdr:spPr>
        <a:xfrm>
          <a:off x="489858" y="13608"/>
          <a:ext cx="1156607" cy="15571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217715</xdr:colOff>
      <xdr:row>0</xdr:row>
      <xdr:rowOff>13608</xdr:rowOff>
    </xdr:from>
    <xdr:to>
      <xdr:col>1</xdr:col>
      <xdr:colOff>1374322</xdr:colOff>
      <xdr:row>5</xdr:row>
      <xdr:rowOff>74010</xdr:rowOff>
    </xdr:to>
    <xdr:pic>
      <xdr:nvPicPr>
        <xdr:cNvPr id="2" name="Image 6" descr="B1-GroupeSEB-logotype-maitr.gif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p="http://schemas.openxmlformats.org/presentationml/2006/main" xmlns:a14="http://schemas.microsoft.com/office/drawing/2010/main" xmlns="" xmlns:lc="http://schemas.openxmlformats.org/drawingml/2006/lockedCanvas" val="0"/>
            </a:ext>
          </a:extLst>
        </a:blip>
        <a:stretch>
          <a:fillRect/>
        </a:stretch>
      </xdr:blipFill>
      <xdr:spPr>
        <a:xfrm>
          <a:off x="493940" y="13608"/>
          <a:ext cx="1156607" cy="1546302"/>
        </a:xfrm>
        <a:prstGeom prst="rect">
          <a:avLst/>
        </a:prstGeom>
      </xdr:spPr>
    </xdr:pic>
    <xdr:clientData/>
  </xdr:twoCellAnchor>
  <xdr:twoCellAnchor>
    <xdr:from>
      <xdr:col>13</xdr:col>
      <xdr:colOff>190501</xdr:colOff>
      <xdr:row>11</xdr:row>
      <xdr:rowOff>225135</xdr:rowOff>
    </xdr:from>
    <xdr:to>
      <xdr:col>17</xdr:col>
      <xdr:colOff>363682</xdr:colOff>
      <xdr:row>14</xdr:row>
      <xdr:rowOff>277090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207819</xdr:colOff>
      <xdr:row>15</xdr:row>
      <xdr:rowOff>225136</xdr:rowOff>
    </xdr:from>
    <xdr:to>
      <xdr:col>17</xdr:col>
      <xdr:colOff>398318</xdr:colOff>
      <xdr:row>18</xdr:row>
      <xdr:rowOff>242454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207819</xdr:colOff>
      <xdr:row>19</xdr:row>
      <xdr:rowOff>138544</xdr:rowOff>
    </xdr:from>
    <xdr:to>
      <xdr:col>17</xdr:col>
      <xdr:colOff>381001</xdr:colOff>
      <xdr:row>23</xdr:row>
      <xdr:rowOff>51954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155864</xdr:colOff>
      <xdr:row>28</xdr:row>
      <xdr:rowOff>-1</xdr:rowOff>
    </xdr:from>
    <xdr:to>
      <xdr:col>17</xdr:col>
      <xdr:colOff>329046</xdr:colOff>
      <xdr:row>33</xdr:row>
      <xdr:rowOff>51954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155864</xdr:colOff>
      <xdr:row>35</xdr:row>
      <xdr:rowOff>17318</xdr:rowOff>
    </xdr:from>
    <xdr:to>
      <xdr:col>17</xdr:col>
      <xdr:colOff>329046</xdr:colOff>
      <xdr:row>44</xdr:row>
      <xdr:rowOff>17319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190500</xdr:colOff>
      <xdr:row>45</xdr:row>
      <xdr:rowOff>225137</xdr:rowOff>
    </xdr:from>
    <xdr:to>
      <xdr:col>17</xdr:col>
      <xdr:colOff>363682</xdr:colOff>
      <xdr:row>66</xdr:row>
      <xdr:rowOff>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225136</xdr:colOff>
      <xdr:row>68</xdr:row>
      <xdr:rowOff>0</xdr:rowOff>
    </xdr:from>
    <xdr:to>
      <xdr:col>17</xdr:col>
      <xdr:colOff>398318</xdr:colOff>
      <xdr:row>88</xdr:row>
      <xdr:rowOff>17318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35</xdr:row>
      <xdr:rowOff>57150</xdr:rowOff>
    </xdr:from>
    <xdr:to>
      <xdr:col>8</xdr:col>
      <xdr:colOff>295275</xdr:colOff>
      <xdr:row>62</xdr:row>
      <xdr:rowOff>95250</xdr:rowOff>
    </xdr:to>
    <xdr:sp macro="" textlink="">
      <xdr:nvSpPr>
        <xdr:cNvPr id="2" name="Rectangle 1"/>
        <xdr:cNvSpPr/>
      </xdr:nvSpPr>
      <xdr:spPr>
        <a:xfrm>
          <a:off x="28575" y="8620125"/>
          <a:ext cx="4895850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28575</xdr:colOff>
      <xdr:row>6</xdr:row>
      <xdr:rowOff>114300</xdr:rowOff>
    </xdr:from>
    <xdr:to>
      <xdr:col>8</xdr:col>
      <xdr:colOff>295275</xdr:colOff>
      <xdr:row>35</xdr:row>
      <xdr:rowOff>57150</xdr:rowOff>
    </xdr:to>
    <xdr:sp macro="" textlink="">
      <xdr:nvSpPr>
        <xdr:cNvPr id="3" name="Rectangle 2"/>
        <xdr:cNvSpPr/>
      </xdr:nvSpPr>
      <xdr:spPr>
        <a:xfrm>
          <a:off x="28575" y="2705100"/>
          <a:ext cx="4895850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6</xdr:row>
      <xdr:rowOff>114300</xdr:rowOff>
    </xdr:from>
    <xdr:to>
      <xdr:col>16</xdr:col>
      <xdr:colOff>314325</xdr:colOff>
      <xdr:row>35</xdr:row>
      <xdr:rowOff>57150</xdr:rowOff>
    </xdr:to>
    <xdr:sp macro="" textlink="">
      <xdr:nvSpPr>
        <xdr:cNvPr id="4" name="Rectangle 3"/>
        <xdr:cNvSpPr/>
      </xdr:nvSpPr>
      <xdr:spPr>
        <a:xfrm>
          <a:off x="4924425" y="2705100"/>
          <a:ext cx="5038725" cy="591502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8</xdr:col>
      <xdr:colOff>295275</xdr:colOff>
      <xdr:row>35</xdr:row>
      <xdr:rowOff>57150</xdr:rowOff>
    </xdr:from>
    <xdr:to>
      <xdr:col>16</xdr:col>
      <xdr:colOff>314325</xdr:colOff>
      <xdr:row>62</xdr:row>
      <xdr:rowOff>95250</xdr:rowOff>
    </xdr:to>
    <xdr:sp macro="" textlink="">
      <xdr:nvSpPr>
        <xdr:cNvPr id="5" name="Rectangle 4"/>
        <xdr:cNvSpPr/>
      </xdr:nvSpPr>
      <xdr:spPr>
        <a:xfrm>
          <a:off x="4924425" y="8620125"/>
          <a:ext cx="5038725" cy="6010275"/>
        </a:xfrm>
        <a:prstGeom prst="rect">
          <a:avLst/>
        </a:prstGeom>
        <a:noFill/>
        <a:ln w="12700">
          <a:solidFill>
            <a:srgbClr val="FF00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0</xdr:col>
      <xdr:colOff>285750</xdr:colOff>
      <xdr:row>0</xdr:row>
      <xdr:rowOff>9524</xdr:rowOff>
    </xdr:from>
    <xdr:to>
      <xdr:col>2</xdr:col>
      <xdr:colOff>95251</xdr:colOff>
      <xdr:row>3</xdr:row>
      <xdr:rowOff>380999</xdr:rowOff>
    </xdr:to>
    <xdr:pic>
      <xdr:nvPicPr>
        <xdr:cNvPr id="6" name="Picture 5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9524"/>
          <a:ext cx="1000126" cy="1019175"/>
        </a:xfrm>
        <a:prstGeom prst="rect">
          <a:avLst/>
        </a:prstGeom>
        <a:noFill/>
      </xdr:spPr>
    </xdr:pic>
    <xdr:clientData/>
  </xdr:twoCellAnchor>
  <xdr:twoCellAnchor>
    <xdr:from>
      <xdr:col>0</xdr:col>
      <xdr:colOff>171450</xdr:colOff>
      <xdr:row>45</xdr:row>
      <xdr:rowOff>114300</xdr:rowOff>
    </xdr:from>
    <xdr:to>
      <xdr:col>8</xdr:col>
      <xdr:colOff>161925</xdr:colOff>
      <xdr:row>59</xdr:row>
      <xdr:rowOff>9526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85725</xdr:colOff>
      <xdr:row>20</xdr:row>
      <xdr:rowOff>76200</xdr:rowOff>
    </xdr:from>
    <xdr:to>
      <xdr:col>8</xdr:col>
      <xdr:colOff>28575</xdr:colOff>
      <xdr:row>33</xdr:row>
      <xdr:rowOff>19050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476251</xdr:colOff>
      <xdr:row>20</xdr:row>
      <xdr:rowOff>85726</xdr:rowOff>
    </xdr:from>
    <xdr:to>
      <xdr:col>16</xdr:col>
      <xdr:colOff>142876</xdr:colOff>
      <xdr:row>33</xdr:row>
      <xdr:rowOff>57150</xdr:rowOff>
    </xdr:to>
    <xdr:graphicFrame macro="">
      <xdr:nvGraphicFramePr>
        <xdr:cNvPr id="13" name="Chart 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104776</xdr:colOff>
      <xdr:row>45</xdr:row>
      <xdr:rowOff>76200</xdr:rowOff>
    </xdr:from>
    <xdr:to>
      <xdr:col>15</xdr:col>
      <xdr:colOff>676276</xdr:colOff>
      <xdr:row>58</xdr:row>
      <xdr:rowOff>161925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4529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3" name="Picture 2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0244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8668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35793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1504950</xdr:colOff>
      <xdr:row>20</xdr:row>
      <xdr:rowOff>114300</xdr:rowOff>
    </xdr:from>
    <xdr:to>
      <xdr:col>8</xdr:col>
      <xdr:colOff>400050</xdr:colOff>
      <xdr:row>31</xdr:row>
      <xdr:rowOff>38100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914650" y="3352800"/>
          <a:ext cx="7058025" cy="20193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</xdr:pic>
    <xdr:clientData/>
  </xdr:twoCellAnchor>
  <xdr:twoCellAnchor editAs="oneCell">
    <xdr:from>
      <xdr:col>1</xdr:col>
      <xdr:colOff>169068</xdr:colOff>
      <xdr:row>0</xdr:row>
      <xdr:rowOff>0</xdr:rowOff>
    </xdr:from>
    <xdr:to>
      <xdr:col>1</xdr:col>
      <xdr:colOff>1404938</xdr:colOff>
      <xdr:row>4</xdr:row>
      <xdr:rowOff>80283</xdr:rowOff>
    </xdr:to>
    <xdr:pic>
      <xdr:nvPicPr>
        <xdr:cNvPr id="3" name="Picture 2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78668" y="0"/>
          <a:ext cx="1235870" cy="1299483"/>
        </a:xfrm>
        <a:prstGeom prst="rect">
          <a:avLst/>
        </a:prstGeom>
        <a:noFill/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169068</xdr:colOff>
      <xdr:row>0</xdr:row>
      <xdr:rowOff>0</xdr:rowOff>
    </xdr:from>
    <xdr:to>
      <xdr:col>1</xdr:col>
      <xdr:colOff>604838</xdr:colOff>
      <xdr:row>3</xdr:row>
      <xdr:rowOff>499383</xdr:rowOff>
    </xdr:to>
    <xdr:pic>
      <xdr:nvPicPr>
        <xdr:cNvPr id="2" name="Picture 1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8668" y="0"/>
          <a:ext cx="1235870" cy="1299483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285750</xdr:colOff>
      <xdr:row>0</xdr:row>
      <xdr:rowOff>9524</xdr:rowOff>
    </xdr:from>
    <xdr:to>
      <xdr:col>1</xdr:col>
      <xdr:colOff>723901</xdr:colOff>
      <xdr:row>3</xdr:row>
      <xdr:rowOff>380999</xdr:rowOff>
    </xdr:to>
    <xdr:pic>
      <xdr:nvPicPr>
        <xdr:cNvPr id="3" name="Picture 2" descr="http://jobs.asiaxpat.com/Images/FeaturedCompanyLogo.ashx?ID=607548&amp;DT=634095681475930000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5750" y="9524"/>
          <a:ext cx="1028701" cy="101917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abc@airtek88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www.air.com/" TargetMode="External"/><Relationship Id="rId1" Type="http://schemas.openxmlformats.org/officeDocument/2006/relationships/hyperlink" Target="http://www.air.com/" TargetMode="External"/><Relationship Id="rId4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24"/>
  <sheetViews>
    <sheetView showGridLines="0" tabSelected="1" zoomScale="70" zoomScaleNormal="70" workbookViewId="0">
      <selection activeCell="F16" sqref="F16"/>
    </sheetView>
  </sheetViews>
  <sheetFormatPr defaultRowHeight="15"/>
  <cols>
    <col min="1" max="1" width="4.140625" style="22" customWidth="1"/>
    <col min="2" max="2" width="40.85546875" style="22" customWidth="1"/>
    <col min="3" max="3" width="71" style="22" customWidth="1"/>
    <col min="4" max="4" width="17.85546875" style="22" customWidth="1"/>
    <col min="5" max="8" width="16" style="22" customWidth="1"/>
    <col min="9" max="9" width="20.7109375" style="22" customWidth="1"/>
    <col min="10" max="10" width="13.5703125" style="22" customWidth="1"/>
    <col min="11" max="13" width="12.5703125" style="22" customWidth="1"/>
    <col min="14" max="14" width="26.42578125" style="22" customWidth="1"/>
    <col min="15" max="15" width="17.5703125" style="22" customWidth="1"/>
    <col min="16" max="16" width="16.42578125" style="22" customWidth="1"/>
    <col min="17" max="17" width="10.7109375" style="22" bestFit="1" customWidth="1"/>
    <col min="18" max="16384" width="9.140625" style="22"/>
  </cols>
  <sheetData>
    <row r="1" spans="2:14">
      <c r="J1" s="23"/>
      <c r="K1" s="23"/>
      <c r="L1" s="24"/>
      <c r="M1" s="23"/>
      <c r="N1" s="24"/>
    </row>
    <row r="2" spans="2:14">
      <c r="I2" s="25"/>
      <c r="J2" s="25"/>
      <c r="K2" s="23"/>
      <c r="L2" s="24"/>
      <c r="M2" s="23"/>
      <c r="N2" s="24"/>
    </row>
    <row r="3" spans="2:14" ht="33" customHeight="1">
      <c r="C3" s="115" t="s">
        <v>223</v>
      </c>
      <c r="D3" s="115"/>
      <c r="E3" s="115"/>
      <c r="F3" s="115"/>
      <c r="G3" s="30"/>
      <c r="H3" s="34" t="s">
        <v>224</v>
      </c>
      <c r="I3" s="35">
        <v>42111</v>
      </c>
      <c r="L3" s="24"/>
      <c r="M3" s="23"/>
      <c r="N3" s="24"/>
    </row>
    <row r="4" spans="2:14" ht="33" customHeight="1">
      <c r="J4" s="26"/>
      <c r="K4" s="24"/>
      <c r="L4" s="24"/>
    </row>
    <row r="5" spans="2:14" s="27" customFormat="1" ht="21">
      <c r="C5" s="29"/>
      <c r="D5" s="29"/>
      <c r="E5" s="29"/>
      <c r="F5" s="29"/>
      <c r="G5" s="29"/>
      <c r="H5" s="28"/>
      <c r="I5" s="28"/>
      <c r="J5" s="28"/>
      <c r="K5" s="28"/>
      <c r="L5" s="28"/>
      <c r="M5" s="28"/>
      <c r="N5" s="28"/>
    </row>
    <row r="6" spans="2:14" s="27" customFormat="1" ht="21">
      <c r="B6" s="40"/>
      <c r="C6" s="41"/>
      <c r="D6" s="41"/>
      <c r="E6" s="41"/>
      <c r="F6" s="41"/>
      <c r="G6" s="41"/>
      <c r="H6" s="41"/>
      <c r="I6" s="44" t="s">
        <v>237</v>
      </c>
      <c r="J6" s="28"/>
      <c r="K6" s="28"/>
      <c r="L6" s="28"/>
      <c r="M6" s="28"/>
      <c r="N6" s="28"/>
    </row>
    <row r="7" spans="2:14" ht="30" customHeight="1">
      <c r="B7" s="32" t="s">
        <v>225</v>
      </c>
    </row>
    <row r="8" spans="2:14" s="31" customFormat="1" ht="24.75" customHeight="1">
      <c r="B8" s="36" t="s">
        <v>226</v>
      </c>
      <c r="C8" s="37" t="s">
        <v>0</v>
      </c>
    </row>
    <row r="9" spans="2:14" s="31" customFormat="1" ht="24.75" customHeight="1">
      <c r="B9" s="36" t="s">
        <v>227</v>
      </c>
      <c r="C9" s="37" t="s">
        <v>1</v>
      </c>
    </row>
    <row r="10" spans="2:14" s="31" customFormat="1" ht="24.75" customHeight="1">
      <c r="B10" s="36" t="s">
        <v>228</v>
      </c>
      <c r="C10" s="37">
        <v>10016787</v>
      </c>
    </row>
    <row r="11" spans="2:14" s="31" customFormat="1" ht="24.75" customHeight="1"/>
    <row r="12" spans="2:14" s="31" customFormat="1" ht="24.75" customHeight="1">
      <c r="B12" s="32" t="s">
        <v>232</v>
      </c>
    </row>
    <row r="13" spans="2:14" s="31" customFormat="1" ht="24.75" customHeight="1">
      <c r="B13" s="43" t="s">
        <v>229</v>
      </c>
      <c r="C13" s="38" t="s">
        <v>8</v>
      </c>
    </row>
    <row r="14" spans="2:14" s="31" customFormat="1" ht="24.75" customHeight="1">
      <c r="B14" s="43" t="s">
        <v>2</v>
      </c>
      <c r="C14" s="38" t="s">
        <v>5</v>
      </c>
    </row>
    <row r="15" spans="2:14" s="31" customFormat="1" ht="24.75" customHeight="1">
      <c r="B15" s="43" t="s">
        <v>3</v>
      </c>
      <c r="C15" s="38" t="s">
        <v>5</v>
      </c>
    </row>
    <row r="16" spans="2:14" s="31" customFormat="1" ht="24.75" customHeight="1">
      <c r="B16" s="43" t="s">
        <v>4</v>
      </c>
      <c r="C16" s="38" t="s">
        <v>5</v>
      </c>
    </row>
    <row r="17" spans="2:9" s="31" customFormat="1" ht="24.75" customHeight="1">
      <c r="B17" s="43" t="s">
        <v>233</v>
      </c>
      <c r="C17" s="38" t="s">
        <v>5</v>
      </c>
    </row>
    <row r="18" spans="2:9" s="31" customFormat="1" ht="24.75" customHeight="1">
      <c r="B18" s="43" t="s">
        <v>191</v>
      </c>
      <c r="C18" s="38" t="s">
        <v>5</v>
      </c>
    </row>
    <row r="19" spans="2:9" s="31" customFormat="1" ht="24.75" customHeight="1">
      <c r="B19" s="43" t="s">
        <v>234</v>
      </c>
      <c r="C19" s="38" t="s">
        <v>5</v>
      </c>
    </row>
    <row r="20" spans="2:9" ht="21">
      <c r="B20" s="43" t="s">
        <v>235</v>
      </c>
      <c r="C20" s="38" t="s">
        <v>236</v>
      </c>
    </row>
    <row r="21" spans="2:9" ht="21">
      <c r="B21" s="43" t="s">
        <v>230</v>
      </c>
      <c r="C21" s="38" t="s">
        <v>6</v>
      </c>
    </row>
    <row r="22" spans="2:9" ht="21">
      <c r="B22" s="43" t="s">
        <v>231</v>
      </c>
      <c r="C22" s="39">
        <v>42278</v>
      </c>
    </row>
    <row r="24" spans="2:9" ht="21">
      <c r="B24" s="40"/>
      <c r="C24" s="41"/>
      <c r="D24" s="41"/>
      <c r="E24" s="41"/>
      <c r="F24" s="41"/>
      <c r="G24" s="41"/>
      <c r="H24" s="42"/>
      <c r="I24" s="44"/>
    </row>
  </sheetData>
  <mergeCells count="1">
    <mergeCell ref="C3:F3"/>
  </mergeCells>
  <pageMargins left="0.7" right="0.7" top="0.75" bottom="0.75" header="0.3" footer="0.3"/>
  <pageSetup paperSize="9" scale="3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U88"/>
  <sheetViews>
    <sheetView showGridLines="0" topLeftCell="A10" zoomScale="55" zoomScaleNormal="55" zoomScaleSheetLayoutView="55" workbookViewId="0">
      <selection activeCell="D22" sqref="D22"/>
    </sheetView>
  </sheetViews>
  <sheetFormatPr defaultRowHeight="15"/>
  <cols>
    <col min="1" max="1" width="4.140625" style="22" customWidth="1"/>
    <col min="2" max="2" width="40.85546875" style="22" customWidth="1"/>
    <col min="3" max="3" width="38" style="22" customWidth="1"/>
    <col min="4" max="8" width="22.28515625" style="22" customWidth="1"/>
    <col min="9" max="9" width="5.42578125" style="22" customWidth="1"/>
    <col min="10" max="12" width="13.140625" style="22" customWidth="1"/>
    <col min="13" max="13" width="14.140625" style="22" customWidth="1"/>
    <col min="14" max="14" width="20.140625" style="22" customWidth="1"/>
    <col min="15" max="15" width="17.5703125" style="22" customWidth="1"/>
    <col min="16" max="16" width="16.42578125" style="22" customWidth="1"/>
    <col min="17" max="17" width="20.28515625" style="22" customWidth="1"/>
    <col min="18" max="18" width="16.140625" style="22" customWidth="1"/>
    <col min="19" max="16384" width="9.140625" style="22"/>
  </cols>
  <sheetData>
    <row r="1" spans="2:21">
      <c r="J1" s="23"/>
      <c r="K1" s="23"/>
      <c r="L1" s="24"/>
      <c r="M1" s="23"/>
      <c r="N1" s="24"/>
    </row>
    <row r="2" spans="2:21">
      <c r="I2" s="25"/>
      <c r="J2" s="25"/>
      <c r="K2" s="23"/>
      <c r="L2" s="24"/>
      <c r="M2" s="23"/>
      <c r="N2" s="24"/>
    </row>
    <row r="3" spans="2:21" ht="33" customHeight="1">
      <c r="C3" s="118" t="s">
        <v>223</v>
      </c>
      <c r="D3" s="118"/>
      <c r="E3" s="118"/>
      <c r="F3" s="118"/>
      <c r="G3" s="30"/>
      <c r="H3" s="34"/>
      <c r="I3" s="35"/>
      <c r="L3" s="30"/>
      <c r="Q3" s="34" t="s">
        <v>224</v>
      </c>
      <c r="R3" s="35">
        <f>issuedate</f>
        <v>42111</v>
      </c>
    </row>
    <row r="4" spans="2:21" ht="33" customHeight="1">
      <c r="J4" s="26"/>
      <c r="K4" s="24"/>
    </row>
    <row r="5" spans="2:21" s="27" customFormat="1" ht="21">
      <c r="C5" s="36" t="s">
        <v>226</v>
      </c>
      <c r="D5" s="37" t="str">
        <f>frontshortname</f>
        <v>AIRTEK</v>
      </c>
      <c r="E5" s="29"/>
      <c r="F5" s="29"/>
      <c r="G5" s="29"/>
      <c r="H5" s="28"/>
      <c r="I5" s="28"/>
      <c r="J5" s="28"/>
      <c r="K5" s="28"/>
      <c r="L5" s="29"/>
      <c r="Q5" s="28"/>
      <c r="R5" s="28"/>
    </row>
    <row r="6" spans="2:21" s="27" customFormat="1" ht="21">
      <c r="C6" s="36" t="s">
        <v>23</v>
      </c>
      <c r="D6" s="37" t="str">
        <f>frontproductype</f>
        <v>FG</v>
      </c>
      <c r="E6" s="29"/>
      <c r="F6" s="29"/>
      <c r="G6" s="29"/>
      <c r="H6" s="28"/>
      <c r="I6" s="28"/>
      <c r="J6" s="28"/>
      <c r="K6" s="28"/>
      <c r="L6" s="29"/>
      <c r="Q6" s="28"/>
      <c r="R6" s="28"/>
    </row>
    <row r="7" spans="2:21" s="27" customFormat="1" ht="21">
      <c r="B7" s="40"/>
      <c r="C7" s="41"/>
      <c r="D7" s="41"/>
      <c r="E7" s="41"/>
      <c r="F7" s="41"/>
      <c r="G7" s="41"/>
      <c r="H7" s="41"/>
      <c r="I7" s="44"/>
      <c r="J7" s="41"/>
      <c r="K7" s="44"/>
      <c r="L7" s="41"/>
      <c r="M7" s="41"/>
      <c r="N7" s="41"/>
      <c r="O7" s="41"/>
      <c r="P7" s="41"/>
      <c r="Q7" s="41"/>
      <c r="R7" s="44" t="s">
        <v>238</v>
      </c>
    </row>
    <row r="8" spans="2:21" ht="30" customHeight="1">
      <c r="B8" s="32" t="s">
        <v>239</v>
      </c>
      <c r="T8" s="113">
        <v>1</v>
      </c>
      <c r="U8" s="113" t="s">
        <v>341</v>
      </c>
    </row>
    <row r="9" spans="2:21" s="31" customFormat="1" ht="24.75" customHeight="1">
      <c r="T9" s="114">
        <v>2</v>
      </c>
      <c r="U9" s="114" t="s">
        <v>342</v>
      </c>
    </row>
    <row r="10" spans="2:21" s="31" customFormat="1" ht="24.75" customHeight="1">
      <c r="B10" s="45"/>
      <c r="C10" s="45"/>
      <c r="D10" s="33" t="s">
        <v>9</v>
      </c>
      <c r="E10" s="55" t="s">
        <v>10</v>
      </c>
      <c r="F10" s="55" t="s">
        <v>11</v>
      </c>
      <c r="G10" s="55" t="s">
        <v>12</v>
      </c>
      <c r="H10" s="55" t="s">
        <v>13</v>
      </c>
      <c r="I10" s="45"/>
      <c r="J10" s="33" t="s">
        <v>14</v>
      </c>
      <c r="K10" s="45"/>
      <c r="L10" s="45"/>
      <c r="M10" s="45"/>
      <c r="T10" s="114">
        <v>3</v>
      </c>
      <c r="U10" s="114" t="s">
        <v>343</v>
      </c>
    </row>
    <row r="11" spans="2:21" s="31" customFormat="1" ht="41.25" customHeight="1">
      <c r="B11" s="45"/>
      <c r="C11" s="45"/>
      <c r="D11" s="33">
        <f>YEAR(frontyearperiod)</f>
        <v>2015</v>
      </c>
      <c r="E11" s="33">
        <f>currentyear-1</f>
        <v>2014</v>
      </c>
      <c r="F11" s="33">
        <f>currentyear -2</f>
        <v>2013</v>
      </c>
      <c r="G11" s="33">
        <f>currentyear -3</f>
        <v>2012</v>
      </c>
      <c r="H11" s="33">
        <f>currentyear- 4</f>
        <v>2011</v>
      </c>
      <c r="I11" s="45"/>
      <c r="J11" s="46" t="str">
        <f>CONCATENATE(currentyear," VS ",E11)</f>
        <v>2015 VS 2014</v>
      </c>
      <c r="K11" s="46" t="str">
        <f>CONCATENATE(E11," VS ",F11)</f>
        <v>2014 VS 2013</v>
      </c>
      <c r="L11" s="46" t="str">
        <f>CONCATENATE(F11," VS",G11)</f>
        <v>2013 VS2012</v>
      </c>
      <c r="M11" s="46" t="str">
        <f>CONCATENATE(G11," VS ",H11)</f>
        <v>2012 VS 2011</v>
      </c>
      <c r="T11" s="114">
        <v>4</v>
      </c>
      <c r="U11" s="114" t="s">
        <v>344</v>
      </c>
    </row>
    <row r="12" spans="2:21" s="31" customFormat="1" ht="24.75" customHeight="1">
      <c r="B12" s="47"/>
      <c r="C12" s="47"/>
      <c r="D12" s="48" t="str">
        <f>VLOOKUP(MONTH(frontyearperiod),monthrange,2,FALSE)</f>
        <v>OCT</v>
      </c>
      <c r="E12" s="47"/>
      <c r="F12" s="47"/>
      <c r="G12" s="47"/>
      <c r="H12" s="47"/>
      <c r="I12" s="47"/>
      <c r="J12" s="47"/>
      <c r="K12" s="47"/>
      <c r="L12" s="47"/>
      <c r="M12" s="47"/>
      <c r="T12" s="114">
        <v>5</v>
      </c>
      <c r="U12" s="114" t="s">
        <v>345</v>
      </c>
    </row>
    <row r="13" spans="2:21" s="31" customFormat="1" ht="24.75" customHeight="1">
      <c r="B13" s="119" t="s">
        <v>15</v>
      </c>
      <c r="C13" s="33" t="s">
        <v>16</v>
      </c>
      <c r="D13" s="49">
        <v>0</v>
      </c>
      <c r="E13" s="49">
        <v>75000000</v>
      </c>
      <c r="F13" s="49">
        <v>65000000</v>
      </c>
      <c r="G13" s="49">
        <v>60000000</v>
      </c>
      <c r="H13" s="49">
        <v>45000000</v>
      </c>
      <c r="I13" s="45"/>
      <c r="J13" s="50">
        <f t="shared" ref="J13:J14" si="0">IFERROR(D13/E13-1,"")</f>
        <v>-1</v>
      </c>
      <c r="K13" s="50">
        <f t="shared" ref="K13:K14" si="1">IFERROR(E13/F13-1,"")</f>
        <v>0.15384615384615374</v>
      </c>
      <c r="L13" s="50">
        <f t="shared" ref="L13:L14" si="2">IFERROR(F13/G13-1,"")</f>
        <v>8.3333333333333259E-2</v>
      </c>
      <c r="M13" s="50">
        <f t="shared" ref="M13:M14" si="3">IFERROR(G13/H13-1,"")</f>
        <v>0.33333333333333326</v>
      </c>
      <c r="T13" s="114">
        <v>6</v>
      </c>
      <c r="U13" s="114" t="s">
        <v>346</v>
      </c>
    </row>
    <row r="14" spans="2:21" s="31" customFormat="1" ht="24.75" customHeight="1">
      <c r="B14" s="120"/>
      <c r="C14" s="51" t="s">
        <v>17</v>
      </c>
      <c r="D14" s="52">
        <f>IFERROR(D18/D13,0)</f>
        <v>0</v>
      </c>
      <c r="E14" s="52">
        <f>IFERROR(E18/E13,0)</f>
        <v>0.24943278906666672</v>
      </c>
      <c r="F14" s="52">
        <f>IFERROR(F18/F13,0)</f>
        <v>0.40934855200000037</v>
      </c>
      <c r="G14" s="52">
        <f>IFERROR(G18/G13,0)</f>
        <v>0.54715205433333358</v>
      </c>
      <c r="H14" s="52">
        <f>IFERROR(H18/H13,0)</f>
        <v>0.7498367128888892</v>
      </c>
      <c r="I14" s="47"/>
      <c r="J14" s="50">
        <f t="shared" si="0"/>
        <v>-1</v>
      </c>
      <c r="K14" s="50">
        <f t="shared" si="1"/>
        <v>-0.39065916357103303</v>
      </c>
      <c r="L14" s="50">
        <f t="shared" si="2"/>
        <v>-0.25185595346294942</v>
      </c>
      <c r="M14" s="50">
        <f t="shared" si="3"/>
        <v>-0.27030506118415332</v>
      </c>
      <c r="T14" s="114">
        <v>7</v>
      </c>
      <c r="U14" s="114" t="s">
        <v>347</v>
      </c>
    </row>
    <row r="15" spans="2:21" s="31" customFormat="1" ht="24.75" customHeight="1"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T15" s="114">
        <v>8</v>
      </c>
      <c r="U15" s="114" t="s">
        <v>348</v>
      </c>
    </row>
    <row r="16" spans="2:21" s="31" customFormat="1" ht="24.75" customHeight="1">
      <c r="B16" s="45"/>
      <c r="C16" s="45"/>
      <c r="D16" s="33"/>
      <c r="E16" s="33"/>
      <c r="F16" s="33"/>
      <c r="G16" s="33"/>
      <c r="H16" s="33"/>
      <c r="I16" s="45"/>
      <c r="J16" s="46"/>
      <c r="K16" s="46"/>
      <c r="L16" s="46"/>
      <c r="M16" s="46"/>
      <c r="T16" s="114">
        <v>9</v>
      </c>
      <c r="U16" s="114" t="s">
        <v>349</v>
      </c>
    </row>
    <row r="17" spans="2:21" s="31" customFormat="1" ht="24.75" customHeight="1">
      <c r="B17" s="119" t="s">
        <v>18</v>
      </c>
      <c r="C17" s="33" t="s">
        <v>19</v>
      </c>
      <c r="D17" s="49">
        <v>1094115</v>
      </c>
      <c r="E17" s="49">
        <v>1144884</v>
      </c>
      <c r="F17" s="49">
        <v>1734362</v>
      </c>
      <c r="G17" s="49">
        <v>2154764</v>
      </c>
      <c r="H17" s="49">
        <v>2356894</v>
      </c>
      <c r="I17" s="45"/>
      <c r="J17" s="50">
        <f t="shared" ref="J17:J18" si="4">IFERROR(D17/E17-1,"")</f>
        <v>-4.4344230507195492E-2</v>
      </c>
      <c r="K17" s="50">
        <f t="shared" ref="K17:K18" si="5">IFERROR(E17/F17-1,"")</f>
        <v>-0.33988175478936922</v>
      </c>
      <c r="L17" s="50">
        <f t="shared" ref="L17:L18" si="6">IFERROR(F17/G17-1,"")</f>
        <v>-0.19510350089383344</v>
      </c>
      <c r="M17" s="50">
        <f t="shared" ref="M17:M18" si="7">IFERROR(G17/H17-1,"")</f>
        <v>-8.5761175513196619E-2</v>
      </c>
      <c r="T17" s="114">
        <v>10</v>
      </c>
      <c r="U17" s="114" t="s">
        <v>350</v>
      </c>
    </row>
    <row r="18" spans="2:21" s="31" customFormat="1" ht="24.75" customHeight="1">
      <c r="B18" s="121"/>
      <c r="C18" s="33" t="s">
        <v>16</v>
      </c>
      <c r="D18" s="49">
        <v>17209449.100000001</v>
      </c>
      <c r="E18" s="49">
        <v>18707459.180000003</v>
      </c>
      <c r="F18" s="49">
        <v>26607655.880000025</v>
      </c>
      <c r="G18" s="49">
        <v>32829123.260000013</v>
      </c>
      <c r="H18" s="49">
        <v>33742652.080000013</v>
      </c>
      <c r="I18" s="45"/>
      <c r="J18" s="50">
        <f t="shared" si="4"/>
        <v>-8.0075549842787419E-2</v>
      </c>
      <c r="K18" s="50">
        <f t="shared" si="5"/>
        <v>-0.29691441950503816</v>
      </c>
      <c r="L18" s="50">
        <f t="shared" si="6"/>
        <v>-0.18951061625152843</v>
      </c>
      <c r="M18" s="50">
        <f t="shared" si="7"/>
        <v>-2.7073414912204496E-2</v>
      </c>
      <c r="T18" s="114">
        <v>11</v>
      </c>
      <c r="U18" s="114" t="s">
        <v>351</v>
      </c>
    </row>
    <row r="19" spans="2:21" s="31" customFormat="1" ht="24.75" customHeight="1"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T19" s="114">
        <v>12</v>
      </c>
      <c r="U19" s="114" t="s">
        <v>352</v>
      </c>
    </row>
    <row r="20" spans="2:21" s="31" customFormat="1" ht="24.75" customHeight="1"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</row>
    <row r="21" spans="2:21" ht="18.75">
      <c r="B21" s="119" t="s">
        <v>20</v>
      </c>
      <c r="C21" s="33" t="s">
        <v>19</v>
      </c>
      <c r="D21" s="49">
        <v>1094115</v>
      </c>
      <c r="E21" s="49">
        <v>1144884</v>
      </c>
      <c r="F21" s="49">
        <v>1734362</v>
      </c>
      <c r="G21" s="49">
        <v>2154764</v>
      </c>
      <c r="H21" s="49">
        <v>2356894</v>
      </c>
      <c r="I21" s="45"/>
      <c r="J21" s="50">
        <f t="shared" ref="J21:J22" si="8">IFERROR(D21/E21-1,"")</f>
        <v>-4.4344230507195492E-2</v>
      </c>
      <c r="K21" s="50">
        <f t="shared" ref="K21:K22" si="9">IFERROR(E21/F21-1,"")</f>
        <v>-0.33988175478936922</v>
      </c>
      <c r="L21" s="50">
        <f t="shared" ref="L21:L22" si="10">IFERROR(F21/G21-1,"")</f>
        <v>-0.19510350089383344</v>
      </c>
      <c r="M21" s="50">
        <f t="shared" ref="M21:M22" si="11">IFERROR(G21/H21-1,"")</f>
        <v>-8.5761175513196619E-2</v>
      </c>
    </row>
    <row r="22" spans="2:21" ht="18.75">
      <c r="B22" s="120"/>
      <c r="C22" s="33" t="s">
        <v>16</v>
      </c>
      <c r="D22" s="49">
        <v>17209449.100000001</v>
      </c>
      <c r="E22" s="49">
        <v>18707459.180000003</v>
      </c>
      <c r="F22" s="49">
        <v>26607655.880000025</v>
      </c>
      <c r="G22" s="49">
        <v>32829123.260000013</v>
      </c>
      <c r="H22" s="49">
        <v>33742652.080000013</v>
      </c>
      <c r="I22" s="45"/>
      <c r="J22" s="50">
        <f t="shared" si="8"/>
        <v>-8.0075549842787419E-2</v>
      </c>
      <c r="K22" s="50">
        <f t="shared" si="9"/>
        <v>-0.29691441950503816</v>
      </c>
      <c r="L22" s="50">
        <f t="shared" si="10"/>
        <v>-0.18951061625152843</v>
      </c>
      <c r="M22" s="50">
        <f t="shared" si="11"/>
        <v>-2.7073414912204496E-2</v>
      </c>
    </row>
    <row r="23" spans="2:21" ht="18.75"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</row>
    <row r="24" spans="2:21" ht="20.25" customHeight="1">
      <c r="B24" s="53" t="s">
        <v>21</v>
      </c>
      <c r="C24" s="122"/>
      <c r="D24" s="123"/>
      <c r="E24" s="123"/>
      <c r="F24" s="123"/>
      <c r="G24" s="123"/>
      <c r="H24" s="124"/>
      <c r="I24" s="47"/>
      <c r="J24" s="47"/>
      <c r="K24" s="47"/>
      <c r="L24" s="47"/>
      <c r="M24" s="47"/>
    </row>
    <row r="25" spans="2:21" ht="18.75">
      <c r="B25" s="54"/>
      <c r="C25" s="54"/>
      <c r="D25" s="54"/>
      <c r="E25" s="54"/>
      <c r="F25" s="54"/>
      <c r="G25" s="54"/>
      <c r="H25" s="54"/>
      <c r="I25" s="54"/>
      <c r="J25" s="54"/>
      <c r="K25" s="54"/>
      <c r="L25" s="54"/>
      <c r="M25" s="54"/>
    </row>
    <row r="28" spans="2:21" ht="18.75">
      <c r="B28" s="55" t="s">
        <v>22</v>
      </c>
      <c r="C28" s="33" t="s">
        <v>16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</row>
    <row r="29" spans="2:21" ht="18.75">
      <c r="B29" s="119" t="s">
        <v>23</v>
      </c>
      <c r="C29" s="56" t="str">
        <f>IFERROR(VLOOKUP("ProductType1",torawdata,2,FALSE),"")</f>
        <v/>
      </c>
      <c r="D29" s="49" t="str">
        <f>IFERROR(VLOOKUP("ProductType1",torawdata,3,FALSE),"")</f>
        <v/>
      </c>
      <c r="E29" s="49" t="str">
        <f>IFERROR(VLOOKUP("ProductType1",torawdata,4,FALSE),"")</f>
        <v/>
      </c>
      <c r="F29" s="49" t="str">
        <f>IFERROR(VLOOKUP("ProductType1",torawdata,5,FALSE),"")</f>
        <v/>
      </c>
      <c r="G29" s="49" t="str">
        <f>IFERROR(VLOOKUP("ProductType1",torawdata,6,FALSE),"")</f>
        <v/>
      </c>
      <c r="H29" s="49" t="str">
        <f>IFERROR(VLOOKUP("ProductType1",torawdata,7,FALSE),"")</f>
        <v/>
      </c>
      <c r="I29" s="45"/>
      <c r="J29" s="50" t="str">
        <f t="shared" ref="J29:J33" si="12">IFERROR(D29/E29-1,"")</f>
        <v/>
      </c>
      <c r="K29" s="50" t="str">
        <f t="shared" ref="K29:K33" si="13">IFERROR(E29/F29-1,"")</f>
        <v/>
      </c>
      <c r="L29" s="50" t="str">
        <f t="shared" ref="L29:L33" si="14">IFERROR(F29/G29-1,"")</f>
        <v/>
      </c>
      <c r="M29" s="50" t="str">
        <f t="shared" ref="M29:M33" si="15">IFERROR(G29/H29-1,"")</f>
        <v/>
      </c>
    </row>
    <row r="30" spans="2:21" ht="18.75">
      <c r="B30" s="117"/>
      <c r="C30" s="57" t="str">
        <f>IFERROR(VLOOKUP("ProductType2",torawdata,2,FALSE),"")</f>
        <v/>
      </c>
      <c r="D30" s="49" t="str">
        <f>IFERROR(VLOOKUP("ProductType2",torawdata,3,FALSE),"")</f>
        <v/>
      </c>
      <c r="E30" s="49" t="str">
        <f>IFERROR(VLOOKUP("ProductType2",torawdata,4,FALSE),"")</f>
        <v/>
      </c>
      <c r="F30" s="49" t="str">
        <f>IFERROR(VLOOKUP("ProductType2",torawdata,5,FALSE),"")</f>
        <v/>
      </c>
      <c r="G30" s="49" t="str">
        <f>IFERROR(VLOOKUP("ProductType2",torawdata,6,FALSE),"")</f>
        <v/>
      </c>
      <c r="H30" s="49" t="str">
        <f>IFERROR(VLOOKUP("ProductType2",torawdata,7,FALSE),"")</f>
        <v/>
      </c>
      <c r="I30" s="45"/>
      <c r="J30" s="50" t="str">
        <f t="shared" si="12"/>
        <v/>
      </c>
      <c r="K30" s="50" t="str">
        <f t="shared" si="13"/>
        <v/>
      </c>
      <c r="L30" s="50" t="str">
        <f t="shared" si="14"/>
        <v/>
      </c>
      <c r="M30" s="50" t="str">
        <f t="shared" si="15"/>
        <v/>
      </c>
    </row>
    <row r="31" spans="2:21" ht="18.75">
      <c r="B31" s="59"/>
      <c r="C31" s="57" t="str">
        <f>IFERROR(VLOOKUP("ProductType3",torawdata,2,FALSE),"")</f>
        <v/>
      </c>
      <c r="D31" s="49" t="str">
        <f>IFERROR(VLOOKUP("ProductType3",torawdata,3,FALSE),"")</f>
        <v/>
      </c>
      <c r="E31" s="49" t="str">
        <f>IFERROR(VLOOKUP("ProductType3",torawdata,4,FALSE),"")</f>
        <v/>
      </c>
      <c r="F31" s="49" t="str">
        <f>IFERROR(VLOOKUP("ProductType3",torawdata,5,FALSE),"")</f>
        <v/>
      </c>
      <c r="G31" s="49" t="str">
        <f>IFERROR(VLOOKUP("ProductType3",torawdata,6,FALSE),"")</f>
        <v/>
      </c>
      <c r="H31" s="49" t="str">
        <f>IFERROR(VLOOKUP("ProductType3",torawdata,7,FALSE),"")</f>
        <v/>
      </c>
      <c r="I31" s="45"/>
      <c r="J31" s="50" t="str">
        <f t="shared" si="12"/>
        <v/>
      </c>
      <c r="K31" s="50" t="str">
        <f t="shared" si="13"/>
        <v/>
      </c>
      <c r="L31" s="50" t="str">
        <f t="shared" si="14"/>
        <v/>
      </c>
      <c r="M31" s="50" t="str">
        <f t="shared" si="15"/>
        <v/>
      </c>
    </row>
    <row r="32" spans="2:21" ht="18.75">
      <c r="B32" s="59"/>
      <c r="C32" s="57" t="str">
        <f>IFERROR(VLOOKUP("ProductType4",torawdata,2,FALSE),"")</f>
        <v/>
      </c>
      <c r="D32" s="49" t="str">
        <f>IFERROR(VLOOKUP("ProductType4",torawdata,3,FALSE),"")</f>
        <v/>
      </c>
      <c r="E32" s="49" t="str">
        <f>IFERROR(VLOOKUP("ProductType4",torawdata,4,FALSE),"")</f>
        <v/>
      </c>
      <c r="F32" s="49" t="str">
        <f>IFERROR(VLOOKUP("ProductType4",torawdata,5,FALSE),"")</f>
        <v/>
      </c>
      <c r="G32" s="49" t="str">
        <f>IFERROR(VLOOKUP("ProductType4",torawdata,6,FALSE),"")</f>
        <v/>
      </c>
      <c r="H32" s="49" t="str">
        <f>IFERROR(VLOOKUP("ProductType4",torawdata,7,FALSE),"")</f>
        <v/>
      </c>
      <c r="I32" s="45"/>
      <c r="J32" s="50" t="str">
        <f t="shared" si="12"/>
        <v/>
      </c>
      <c r="K32" s="50" t="str">
        <f t="shared" si="13"/>
        <v/>
      </c>
      <c r="L32" s="50" t="str">
        <f t="shared" si="14"/>
        <v/>
      </c>
      <c r="M32" s="50" t="str">
        <f t="shared" si="15"/>
        <v/>
      </c>
    </row>
    <row r="33" spans="2:13" ht="18.75">
      <c r="B33" s="59"/>
      <c r="C33" s="57" t="str">
        <f>IFERROR(VLOOKUP("ProductType5",torawdata,2,FALSE),"")</f>
        <v/>
      </c>
      <c r="D33" s="49" t="str">
        <f>IFERROR(VLOOKUP("ProductType5",torawdata,3,FALSE),"")</f>
        <v/>
      </c>
      <c r="E33" s="49" t="str">
        <f>IFERROR(VLOOKUP("ProductType5",torawdata,4,FALSE),"")</f>
        <v/>
      </c>
      <c r="F33" s="49" t="str">
        <f>IFERROR(VLOOKUP("ProductType5",torawdata,5,FALSE),"")</f>
        <v/>
      </c>
      <c r="G33" s="49" t="str">
        <f>IFERROR(VLOOKUP("ProductType5",torawdata,3,FALSE),"")</f>
        <v/>
      </c>
      <c r="H33" s="49" t="str">
        <f>IFERROR(VLOOKUP("ProductType5",torawdata,3,FALSE),"")</f>
        <v/>
      </c>
      <c r="I33" s="45"/>
      <c r="J33" s="50" t="str">
        <f t="shared" si="12"/>
        <v/>
      </c>
      <c r="K33" s="50" t="str">
        <f t="shared" si="13"/>
        <v/>
      </c>
      <c r="L33" s="50" t="str">
        <f t="shared" si="14"/>
        <v/>
      </c>
      <c r="M33" s="50" t="str">
        <f t="shared" si="15"/>
        <v/>
      </c>
    </row>
    <row r="34" spans="2:13" ht="18.75"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2:13" ht="18.75">
      <c r="B35" s="55" t="s">
        <v>22</v>
      </c>
      <c r="C35" s="33" t="s">
        <v>16</v>
      </c>
      <c r="D35" s="47"/>
      <c r="E35" s="47"/>
      <c r="F35" s="47"/>
      <c r="G35" s="47"/>
      <c r="H35" s="47"/>
      <c r="I35" s="47"/>
      <c r="J35" s="47"/>
      <c r="K35" s="47"/>
      <c r="L35" s="47"/>
      <c r="M35" s="47"/>
    </row>
    <row r="36" spans="2:13" ht="18.75">
      <c r="B36" s="116" t="s">
        <v>2</v>
      </c>
      <c r="C36" s="57" t="str">
        <f>IFERROR(VLOOKUP("SBU1",torawdata,2,FALSE),"")</f>
        <v/>
      </c>
      <c r="D36" s="49" t="str">
        <f>IFERROR(VLOOKUP("SBU1",torawdata,3,FALSE),"")</f>
        <v/>
      </c>
      <c r="E36" s="49" t="str">
        <f>IFERROR(VLOOKUP("SBU1",torawdata,4,FALSE),"")</f>
        <v/>
      </c>
      <c r="F36" s="49" t="str">
        <f>IFERROR(VLOOKUP("SBU1",torawdata,5,FALSE),"")</f>
        <v/>
      </c>
      <c r="G36" s="49" t="str">
        <f>IFERROR(VLOOKUP("SBU1",torawdata,6,FALSE),"")</f>
        <v/>
      </c>
      <c r="H36" s="49" t="str">
        <f>IFERROR(VLOOKUP("SBU1",torawdata,7,FALSE),"")</f>
        <v/>
      </c>
      <c r="I36" s="45"/>
      <c r="J36" s="50" t="str">
        <f t="shared" ref="J36:J44" si="16">IFERROR(D36/E36-1,"")</f>
        <v/>
      </c>
      <c r="K36" s="50" t="str">
        <f t="shared" ref="K36:K44" si="17">IFERROR(E36/F36-1,"")</f>
        <v/>
      </c>
      <c r="L36" s="50" t="str">
        <f t="shared" ref="L36:L44" si="18">IFERROR(F36/G36-1,"")</f>
        <v/>
      </c>
      <c r="M36" s="50" t="str">
        <f t="shared" ref="M36:M44" si="19">IFERROR(G36/H36-1,"")</f>
        <v/>
      </c>
    </row>
    <row r="37" spans="2:13" ht="18.75">
      <c r="B37" s="117"/>
      <c r="C37" s="57" t="str">
        <f>IFERROR(VLOOKUP("SBU2",torawdata,2,FALSE),"")</f>
        <v/>
      </c>
      <c r="D37" s="49" t="str">
        <f>IFERROR(VLOOKUP("SBU2",torawdata,3,FALSE),"")</f>
        <v/>
      </c>
      <c r="E37" s="49" t="str">
        <f>IFERROR(VLOOKUP("SBU2",torawdata,4,FALSE),"")</f>
        <v/>
      </c>
      <c r="F37" s="49" t="str">
        <f>IFERROR(VLOOKUP("SBU2",torawdata,5,FALSE),"")</f>
        <v/>
      </c>
      <c r="G37" s="49" t="str">
        <f>IFERROR(VLOOKUP("SBU2",torawdata,6,FALSE),"")</f>
        <v/>
      </c>
      <c r="H37" s="49" t="str">
        <f>IFERROR(VLOOKUP("SBU2",torawdata,7,FALSE),"")</f>
        <v/>
      </c>
      <c r="I37" s="45"/>
      <c r="J37" s="50" t="str">
        <f t="shared" si="16"/>
        <v/>
      </c>
      <c r="K37" s="50" t="str">
        <f t="shared" si="17"/>
        <v/>
      </c>
      <c r="L37" s="50" t="str">
        <f t="shared" si="18"/>
        <v/>
      </c>
      <c r="M37" s="50" t="str">
        <f t="shared" si="19"/>
        <v/>
      </c>
    </row>
    <row r="38" spans="2:13" ht="18.75">
      <c r="B38" s="47"/>
      <c r="C38" s="57" t="str">
        <f>IFERROR(VLOOKUP("SBU3",torawdata,2,FALSE),"")</f>
        <v/>
      </c>
      <c r="D38" s="49" t="str">
        <f>IFERROR(VLOOKUP("SBU3",torawdata,3,FALSE),"")</f>
        <v/>
      </c>
      <c r="E38" s="49" t="str">
        <f>IFERROR(VLOOKUP("SBU3",torawdata,4,FALSE),"")</f>
        <v/>
      </c>
      <c r="F38" s="49" t="str">
        <f>IFERROR(VLOOKUP("SBU3",torawdata,5,FALSE),"")</f>
        <v/>
      </c>
      <c r="G38" s="49" t="str">
        <f>IFERROR(VLOOKUP("SBU3",torawdata,6,FALSE),"")</f>
        <v/>
      </c>
      <c r="H38" s="49" t="str">
        <f>IFERROR(VLOOKUP("SBU3",torawdata,7,FALSE),"")</f>
        <v/>
      </c>
      <c r="I38" s="45"/>
      <c r="J38" s="50" t="str">
        <f t="shared" si="16"/>
        <v/>
      </c>
      <c r="K38" s="50" t="str">
        <f t="shared" si="17"/>
        <v/>
      </c>
      <c r="L38" s="50" t="str">
        <f t="shared" si="18"/>
        <v/>
      </c>
      <c r="M38" s="50" t="str">
        <f t="shared" si="19"/>
        <v/>
      </c>
    </row>
    <row r="39" spans="2:13" ht="18.75">
      <c r="B39" s="47"/>
      <c r="C39" s="57" t="str">
        <f>IFERROR(VLOOKUP("SBU4",torawdata,2,FALSE),"")</f>
        <v/>
      </c>
      <c r="D39" s="49" t="str">
        <f>IFERROR(VLOOKUP("SBU4",torawdata,3,FALSE),"")</f>
        <v/>
      </c>
      <c r="E39" s="49" t="str">
        <f>IFERROR(VLOOKUP("SBU4",torawdata,4,FALSE),"")</f>
        <v/>
      </c>
      <c r="F39" s="49" t="str">
        <f>IFERROR(VLOOKUP("SBU4",torawdata,5,FALSE),"")</f>
        <v/>
      </c>
      <c r="G39" s="49" t="str">
        <f>IFERROR(VLOOKUP("SBU4",torawdata,6,FALSE),"")</f>
        <v/>
      </c>
      <c r="H39" s="49" t="str">
        <f>IFERROR(VLOOKUP("SBU4",torawdata,7,FALSE),"")</f>
        <v/>
      </c>
      <c r="I39" s="45"/>
      <c r="J39" s="50" t="str">
        <f t="shared" si="16"/>
        <v/>
      </c>
      <c r="K39" s="50" t="str">
        <f t="shared" si="17"/>
        <v/>
      </c>
      <c r="L39" s="50" t="str">
        <f t="shared" si="18"/>
        <v/>
      </c>
      <c r="M39" s="50" t="str">
        <f t="shared" si="19"/>
        <v/>
      </c>
    </row>
    <row r="40" spans="2:13" ht="18.75">
      <c r="B40" s="47"/>
      <c r="C40" s="57" t="str">
        <f>IFERROR(VLOOKUP("SBU5",torawdata,2,FALSE),"")</f>
        <v/>
      </c>
      <c r="D40" s="49" t="str">
        <f>IFERROR(VLOOKUP("SBU5",torawdata,3,FALSE),"")</f>
        <v/>
      </c>
      <c r="E40" s="49" t="str">
        <f>IFERROR(VLOOKUP("SBU5",torawdata,4,FALSE),"")</f>
        <v/>
      </c>
      <c r="F40" s="49" t="str">
        <f>IFERROR(VLOOKUP("SBU5",torawdata,5,FALSE),"")</f>
        <v/>
      </c>
      <c r="G40" s="49" t="str">
        <f>IFERROR(VLOOKUP("SBU5",torawdata,6,FALSE),"")</f>
        <v/>
      </c>
      <c r="H40" s="49" t="str">
        <f>IFERROR(VLOOKUP("SBU5",torawdata,7,FALSE),"")</f>
        <v/>
      </c>
      <c r="I40" s="45"/>
      <c r="J40" s="50" t="str">
        <f t="shared" si="16"/>
        <v/>
      </c>
      <c r="K40" s="50" t="str">
        <f t="shared" si="17"/>
        <v/>
      </c>
      <c r="L40" s="50" t="str">
        <f t="shared" si="18"/>
        <v/>
      </c>
      <c r="M40" s="50" t="str">
        <f t="shared" si="19"/>
        <v/>
      </c>
    </row>
    <row r="41" spans="2:13" ht="18.75">
      <c r="B41" s="47"/>
      <c r="C41" s="57" t="str">
        <f>IFERROR(VLOOKUP("SBU6",torawdata,2,FALSE),"")</f>
        <v/>
      </c>
      <c r="D41" s="49" t="str">
        <f>IFERROR(VLOOKUP("SBU6",torawdata,3,FALSE),"")</f>
        <v/>
      </c>
      <c r="E41" s="49" t="str">
        <f>IFERROR(VLOOKUP("SBU6",torawdata,4,FALSE),"")</f>
        <v/>
      </c>
      <c r="F41" s="49" t="str">
        <f>IFERROR(VLOOKUP("SBU6",torawdata,5,FALSE),"")</f>
        <v/>
      </c>
      <c r="G41" s="49" t="str">
        <f>IFERROR(VLOOKUP("SBU6",torawdata,6,FALSE),"")</f>
        <v/>
      </c>
      <c r="H41" s="49" t="str">
        <f>IFERROR(VLOOKUP("SBU6",torawdata,7,FALSE),"")</f>
        <v/>
      </c>
      <c r="I41" s="45"/>
      <c r="J41" s="50" t="str">
        <f t="shared" si="16"/>
        <v/>
      </c>
      <c r="K41" s="50" t="str">
        <f t="shared" si="17"/>
        <v/>
      </c>
      <c r="L41" s="50" t="str">
        <f t="shared" si="18"/>
        <v/>
      </c>
      <c r="M41" s="50" t="str">
        <f t="shared" si="19"/>
        <v/>
      </c>
    </row>
    <row r="42" spans="2:13" ht="18.75">
      <c r="B42" s="47"/>
      <c r="C42" s="57" t="str">
        <f>IFERROR(VLOOKUP("SBU7",torawdata,2,FALSE),"")</f>
        <v/>
      </c>
      <c r="D42" s="49" t="str">
        <f>IFERROR(VLOOKUP("SBU7",torawdata,3,FALSE),"")</f>
        <v/>
      </c>
      <c r="E42" s="49" t="str">
        <f>IFERROR(VLOOKUP("SBU7",torawdata,4,FALSE),"")</f>
        <v/>
      </c>
      <c r="F42" s="49" t="str">
        <f>IFERROR(VLOOKUP("SBU7",torawdata,5,FALSE),"")</f>
        <v/>
      </c>
      <c r="G42" s="49" t="str">
        <f>IFERROR(VLOOKUP("SBU7",torawdata,6,FALSE),"")</f>
        <v/>
      </c>
      <c r="H42" s="49" t="str">
        <f>IFERROR(VLOOKUP("SBU7",torawdata,7,FALSE),"")</f>
        <v/>
      </c>
      <c r="I42" s="45"/>
      <c r="J42" s="50" t="str">
        <f t="shared" si="16"/>
        <v/>
      </c>
      <c r="K42" s="50" t="str">
        <f t="shared" si="17"/>
        <v/>
      </c>
      <c r="L42" s="50" t="str">
        <f t="shared" si="18"/>
        <v/>
      </c>
      <c r="M42" s="50" t="str">
        <f t="shared" si="19"/>
        <v/>
      </c>
    </row>
    <row r="43" spans="2:13" ht="18.75">
      <c r="B43" s="47"/>
      <c r="C43" s="57" t="str">
        <f>IFERROR(VLOOKUP("SBU8",torawdata,2,FALSE),"")</f>
        <v/>
      </c>
      <c r="D43" s="49" t="str">
        <f>IFERROR(VLOOKUP("SBU8",torawdata,3,FALSE),"")</f>
        <v/>
      </c>
      <c r="E43" s="49" t="str">
        <f>IFERROR(VLOOKUP("SBU8",torawdata,4,FALSE),"")</f>
        <v/>
      </c>
      <c r="F43" s="49" t="str">
        <f>IFERROR(VLOOKUP("SBU8",torawdata,5,FALSE),"")</f>
        <v/>
      </c>
      <c r="G43" s="49" t="str">
        <f>IFERROR(VLOOKUP("SBU8",torawdata,6,FALSE),"")</f>
        <v/>
      </c>
      <c r="H43" s="49" t="str">
        <f>IFERROR(VLOOKUP("SBU8",torawdata,7,FALSE),"")</f>
        <v/>
      </c>
      <c r="I43" s="45"/>
      <c r="J43" s="50" t="str">
        <f t="shared" si="16"/>
        <v/>
      </c>
      <c r="K43" s="50" t="str">
        <f t="shared" si="17"/>
        <v/>
      </c>
      <c r="L43" s="50" t="str">
        <f t="shared" si="18"/>
        <v/>
      </c>
      <c r="M43" s="50" t="str">
        <f t="shared" si="19"/>
        <v/>
      </c>
    </row>
    <row r="44" spans="2:13" ht="18.75">
      <c r="B44" s="47"/>
      <c r="C44" s="57" t="str">
        <f>IFERROR(VLOOKUP("SBU9",torawdata,2,FALSE),"")</f>
        <v/>
      </c>
      <c r="D44" s="49" t="str">
        <f>IFERROR(VLOOKUP("SBU9",torawdata,3,FALSE),"")</f>
        <v/>
      </c>
      <c r="E44" s="49" t="str">
        <f>IFERROR(VLOOKUP("SBU9",torawdata,4,FALSE),"")</f>
        <v/>
      </c>
      <c r="F44" s="49" t="str">
        <f>IFERROR(VLOOKUP("SBU9",torawdata,5,FALSE),"")</f>
        <v/>
      </c>
      <c r="G44" s="49" t="str">
        <f>IFERROR(VLOOKUP("SBU9",torawdata,6,FALSE),"")</f>
        <v/>
      </c>
      <c r="H44" s="49" t="str">
        <f>IFERROR(VLOOKUP("SBU9",torawdata,7,FALSE),"")</f>
        <v/>
      </c>
      <c r="I44" s="45"/>
      <c r="J44" s="50" t="str">
        <f t="shared" si="16"/>
        <v/>
      </c>
      <c r="K44" s="50" t="str">
        <f t="shared" si="17"/>
        <v/>
      </c>
      <c r="L44" s="50" t="str">
        <f t="shared" si="18"/>
        <v/>
      </c>
      <c r="M44" s="50" t="str">
        <f t="shared" si="19"/>
        <v/>
      </c>
    </row>
    <row r="45" spans="2:13" ht="18.75">
      <c r="B45" s="47"/>
      <c r="C45" s="47"/>
      <c r="D45" s="47"/>
      <c r="E45" s="47"/>
      <c r="F45" s="47"/>
      <c r="G45" s="47"/>
      <c r="H45" s="47"/>
      <c r="I45" s="47"/>
      <c r="J45" s="47"/>
      <c r="K45" s="47"/>
      <c r="L45" s="47"/>
      <c r="M45" s="47"/>
    </row>
    <row r="46" spans="2:13" ht="18.75">
      <c r="B46" s="55" t="s">
        <v>22</v>
      </c>
      <c r="C46" s="33" t="s">
        <v>16</v>
      </c>
      <c r="D46" s="47"/>
      <c r="E46" s="47"/>
      <c r="F46" s="47"/>
      <c r="G46" s="47"/>
      <c r="H46" s="47"/>
      <c r="I46" s="47"/>
      <c r="J46" s="47"/>
      <c r="K46" s="47"/>
      <c r="L46" s="47"/>
      <c r="M46" s="47"/>
    </row>
    <row r="47" spans="2:13" ht="18.75">
      <c r="B47" s="116" t="s">
        <v>3</v>
      </c>
      <c r="C47" s="57" t="str">
        <f>IFERROR(VLOOKUP("Family1",torawdata,2,FALSE),"")</f>
        <v/>
      </c>
      <c r="D47" s="58" t="str">
        <f>IFERROR(VLOOKUP("Family1",torawdata,3,FALSE),"")</f>
        <v/>
      </c>
      <c r="E47" s="49" t="str">
        <f>IFERROR(VLOOKUP("Family1",torawdata,4,FALSE),"")</f>
        <v/>
      </c>
      <c r="F47" s="49" t="str">
        <f>IFERROR(VLOOKUP("Family1",torawdata,5,FALSE),"")</f>
        <v/>
      </c>
      <c r="G47" s="49" t="str">
        <f>IFERROR(VLOOKUP("Family1",torawdata,6,FALSE),"")</f>
        <v/>
      </c>
      <c r="H47" s="49" t="str">
        <f>IFERROR(VLOOKUP("Family1",torawdata,7,FALSE),"")</f>
        <v/>
      </c>
      <c r="I47" s="45"/>
      <c r="J47" s="50" t="str">
        <f t="shared" ref="J47:J50" si="20">IFERROR(D47/E47-1,"")</f>
        <v/>
      </c>
      <c r="K47" s="50" t="str">
        <f t="shared" ref="K47:K50" si="21">IFERROR(E47/F47-1,"")</f>
        <v/>
      </c>
      <c r="L47" s="50" t="str">
        <f t="shared" ref="L47:L50" si="22">IFERROR(F47/G47-1,"")</f>
        <v/>
      </c>
      <c r="M47" s="50" t="str">
        <f t="shared" ref="M47:M50" si="23">IFERROR(G47/H47-1,"")</f>
        <v/>
      </c>
    </row>
    <row r="48" spans="2:13" ht="18.75">
      <c r="B48" s="117"/>
      <c r="C48" s="57" t="str">
        <f>IFERROR(VLOOKUP("Family2",torawdata,2,FALSE),"")</f>
        <v/>
      </c>
      <c r="D48" s="58" t="str">
        <f>IFERROR(VLOOKUP("Family2",torawdata,3,FALSE),"")</f>
        <v/>
      </c>
      <c r="E48" s="49" t="str">
        <f>IFERROR(VLOOKUP("Family2",torawdata,4,FALSE),"")</f>
        <v/>
      </c>
      <c r="F48" s="49" t="str">
        <f>IFERROR(VLOOKUP("Family2",torawdata,5,FALSE),"")</f>
        <v/>
      </c>
      <c r="G48" s="49" t="str">
        <f>IFERROR(VLOOKUP("Family2",torawdata,6,FALSE),"")</f>
        <v/>
      </c>
      <c r="H48" s="49" t="str">
        <f>IFERROR(VLOOKUP("Family2",torawdata,7,FALSE),"")</f>
        <v/>
      </c>
      <c r="I48" s="45"/>
      <c r="J48" s="50" t="str">
        <f t="shared" si="20"/>
        <v/>
      </c>
      <c r="K48" s="50" t="str">
        <f t="shared" si="21"/>
        <v/>
      </c>
      <c r="L48" s="50" t="str">
        <f t="shared" si="22"/>
        <v/>
      </c>
      <c r="M48" s="50" t="str">
        <f t="shared" si="23"/>
        <v/>
      </c>
    </row>
    <row r="49" spans="2:13" ht="18.75">
      <c r="B49" s="47"/>
      <c r="C49" s="57" t="str">
        <f>IFERROR(VLOOKUP("Family3",torawdata,2,FALSE),"")</f>
        <v/>
      </c>
      <c r="D49" s="58" t="str">
        <f>IFERROR(VLOOKUP("Family3",torawdata,3,FALSE),"")</f>
        <v/>
      </c>
      <c r="E49" s="49" t="str">
        <f>IFERROR(VLOOKUP("Family3",torawdata,4,FALSE),"")</f>
        <v/>
      </c>
      <c r="F49" s="49" t="str">
        <f>IFERROR(VLOOKUP("Family3",torawdata,5,FALSE),"")</f>
        <v/>
      </c>
      <c r="G49" s="49" t="str">
        <f>IFERROR(VLOOKUP("Family3",torawdata,6,FALSE),"")</f>
        <v/>
      </c>
      <c r="H49" s="49" t="str">
        <f>IFERROR(VLOOKUP("Family3",torawdata,7,FALSE),"")</f>
        <v/>
      </c>
      <c r="I49" s="45"/>
      <c r="J49" s="50" t="str">
        <f t="shared" si="20"/>
        <v/>
      </c>
      <c r="K49" s="50" t="str">
        <f t="shared" si="21"/>
        <v/>
      </c>
      <c r="L49" s="50" t="str">
        <f t="shared" si="22"/>
        <v/>
      </c>
      <c r="M49" s="50" t="str">
        <f t="shared" si="23"/>
        <v/>
      </c>
    </row>
    <row r="50" spans="2:13" ht="18.75">
      <c r="B50" s="47"/>
      <c r="C50" s="57" t="str">
        <f>IFERROR(VLOOKUP("Family4",torawdata,2,FALSE),"")</f>
        <v/>
      </c>
      <c r="D50" s="58" t="str">
        <f>IFERROR(VLOOKUP("Family4",torawdata,3,FALSE),"")</f>
        <v/>
      </c>
      <c r="E50" s="49" t="str">
        <f>IFERROR(VLOOKUP("Family4",torawdata,4,FALSE),"")</f>
        <v/>
      </c>
      <c r="F50" s="49" t="str">
        <f>IFERROR(VLOOKUP("Family4",torawdata,5,FALSE),"")</f>
        <v/>
      </c>
      <c r="G50" s="49" t="str">
        <f>IFERROR(VLOOKUP("Family4",torawdata,6,FALSE),"")</f>
        <v/>
      </c>
      <c r="H50" s="49" t="str">
        <f>IFERROR(VLOOKUP("Family4",torawdata,7,FALSE),"")</f>
        <v/>
      </c>
      <c r="I50" s="47"/>
      <c r="J50" s="50" t="str">
        <f t="shared" si="20"/>
        <v/>
      </c>
      <c r="K50" s="50" t="str">
        <f t="shared" si="21"/>
        <v/>
      </c>
      <c r="L50" s="50" t="str">
        <f t="shared" si="22"/>
        <v/>
      </c>
      <c r="M50" s="50" t="str">
        <f t="shared" si="23"/>
        <v/>
      </c>
    </row>
    <row r="51" spans="2:13" ht="18.75">
      <c r="B51" s="47"/>
      <c r="C51" s="57" t="str">
        <f>IFERROR(VLOOKUP("Family5",torawdata,2,FALSE),"")</f>
        <v/>
      </c>
      <c r="D51" s="58" t="str">
        <f>IFERROR(VLOOKUP("Family5",torawdata,3,FALSE),"")</f>
        <v/>
      </c>
      <c r="E51" s="49" t="str">
        <f>IFERROR(VLOOKUP("Family5",torawdata,4,FALSE),"")</f>
        <v/>
      </c>
      <c r="F51" s="49" t="str">
        <f>IFERROR(VLOOKUP("Family5",torawdata,5,FALSE),"")</f>
        <v/>
      </c>
      <c r="G51" s="49" t="str">
        <f>IFERROR(VLOOKUP("Family5",torawdata,6,FALSE),"")</f>
        <v/>
      </c>
      <c r="H51" s="49" t="str">
        <f>IFERROR(VLOOKUP("Family5",torawdata,7,FALSE),"")</f>
        <v/>
      </c>
      <c r="I51" s="47"/>
      <c r="J51" s="50" t="str">
        <f>IFERROR(D51/E51-1,"")</f>
        <v/>
      </c>
      <c r="K51" s="50" t="str">
        <f>IFERROR(E51/F51-1,"")</f>
        <v/>
      </c>
      <c r="L51" s="50" t="str">
        <f>IFERROR(F51/G51-1,"")</f>
        <v/>
      </c>
      <c r="M51" s="50" t="str">
        <f>IFERROR(G51/H51-1,"")</f>
        <v/>
      </c>
    </row>
    <row r="52" spans="2:13" ht="18.75">
      <c r="B52" s="47"/>
      <c r="C52" s="57" t="str">
        <f>IFERROR(VLOOKUP("Family6",torawdata,2,FALSE),"")</f>
        <v/>
      </c>
      <c r="D52" s="58" t="str">
        <f>IFERROR(VLOOKUP("Family6",torawdata,3,FALSE),"")</f>
        <v/>
      </c>
      <c r="E52" s="49" t="str">
        <f>IFERROR(VLOOKUP("Family6",torawdata,4,FALSE),"")</f>
        <v/>
      </c>
      <c r="F52" s="49" t="str">
        <f>IFERROR(VLOOKUP("Family6",torawdata,5,FALSE),"")</f>
        <v/>
      </c>
      <c r="G52" s="49" t="str">
        <f>IFERROR(VLOOKUP("Family6",torawdata,6,FALSE),"")</f>
        <v/>
      </c>
      <c r="H52" s="49" t="str">
        <f>IFERROR(VLOOKUP("Family6",torawdata,7,FALSE),"")</f>
        <v/>
      </c>
      <c r="I52" s="47"/>
      <c r="J52" s="50" t="str">
        <f t="shared" ref="J52:J66" si="24">IFERROR(D52/E52-1,"")</f>
        <v/>
      </c>
      <c r="K52" s="50" t="str">
        <f t="shared" ref="K52:K66" si="25">IFERROR(E52/F52-1,"")</f>
        <v/>
      </c>
      <c r="L52" s="50" t="str">
        <f t="shared" ref="L52:L66" si="26">IFERROR(F52/G52-1,"")</f>
        <v/>
      </c>
      <c r="M52" s="50" t="str">
        <f t="shared" ref="M52:M66" si="27">IFERROR(G52/H52-1,"")</f>
        <v/>
      </c>
    </row>
    <row r="53" spans="2:13" ht="18.75">
      <c r="B53" s="47"/>
      <c r="C53" s="57" t="str">
        <f>IFERROR(VLOOKUP("Family7",torawdata,2,FALSE),"")</f>
        <v/>
      </c>
      <c r="D53" s="58" t="str">
        <f>IFERROR(VLOOKUP("Family7",torawdata,3,FALSE),"")</f>
        <v/>
      </c>
      <c r="E53" s="49" t="str">
        <f>IFERROR(VLOOKUP("Family7",torawdata,4,FALSE),"")</f>
        <v/>
      </c>
      <c r="F53" s="49" t="str">
        <f>IFERROR(VLOOKUP("Family7",torawdata,5,FALSE),"")</f>
        <v/>
      </c>
      <c r="G53" s="49" t="str">
        <f>IFERROR(VLOOKUP("Family7",torawdata,6,FALSE),"")</f>
        <v/>
      </c>
      <c r="H53" s="49" t="str">
        <f>IFERROR(VLOOKUP("Family7",torawdata,7,FALSE),"")</f>
        <v/>
      </c>
      <c r="I53" s="47"/>
      <c r="J53" s="50" t="str">
        <f t="shared" si="24"/>
        <v/>
      </c>
      <c r="K53" s="50" t="str">
        <f t="shared" si="25"/>
        <v/>
      </c>
      <c r="L53" s="50" t="str">
        <f t="shared" si="26"/>
        <v/>
      </c>
      <c r="M53" s="50" t="str">
        <f t="shared" si="27"/>
        <v/>
      </c>
    </row>
    <row r="54" spans="2:13" ht="18.75">
      <c r="B54" s="47"/>
      <c r="C54" s="57" t="str">
        <f>IFERROR(VLOOKUP("Family8",torawdata,2,FALSE),"")</f>
        <v/>
      </c>
      <c r="D54" s="58" t="str">
        <f>IFERROR(VLOOKUP("Family8",torawdata,3,FALSE),"")</f>
        <v/>
      </c>
      <c r="E54" s="49" t="str">
        <f>IFERROR(VLOOKUP("Family8",torawdata,4,FALSE),"")</f>
        <v/>
      </c>
      <c r="F54" s="49" t="str">
        <f>IFERROR(VLOOKUP("Family8",torawdata,5,FALSE),"")</f>
        <v/>
      </c>
      <c r="G54" s="49" t="str">
        <f>IFERROR(VLOOKUP("Family8",torawdata,6,FALSE),"")</f>
        <v/>
      </c>
      <c r="H54" s="49" t="str">
        <f>IFERROR(VLOOKUP("Family8",torawdata,7,FALSE),"")</f>
        <v/>
      </c>
      <c r="I54" s="47"/>
      <c r="J54" s="50" t="str">
        <f t="shared" si="24"/>
        <v/>
      </c>
      <c r="K54" s="50" t="str">
        <f t="shared" si="25"/>
        <v/>
      </c>
      <c r="L54" s="50" t="str">
        <f t="shared" si="26"/>
        <v/>
      </c>
      <c r="M54" s="50" t="str">
        <f t="shared" si="27"/>
        <v/>
      </c>
    </row>
    <row r="55" spans="2:13" ht="18.75">
      <c r="B55" s="59"/>
      <c r="C55" s="57" t="str">
        <f>IFERROR(VLOOKUP("Family9",torawdata,2,FALSE),"")</f>
        <v/>
      </c>
      <c r="D55" s="58" t="str">
        <f>IFERROR(VLOOKUP("Family9",torawdata,3,FALSE),"")</f>
        <v/>
      </c>
      <c r="E55" s="49" t="str">
        <f>IFERROR(VLOOKUP("Family9",torawdata,4,FALSE),"")</f>
        <v/>
      </c>
      <c r="F55" s="49" t="str">
        <f>IFERROR(VLOOKUP("Family9",torawdata,5,FALSE),"")</f>
        <v/>
      </c>
      <c r="G55" s="49" t="str">
        <f>IFERROR(VLOOKUP("Family9",torawdata,6,FALSE),"")</f>
        <v/>
      </c>
      <c r="H55" s="49" t="str">
        <f>IFERROR(VLOOKUP("Family9",torawdata,7,FALSE),"")</f>
        <v/>
      </c>
      <c r="I55" s="59"/>
      <c r="J55" s="50" t="str">
        <f t="shared" si="24"/>
        <v/>
      </c>
      <c r="K55" s="50" t="str">
        <f t="shared" si="25"/>
        <v/>
      </c>
      <c r="L55" s="50" t="str">
        <f t="shared" si="26"/>
        <v/>
      </c>
      <c r="M55" s="50" t="str">
        <f t="shared" si="27"/>
        <v/>
      </c>
    </row>
    <row r="56" spans="2:13" ht="18.75">
      <c r="B56" s="59"/>
      <c r="C56" s="57" t="str">
        <f>IFERROR(VLOOKUP("Family10",torawdata,2,FALSE),"")</f>
        <v/>
      </c>
      <c r="D56" s="58" t="str">
        <f>IFERROR(VLOOKUP("Family10",torawdata,3,FALSE),"")</f>
        <v/>
      </c>
      <c r="E56" s="49" t="str">
        <f>IFERROR(VLOOKUP("Family10",torawdata,4,FALSE),"")</f>
        <v/>
      </c>
      <c r="F56" s="49" t="str">
        <f>IFERROR(VLOOKUP("Family10",torawdata,6,FALSE),"")</f>
        <v/>
      </c>
      <c r="G56" s="49" t="str">
        <f>IFERROR(VLOOKUP("Family10",torawdata,6,FALSE),"")</f>
        <v/>
      </c>
      <c r="H56" s="49" t="str">
        <f>IFERROR(VLOOKUP("Family10",torawdata,7,FALSE),"")</f>
        <v/>
      </c>
      <c r="I56" s="59"/>
      <c r="J56" s="50" t="str">
        <f t="shared" si="24"/>
        <v/>
      </c>
      <c r="K56" s="50" t="str">
        <f t="shared" si="25"/>
        <v/>
      </c>
      <c r="L56" s="50" t="str">
        <f t="shared" si="26"/>
        <v/>
      </c>
      <c r="M56" s="50" t="str">
        <f t="shared" si="27"/>
        <v/>
      </c>
    </row>
    <row r="57" spans="2:13" ht="18.75">
      <c r="B57" s="59"/>
      <c r="C57" s="57" t="str">
        <f>IFERROR(VLOOKUP("Family11",torawdata,2,FALSE),"")</f>
        <v/>
      </c>
      <c r="D57" s="58" t="str">
        <f>IFERROR(VLOOKUP("Family11",torawdata,3,FALSE),"")</f>
        <v/>
      </c>
      <c r="E57" s="49" t="str">
        <f>IFERROR(VLOOKUP("Family11",torawdata,4,FALSE),"")</f>
        <v/>
      </c>
      <c r="F57" s="49" t="str">
        <f>IFERROR(VLOOKUP("Family11",torawdata,5,FALSE),"")</f>
        <v/>
      </c>
      <c r="G57" s="49" t="str">
        <f>IFERROR(VLOOKUP("Family11",torawdata,6,FALSE),"")</f>
        <v/>
      </c>
      <c r="H57" s="49" t="str">
        <f>IFERROR(VLOOKUP("Family11",torawdata,7,FALSE),"")</f>
        <v/>
      </c>
      <c r="I57" s="59"/>
      <c r="J57" s="50" t="str">
        <f t="shared" si="24"/>
        <v/>
      </c>
      <c r="K57" s="50" t="str">
        <f t="shared" si="25"/>
        <v/>
      </c>
      <c r="L57" s="50" t="str">
        <f t="shared" si="26"/>
        <v/>
      </c>
      <c r="M57" s="50" t="str">
        <f t="shared" si="27"/>
        <v/>
      </c>
    </row>
    <row r="58" spans="2:13" ht="18.75">
      <c r="B58" s="59"/>
      <c r="C58" s="57" t="str">
        <f>IFERROR(VLOOKUP("Family12",torawdata,2,FALSE),"")</f>
        <v/>
      </c>
      <c r="D58" s="58" t="str">
        <f>IFERROR(VLOOKUP("Family12",torawdata,3,FALSE),"")</f>
        <v/>
      </c>
      <c r="E58" s="49" t="str">
        <f>IFERROR(VLOOKUP("Family12",torawdata,4,FALSE),"")</f>
        <v/>
      </c>
      <c r="F58" s="49" t="str">
        <f>IFERROR(VLOOKUP("Family12",torawdata,5,FALSE),"")</f>
        <v/>
      </c>
      <c r="G58" s="49" t="str">
        <f>IFERROR(VLOOKUP("Family12",torawdata,6,FALSE),"")</f>
        <v/>
      </c>
      <c r="H58" s="49" t="str">
        <f>IFERROR(VLOOKUP("Family12",torawdata,7,FALSE),"")</f>
        <v/>
      </c>
      <c r="I58" s="59"/>
      <c r="J58" s="50" t="str">
        <f t="shared" si="24"/>
        <v/>
      </c>
      <c r="K58" s="50" t="str">
        <f t="shared" si="25"/>
        <v/>
      </c>
      <c r="L58" s="50" t="str">
        <f t="shared" si="26"/>
        <v/>
      </c>
      <c r="M58" s="50" t="str">
        <f t="shared" si="27"/>
        <v/>
      </c>
    </row>
    <row r="59" spans="2:13" ht="18.75">
      <c r="B59" s="59"/>
      <c r="C59" s="57" t="str">
        <f>IFERROR(VLOOKUP("Family13",torawdata,2,FALSE),"")</f>
        <v/>
      </c>
      <c r="D59" s="58" t="str">
        <f>IFERROR(VLOOKUP("Family13",torawdata,3,FALSE),"")</f>
        <v/>
      </c>
      <c r="E59" s="49" t="str">
        <f>IFERROR(VLOOKUP("Family13",torawdata,4,FALSE),"")</f>
        <v/>
      </c>
      <c r="F59" s="49" t="str">
        <f>IFERROR(VLOOKUP("Family13",torawdata,5,FALSE),"")</f>
        <v/>
      </c>
      <c r="G59" s="49" t="str">
        <f>IFERROR(VLOOKUP("Family13",torawdata,6,FALSE),"")</f>
        <v/>
      </c>
      <c r="H59" s="49" t="str">
        <f>IFERROR(VLOOKUP("Family13",torawdata,7,FALSE),"")</f>
        <v/>
      </c>
      <c r="I59" s="59"/>
      <c r="J59" s="50" t="str">
        <f t="shared" si="24"/>
        <v/>
      </c>
      <c r="K59" s="50" t="str">
        <f t="shared" si="25"/>
        <v/>
      </c>
      <c r="L59" s="50" t="str">
        <f t="shared" si="26"/>
        <v/>
      </c>
      <c r="M59" s="50" t="str">
        <f t="shared" si="27"/>
        <v/>
      </c>
    </row>
    <row r="60" spans="2:13" ht="18.75">
      <c r="B60" s="59"/>
      <c r="C60" s="57" t="str">
        <f>IFERROR(VLOOKUP("Family14",torawdata,2,FALSE),"")</f>
        <v/>
      </c>
      <c r="D60" s="58" t="str">
        <f>IFERROR(VLOOKUP("Family14",torawdata,3,FALSE),"")</f>
        <v/>
      </c>
      <c r="E60" s="49" t="str">
        <f>IFERROR(VLOOKUP("Family14",torawdata,4,FALSE),"")</f>
        <v/>
      </c>
      <c r="F60" s="49" t="str">
        <f>IFERROR(VLOOKUP("Family14",torawdata,5,FALSE),"")</f>
        <v/>
      </c>
      <c r="G60" s="49" t="str">
        <f>IFERROR(VLOOKUP("Family14",torawdata,6,FALSE),"")</f>
        <v/>
      </c>
      <c r="H60" s="49" t="str">
        <f>IFERROR(VLOOKUP("Family14",torawdata,7,FALSE),"")</f>
        <v/>
      </c>
      <c r="I60" s="59"/>
      <c r="J60" s="50" t="str">
        <f t="shared" si="24"/>
        <v/>
      </c>
      <c r="K60" s="50" t="str">
        <f t="shared" si="25"/>
        <v/>
      </c>
      <c r="L60" s="50" t="str">
        <f t="shared" si="26"/>
        <v/>
      </c>
      <c r="M60" s="50" t="str">
        <f t="shared" si="27"/>
        <v/>
      </c>
    </row>
    <row r="61" spans="2:13" ht="18.75">
      <c r="B61" s="59"/>
      <c r="C61" s="57" t="str">
        <f>IFERROR(VLOOKUP("Family15",torawdata,2,FALSE),"")</f>
        <v/>
      </c>
      <c r="D61" s="58" t="str">
        <f>IFERROR(VLOOKUP("Family15",torawdata,3,FALSE),"")</f>
        <v/>
      </c>
      <c r="E61" s="49" t="str">
        <f>IFERROR(VLOOKUP("Family15",torawdata,4,FALSE),"")</f>
        <v/>
      </c>
      <c r="F61" s="49" t="str">
        <f>IFERROR(VLOOKUP("Family15",torawdata,5,FALSE),"")</f>
        <v/>
      </c>
      <c r="G61" s="49" t="str">
        <f>IFERROR(VLOOKUP("Family15",torawdata,6,FALSE),"")</f>
        <v/>
      </c>
      <c r="H61" s="49" t="str">
        <f>IFERROR(VLOOKUP("Family15",torawdata,7,FALSE),"")</f>
        <v/>
      </c>
      <c r="I61" s="59"/>
      <c r="J61" s="50" t="str">
        <f t="shared" si="24"/>
        <v/>
      </c>
      <c r="K61" s="50" t="str">
        <f t="shared" si="25"/>
        <v/>
      </c>
      <c r="L61" s="50" t="str">
        <f t="shared" si="26"/>
        <v/>
      </c>
      <c r="M61" s="50" t="str">
        <f t="shared" si="27"/>
        <v/>
      </c>
    </row>
    <row r="62" spans="2:13" ht="18.75">
      <c r="B62" s="59"/>
      <c r="C62" s="57" t="str">
        <f>IFERROR(VLOOKUP("Family16",torawdata,2,FALSE),"")</f>
        <v/>
      </c>
      <c r="D62" s="58" t="str">
        <f>IFERROR(VLOOKUP("Family16",torawdata,3,FALSE),"")</f>
        <v/>
      </c>
      <c r="E62" s="49" t="str">
        <f>IFERROR(VLOOKUP("Family16",torawdata,4,FALSE),"")</f>
        <v/>
      </c>
      <c r="F62" s="49" t="str">
        <f>IFERROR(VLOOKUP("Family16",torawdata,5,FALSE),"")</f>
        <v/>
      </c>
      <c r="G62" s="49" t="str">
        <f>IFERROR(VLOOKUP("Family16",torawdata,6,FALSE),"")</f>
        <v/>
      </c>
      <c r="H62" s="49" t="str">
        <f>IFERROR(VLOOKUP("Family16",torawdata,7,FALSE),"")</f>
        <v/>
      </c>
      <c r="I62" s="59"/>
      <c r="J62" s="50" t="str">
        <f t="shared" si="24"/>
        <v/>
      </c>
      <c r="K62" s="50" t="str">
        <f t="shared" si="25"/>
        <v/>
      </c>
      <c r="L62" s="50" t="str">
        <f t="shared" si="26"/>
        <v/>
      </c>
      <c r="M62" s="50" t="str">
        <f t="shared" si="27"/>
        <v/>
      </c>
    </row>
    <row r="63" spans="2:13" ht="18.75">
      <c r="B63" s="59"/>
      <c r="C63" s="57" t="str">
        <f>IFERROR(VLOOKUP("Family17",torawdata,2,FALSE),"")</f>
        <v/>
      </c>
      <c r="D63" s="58" t="str">
        <f>IFERROR(VLOOKUP("Family17",torawdata,3,FALSE),"")</f>
        <v/>
      </c>
      <c r="E63" s="49" t="str">
        <f>IFERROR(VLOOKUP("Family17",torawdata,4,FALSE),"")</f>
        <v/>
      </c>
      <c r="F63" s="49" t="str">
        <f>IFERROR(VLOOKUP("Family17",torawdata,5,FALSE),"")</f>
        <v/>
      </c>
      <c r="G63" s="49" t="str">
        <f>IFERROR(VLOOKUP("Family17",torawdata,6,FALSE),"")</f>
        <v/>
      </c>
      <c r="H63" s="49" t="str">
        <f>IFERROR(VLOOKUP("Family17",torawdata,7,FALSE),"")</f>
        <v/>
      </c>
      <c r="I63" s="59"/>
      <c r="J63" s="50" t="str">
        <f t="shared" si="24"/>
        <v/>
      </c>
      <c r="K63" s="50" t="str">
        <f t="shared" si="25"/>
        <v/>
      </c>
      <c r="L63" s="50" t="str">
        <f t="shared" si="26"/>
        <v/>
      </c>
      <c r="M63" s="50" t="str">
        <f t="shared" si="27"/>
        <v/>
      </c>
    </row>
    <row r="64" spans="2:13" ht="18.75">
      <c r="B64" s="59"/>
      <c r="C64" s="57" t="str">
        <f>IFERROR(VLOOKUP("Family18",torawdata,2,FALSE),"")</f>
        <v/>
      </c>
      <c r="D64" s="58" t="str">
        <f>IFERROR(VLOOKUP("Family18",torawdata,3,FALSE),"")</f>
        <v/>
      </c>
      <c r="E64" s="49" t="str">
        <f>IFERROR(VLOOKUP("Family18",torawdata,4,FALSE),"")</f>
        <v/>
      </c>
      <c r="F64" s="49" t="str">
        <f>IFERROR(VLOOKUP("Family18",torawdata,5,FALSE),"")</f>
        <v/>
      </c>
      <c r="G64" s="49" t="str">
        <f>IFERROR(VLOOKUP("Family18",torawdata,6,FALSE),"")</f>
        <v/>
      </c>
      <c r="H64" s="49" t="str">
        <f>IFERROR(VLOOKUP("Family18",torawdata,7,FALSE),"")</f>
        <v/>
      </c>
      <c r="I64" s="59"/>
      <c r="J64" s="50" t="str">
        <f t="shared" si="24"/>
        <v/>
      </c>
      <c r="K64" s="50" t="str">
        <f t="shared" si="25"/>
        <v/>
      </c>
      <c r="L64" s="50" t="str">
        <f t="shared" si="26"/>
        <v/>
      </c>
      <c r="M64" s="50" t="str">
        <f t="shared" si="27"/>
        <v/>
      </c>
    </row>
    <row r="65" spans="2:13" ht="18.75">
      <c r="B65" s="59"/>
      <c r="C65" s="57" t="str">
        <f>IFERROR(VLOOKUP("Family19",torawdata,2,FALSE),"")</f>
        <v/>
      </c>
      <c r="D65" s="58" t="str">
        <f>IFERROR(VLOOKUP("Family19",torawdata,3,FALSE),"")</f>
        <v/>
      </c>
      <c r="E65" s="49" t="str">
        <f>IFERROR(VLOOKUP("Family19",torawdata,4,FALSE),"")</f>
        <v/>
      </c>
      <c r="F65" s="49" t="str">
        <f>IFERROR(VLOOKUP("Family19",torawdata,5,FALSE),"")</f>
        <v/>
      </c>
      <c r="G65" s="49" t="str">
        <f>IFERROR(VLOOKUP("Family19",torawdata,6,FALSE),"")</f>
        <v/>
      </c>
      <c r="H65" s="49" t="str">
        <f>IFERROR(VLOOKUP("Family19",torawdata,7,FALSE),"")</f>
        <v/>
      </c>
      <c r="I65" s="59"/>
      <c r="J65" s="50" t="str">
        <f t="shared" si="24"/>
        <v/>
      </c>
      <c r="K65" s="50" t="str">
        <f t="shared" si="25"/>
        <v/>
      </c>
      <c r="L65" s="50" t="str">
        <f t="shared" si="26"/>
        <v/>
      </c>
      <c r="M65" s="50" t="str">
        <f t="shared" si="27"/>
        <v/>
      </c>
    </row>
    <row r="66" spans="2:13" ht="18.75">
      <c r="B66" s="59"/>
      <c r="C66" s="57" t="str">
        <f>IFERROR(VLOOKUP("Family20",torawdata,2,FALSE),"")</f>
        <v/>
      </c>
      <c r="D66" s="58" t="str">
        <f>IFERROR(VLOOKUP("Family20",torawdata,3,FALSE),"")</f>
        <v/>
      </c>
      <c r="E66" s="49" t="str">
        <f>IFERROR(VLOOKUP("Family20",torawdata,4,FALSE),"")</f>
        <v/>
      </c>
      <c r="F66" s="49" t="str">
        <f>IFERROR(VLOOKUP("Family20",torawdata,5,FALSE),"")</f>
        <v/>
      </c>
      <c r="G66" s="49" t="str">
        <f>IFERROR(VLOOKUP("Family20",torawdata,6,FALSE),"")</f>
        <v/>
      </c>
      <c r="H66" s="49" t="str">
        <f>IFERROR(VLOOKUP("Family20",torawdata,7,FALSE),"")</f>
        <v/>
      </c>
      <c r="I66" s="59"/>
      <c r="J66" s="50" t="str">
        <f t="shared" si="24"/>
        <v/>
      </c>
      <c r="K66" s="50" t="str">
        <f t="shared" si="25"/>
        <v/>
      </c>
      <c r="L66" s="50" t="str">
        <f t="shared" si="26"/>
        <v/>
      </c>
      <c r="M66" s="50" t="str">
        <f t="shared" si="27"/>
        <v/>
      </c>
    </row>
    <row r="67" spans="2:13" ht="18.75">
      <c r="B67" s="59"/>
      <c r="C67" s="59"/>
      <c r="D67" s="59"/>
      <c r="E67" s="59"/>
      <c r="F67" s="59"/>
      <c r="G67" s="59"/>
      <c r="H67" s="59"/>
      <c r="I67" s="59"/>
      <c r="J67" s="59"/>
      <c r="K67" s="59"/>
      <c r="L67" s="59"/>
      <c r="M67" s="59"/>
    </row>
    <row r="68" spans="2:13" ht="18.75">
      <c r="B68" s="55" t="s">
        <v>22</v>
      </c>
      <c r="C68" s="33" t="s">
        <v>16</v>
      </c>
      <c r="D68" s="47"/>
      <c r="E68" s="47"/>
      <c r="F68" s="47"/>
      <c r="G68" s="47"/>
      <c r="H68" s="47"/>
      <c r="I68" s="47"/>
      <c r="J68" s="47"/>
      <c r="K68" s="47"/>
      <c r="L68" s="47"/>
      <c r="M68" s="47"/>
    </row>
    <row r="69" spans="2:13" ht="18.75">
      <c r="B69" s="116" t="s">
        <v>4</v>
      </c>
      <c r="C69" s="57" t="str">
        <f>IFERROR(VLOOKUP("Brand1",torawdata,2,FALSE),"")</f>
        <v/>
      </c>
      <c r="D69" s="58" t="str">
        <f>IFERROR(VLOOKUP("Brand1",torawdata,3,FALSE),"")</f>
        <v/>
      </c>
      <c r="E69" s="49" t="str">
        <f>IFERROR(VLOOKUP("Brand1",torawdata,4,FALSE),"")</f>
        <v/>
      </c>
      <c r="F69" s="49" t="str">
        <f>IFERROR(VLOOKUP("Brand1",torawdata,5,FALSE),"")</f>
        <v/>
      </c>
      <c r="G69" s="49" t="str">
        <f>IFERROR(VLOOKUP("Brand1",torawdata,6,FALSE),"")</f>
        <v/>
      </c>
      <c r="H69" s="49" t="str">
        <f>IFERROR(VLOOKUP("Brand1",torawdata,7,FALSE),"")</f>
        <v/>
      </c>
      <c r="I69" s="45"/>
      <c r="J69" s="50" t="str">
        <f t="shared" ref="J69:J88" si="28">IFERROR(D69/E69-1,"")</f>
        <v/>
      </c>
      <c r="K69" s="50" t="str">
        <f t="shared" ref="K69:K88" si="29">IFERROR(E69/F69-1,"")</f>
        <v/>
      </c>
      <c r="L69" s="50" t="str">
        <f t="shared" ref="L69:L88" si="30">IFERROR(F69/G69-1,"")</f>
        <v/>
      </c>
      <c r="M69" s="50" t="str">
        <f t="shared" ref="M69:M88" si="31">IFERROR(G69/H69-1,"")</f>
        <v/>
      </c>
    </row>
    <row r="70" spans="2:13" ht="18.75">
      <c r="B70" s="117"/>
      <c r="C70" s="57" t="str">
        <f>IFERROR(VLOOKUP("Brand2",torawdata,2,FALSE),"")</f>
        <v/>
      </c>
      <c r="D70" s="58" t="str">
        <f>IFERROR(VLOOKUP("Brand2",torawdata,3,FALSE),"")</f>
        <v/>
      </c>
      <c r="E70" s="49" t="str">
        <f>IFERROR(VLOOKUP("Brand2",torawdata,4,FALSE),"")</f>
        <v/>
      </c>
      <c r="F70" s="49" t="str">
        <f>IFERROR(VLOOKUP("Brand2",torawdata,5,FALSE),"")</f>
        <v/>
      </c>
      <c r="G70" s="49" t="str">
        <f>IFERROR(VLOOKUP("Brand2",torawdata,6,FALSE),"")</f>
        <v/>
      </c>
      <c r="H70" s="49" t="str">
        <f>IFERROR(VLOOKUP("Brand2",torawdata,7,FALSE),"")</f>
        <v/>
      </c>
      <c r="I70" s="45"/>
      <c r="J70" s="50" t="str">
        <f t="shared" si="28"/>
        <v/>
      </c>
      <c r="K70" s="50" t="str">
        <f t="shared" si="29"/>
        <v/>
      </c>
      <c r="L70" s="50" t="str">
        <f t="shared" si="30"/>
        <v/>
      </c>
      <c r="M70" s="50" t="str">
        <f t="shared" si="31"/>
        <v/>
      </c>
    </row>
    <row r="71" spans="2:13" ht="18.75">
      <c r="B71" s="59"/>
      <c r="C71" s="57" t="str">
        <f>IFERROR(VLOOKUP("Brand3",torawdata,2,FALSE),"")</f>
        <v/>
      </c>
      <c r="D71" s="58" t="str">
        <f>IFERROR(VLOOKUP("Brand3",torawdata,3,FALSE),"")</f>
        <v/>
      </c>
      <c r="E71" s="49" t="str">
        <f>IFERROR(VLOOKUP("Brand3",torawdata,4,FALSE),"")</f>
        <v/>
      </c>
      <c r="F71" s="49" t="str">
        <f>IFERROR(VLOOKUP("Brand3",torawdata,5,FALSE),"")</f>
        <v/>
      </c>
      <c r="G71" s="49" t="str">
        <f>IFERROR(VLOOKUP("Brand3",torawdata,6,FALSE),"")</f>
        <v/>
      </c>
      <c r="H71" s="49" t="str">
        <f>IFERROR(VLOOKUP("Brand3",torawdata,7,FALSE),"")</f>
        <v/>
      </c>
      <c r="I71" s="59"/>
      <c r="J71" s="50" t="str">
        <f t="shared" si="28"/>
        <v/>
      </c>
      <c r="K71" s="50" t="str">
        <f t="shared" si="29"/>
        <v/>
      </c>
      <c r="L71" s="50" t="str">
        <f t="shared" si="30"/>
        <v/>
      </c>
      <c r="M71" s="50" t="str">
        <f t="shared" si="31"/>
        <v/>
      </c>
    </row>
    <row r="72" spans="2:13" ht="18.75">
      <c r="B72" s="59"/>
      <c r="C72" s="57" t="str">
        <f>IFERROR(VLOOKUP("Brand4",torawdata,2,FALSE),"")</f>
        <v/>
      </c>
      <c r="D72" s="58" t="str">
        <f>IFERROR(VLOOKUP("Brand4",torawdata,3,FALSE),"")</f>
        <v/>
      </c>
      <c r="E72" s="49" t="str">
        <f>IFERROR(VLOOKUP("Brand4",torawdata,4,FALSE),"")</f>
        <v/>
      </c>
      <c r="F72" s="49" t="str">
        <f>IFERROR(VLOOKUP("Brand4",torawdata,5,FALSE),"")</f>
        <v/>
      </c>
      <c r="G72" s="49" t="str">
        <f>IFERROR(VLOOKUP("Brand4",torawdata,6,FALSE),"")</f>
        <v/>
      </c>
      <c r="H72" s="49" t="str">
        <f>IFERROR(VLOOKUP("Brand4",torawdata,7,FALSE),"")</f>
        <v/>
      </c>
      <c r="I72" s="59"/>
      <c r="J72" s="50" t="str">
        <f t="shared" si="28"/>
        <v/>
      </c>
      <c r="K72" s="50" t="str">
        <f t="shared" si="29"/>
        <v/>
      </c>
      <c r="L72" s="50" t="str">
        <f t="shared" si="30"/>
        <v/>
      </c>
      <c r="M72" s="50" t="str">
        <f t="shared" si="31"/>
        <v/>
      </c>
    </row>
    <row r="73" spans="2:13" ht="18.75">
      <c r="B73" s="59"/>
      <c r="C73" s="57" t="str">
        <f>IFERROR(VLOOKUP("Brand5",torawdata,2,FALSE),"")</f>
        <v/>
      </c>
      <c r="D73" s="58" t="str">
        <f>IFERROR(VLOOKUP("Brand5",torawdata,3,FALSE),"")</f>
        <v/>
      </c>
      <c r="E73" s="49" t="str">
        <f>IFERROR(VLOOKUP("Brand5",torawdata,4,FALSE),"")</f>
        <v/>
      </c>
      <c r="F73" s="49" t="str">
        <f>IFERROR(VLOOKUP("Brand5",torawdata,5,FALSE),"")</f>
        <v/>
      </c>
      <c r="G73" s="49" t="str">
        <f>IFERROR(VLOOKUP("Brand5",torawdata,6,FALSE),"")</f>
        <v/>
      </c>
      <c r="H73" s="49" t="str">
        <f>IFERROR(VLOOKUP("Brand5",torawdata,7,FALSE),"")</f>
        <v/>
      </c>
      <c r="I73" s="59"/>
      <c r="J73" s="50" t="str">
        <f t="shared" si="28"/>
        <v/>
      </c>
      <c r="K73" s="50" t="str">
        <f t="shared" si="29"/>
        <v/>
      </c>
      <c r="L73" s="50" t="str">
        <f t="shared" si="30"/>
        <v/>
      </c>
      <c r="M73" s="50" t="str">
        <f t="shared" si="31"/>
        <v/>
      </c>
    </row>
    <row r="74" spans="2:13" ht="18.75">
      <c r="B74" s="59"/>
      <c r="C74" s="57" t="str">
        <f>IFERROR(VLOOKUP("Brand6",torawdata,2,FALSE),"")</f>
        <v/>
      </c>
      <c r="D74" s="58" t="str">
        <f>IFERROR(VLOOKUP("Brand6",torawdata,3,FALSE),"")</f>
        <v/>
      </c>
      <c r="E74" s="49" t="str">
        <f>IFERROR(VLOOKUP("Brand6",torawdata,4,FALSE),"")</f>
        <v/>
      </c>
      <c r="F74" s="49" t="str">
        <f>IFERROR(VLOOKUP("Brand6",torawdata,5,FALSE),"")</f>
        <v/>
      </c>
      <c r="G74" s="49" t="str">
        <f>IFERROR(VLOOKUP("Brand6",torawdata,6,FALSE),"")</f>
        <v/>
      </c>
      <c r="H74" s="49" t="str">
        <f>IFERROR(VLOOKUP("Brand6",torawdata,7,FALSE),"")</f>
        <v/>
      </c>
      <c r="I74" s="59"/>
      <c r="J74" s="50" t="str">
        <f t="shared" si="28"/>
        <v/>
      </c>
      <c r="K74" s="50" t="str">
        <f t="shared" si="29"/>
        <v/>
      </c>
      <c r="L74" s="50" t="str">
        <f t="shared" si="30"/>
        <v/>
      </c>
      <c r="M74" s="50" t="str">
        <f t="shared" si="31"/>
        <v/>
      </c>
    </row>
    <row r="75" spans="2:13" ht="18.75">
      <c r="B75" s="59"/>
      <c r="C75" s="57" t="str">
        <f>IFERROR(VLOOKUP("Brand7",torawdata,2,FALSE),"")</f>
        <v/>
      </c>
      <c r="D75" s="58" t="str">
        <f>IFERROR(VLOOKUP("Brand7",torawdata,3,FALSE),"")</f>
        <v/>
      </c>
      <c r="E75" s="49" t="str">
        <f>IFERROR(VLOOKUP("Brand7",torawdata,4,FALSE),"")</f>
        <v/>
      </c>
      <c r="F75" s="49" t="str">
        <f>IFERROR(VLOOKUP("Brand7",torawdata,5,FALSE),"")</f>
        <v/>
      </c>
      <c r="G75" s="49" t="str">
        <f>IFERROR(VLOOKUP("Brand7",torawdata,6,FALSE),"")</f>
        <v/>
      </c>
      <c r="H75" s="49" t="str">
        <f>IFERROR(VLOOKUP("Brand7",torawdata,7,FALSE),"")</f>
        <v/>
      </c>
      <c r="I75" s="59"/>
      <c r="J75" s="50" t="str">
        <f t="shared" si="28"/>
        <v/>
      </c>
      <c r="K75" s="50" t="str">
        <f t="shared" si="29"/>
        <v/>
      </c>
      <c r="L75" s="50" t="str">
        <f t="shared" si="30"/>
        <v/>
      </c>
      <c r="M75" s="50" t="str">
        <f t="shared" si="31"/>
        <v/>
      </c>
    </row>
    <row r="76" spans="2:13" ht="18.75">
      <c r="C76" s="57" t="str">
        <f>IFERROR(VLOOKUP("Brand8",torawdata,2,FALSE),"")</f>
        <v/>
      </c>
      <c r="D76" s="58" t="str">
        <f>IFERROR(VLOOKUP("Brand8",torawdata,3,FALSE),"")</f>
        <v/>
      </c>
      <c r="E76" s="49" t="str">
        <f>IFERROR(VLOOKUP("Brand8",torawdata,4,FALSE),"")</f>
        <v/>
      </c>
      <c r="F76" s="49" t="str">
        <f>IFERROR(VLOOKUP("Brand8",torawdata,5,FALSE),"")</f>
        <v/>
      </c>
      <c r="G76" s="49" t="str">
        <f>IFERROR(VLOOKUP("Brand8",torawdata,6,FALSE),"")</f>
        <v/>
      </c>
      <c r="H76" s="49" t="str">
        <f>IFERROR(VLOOKUP("Brand8",torawdata,7,FALSE),"")</f>
        <v/>
      </c>
      <c r="I76" s="59"/>
      <c r="J76" s="50" t="str">
        <f t="shared" si="28"/>
        <v/>
      </c>
      <c r="K76" s="50" t="str">
        <f t="shared" si="29"/>
        <v/>
      </c>
      <c r="L76" s="50" t="str">
        <f t="shared" si="30"/>
        <v/>
      </c>
      <c r="M76" s="50" t="str">
        <f t="shared" si="31"/>
        <v/>
      </c>
    </row>
    <row r="77" spans="2:13" ht="18.75">
      <c r="C77" s="57" t="str">
        <f>IFERROR(VLOOKUP("Brand9",torawdata,2,FALSE),"")</f>
        <v/>
      </c>
      <c r="D77" s="58" t="str">
        <f>IFERROR(VLOOKUP("Brand9",torawdata,3,FALSE),"")</f>
        <v/>
      </c>
      <c r="E77" s="49" t="str">
        <f>IFERROR(VLOOKUP("Brand9",torawdata,4,FALSE),"")</f>
        <v/>
      </c>
      <c r="F77" s="49" t="str">
        <f>IFERROR(VLOOKUP("Brand9",torawdata,5,FALSE),"")</f>
        <v/>
      </c>
      <c r="G77" s="49" t="str">
        <f>IFERROR(VLOOKUP("Brand9",torawdata,6,FALSE),"")</f>
        <v/>
      </c>
      <c r="H77" s="49" t="str">
        <f>IFERROR(VLOOKUP("Brand9",torawdata,7,FALSE),"")</f>
        <v/>
      </c>
      <c r="I77" s="59"/>
      <c r="J77" s="50" t="str">
        <f t="shared" si="28"/>
        <v/>
      </c>
      <c r="K77" s="50" t="str">
        <f t="shared" si="29"/>
        <v/>
      </c>
      <c r="L77" s="50" t="str">
        <f t="shared" si="30"/>
        <v/>
      </c>
      <c r="M77" s="50" t="str">
        <f t="shared" si="31"/>
        <v/>
      </c>
    </row>
    <row r="78" spans="2:13" ht="18.75">
      <c r="C78" s="57" t="str">
        <f>IFERROR(VLOOKUP("Brand10",torawdata,2,FALSE),"")</f>
        <v/>
      </c>
      <c r="D78" s="58" t="str">
        <f>IFERROR(VLOOKUP("Brand10",torawdata,3,FALSE),"")</f>
        <v/>
      </c>
      <c r="E78" s="49" t="str">
        <f>IFERROR(VLOOKUP("Brand10",torawdata,4,FALSE),"")</f>
        <v/>
      </c>
      <c r="F78" s="49" t="str">
        <f>IFERROR(VLOOKUP("Brand10",torawdata,5,FALSE),"")</f>
        <v/>
      </c>
      <c r="G78" s="49" t="str">
        <f>IFERROR(VLOOKUP("Brand10",torawdata,6,FALSE),"")</f>
        <v/>
      </c>
      <c r="H78" s="49" t="str">
        <f>IFERROR(VLOOKUP("Brand10",torawdata,7,FALSE),"")</f>
        <v/>
      </c>
      <c r="I78" s="59"/>
      <c r="J78" s="50" t="str">
        <f t="shared" si="28"/>
        <v/>
      </c>
      <c r="K78" s="50" t="str">
        <f t="shared" si="29"/>
        <v/>
      </c>
      <c r="L78" s="50" t="str">
        <f t="shared" si="30"/>
        <v/>
      </c>
      <c r="M78" s="50" t="str">
        <f t="shared" si="31"/>
        <v/>
      </c>
    </row>
    <row r="79" spans="2:13" ht="18.75">
      <c r="C79" s="57" t="str">
        <f>IFERROR(VLOOKUP("Brand11",torawdata,2,FALSE),"")</f>
        <v/>
      </c>
      <c r="D79" s="58" t="str">
        <f>IFERROR(VLOOKUP("Brand11",torawdata,3,FALSE),"")</f>
        <v/>
      </c>
      <c r="E79" s="49" t="str">
        <f>IFERROR(VLOOKUP("Brand11",torawdata,4,FALSE),"")</f>
        <v/>
      </c>
      <c r="F79" s="49" t="str">
        <f>IFERROR(VLOOKUP("Brand11",torawdata,5,FALSE),"")</f>
        <v/>
      </c>
      <c r="G79" s="49" t="str">
        <f>IFERROR(VLOOKUP("Brand11",torawdata,6,FALSE),"")</f>
        <v/>
      </c>
      <c r="H79" s="49" t="str">
        <f>IFERROR(VLOOKUP("Brand11",torawdata,7,FALSE),"")</f>
        <v/>
      </c>
      <c r="I79" s="59"/>
      <c r="J79" s="50" t="str">
        <f t="shared" si="28"/>
        <v/>
      </c>
      <c r="K79" s="50" t="str">
        <f t="shared" si="29"/>
        <v/>
      </c>
      <c r="L79" s="50" t="str">
        <f t="shared" si="30"/>
        <v/>
      </c>
      <c r="M79" s="50" t="str">
        <f t="shared" si="31"/>
        <v/>
      </c>
    </row>
    <row r="80" spans="2:13" ht="18.75">
      <c r="C80" s="57" t="str">
        <f>IFERROR(VLOOKUP("Brand12",torawdata,2,FALSE),"")</f>
        <v/>
      </c>
      <c r="D80" s="58" t="str">
        <f>IFERROR(VLOOKUP("Brand12",torawdata,3,FALSE),"")</f>
        <v/>
      </c>
      <c r="E80" s="49" t="str">
        <f>IFERROR(VLOOKUP("Brand12",torawdata,4,FALSE),"")</f>
        <v/>
      </c>
      <c r="F80" s="49" t="str">
        <f>IFERROR(VLOOKUP("Brand12",torawdata,5,FALSE),"")</f>
        <v/>
      </c>
      <c r="G80" s="49" t="str">
        <f>IFERROR(VLOOKUP("Brand12",torawdata,6,FALSE),"")</f>
        <v/>
      </c>
      <c r="H80" s="49" t="str">
        <f>IFERROR(VLOOKUP("Brand12",torawdata,7,FALSE),"")</f>
        <v/>
      </c>
      <c r="I80" s="59"/>
      <c r="J80" s="50" t="str">
        <f t="shared" si="28"/>
        <v/>
      </c>
      <c r="K80" s="50" t="str">
        <f t="shared" si="29"/>
        <v/>
      </c>
      <c r="L80" s="50" t="str">
        <f t="shared" si="30"/>
        <v/>
      </c>
      <c r="M80" s="50" t="str">
        <f t="shared" si="31"/>
        <v/>
      </c>
    </row>
    <row r="81" spans="3:13" ht="18.75">
      <c r="C81" s="57" t="str">
        <f>IFERROR(VLOOKUP("Brand13",torawdata,2,FALSE),"")</f>
        <v/>
      </c>
      <c r="D81" s="58" t="str">
        <f>IFERROR(VLOOKUP("Brand13",torawdata,3,FALSE),"")</f>
        <v/>
      </c>
      <c r="E81" s="49" t="str">
        <f>IFERROR(VLOOKUP("Brand13",torawdata,4,FALSE),"")</f>
        <v/>
      </c>
      <c r="F81" s="49" t="str">
        <f>IFERROR(VLOOKUP("Brand13",torawdata,5,FALSE),"")</f>
        <v/>
      </c>
      <c r="G81" s="49" t="str">
        <f>IFERROR(VLOOKUP("Brand13",torawdata,6,FALSE),"")</f>
        <v/>
      </c>
      <c r="H81" s="49" t="str">
        <f>IFERROR(VLOOKUP("Brand13",torawdata,7,FALSE),"")</f>
        <v/>
      </c>
      <c r="I81" s="59"/>
      <c r="J81" s="50" t="str">
        <f t="shared" si="28"/>
        <v/>
      </c>
      <c r="K81" s="50" t="str">
        <f t="shared" si="29"/>
        <v/>
      </c>
      <c r="L81" s="50" t="str">
        <f t="shared" si="30"/>
        <v/>
      </c>
      <c r="M81" s="50" t="str">
        <f t="shared" si="31"/>
        <v/>
      </c>
    </row>
    <row r="82" spans="3:13" ht="18.75">
      <c r="C82" s="57" t="str">
        <f>IFERROR(VLOOKUP("Brand14",torawdata,2,FALSE),"")</f>
        <v/>
      </c>
      <c r="D82" s="58" t="str">
        <f>IFERROR(VLOOKUP("Brand14",torawdata,3,FALSE),"")</f>
        <v/>
      </c>
      <c r="E82" s="49" t="str">
        <f>IFERROR(VLOOKUP("Brand14",torawdata,4,FALSE),"")</f>
        <v/>
      </c>
      <c r="F82" s="49" t="str">
        <f>IFERROR(VLOOKUP("Brand14",torawdata,5,FALSE),"")</f>
        <v/>
      </c>
      <c r="G82" s="49" t="str">
        <f>IFERROR(VLOOKUP("Brand14",torawdata,6,FALSE),"")</f>
        <v/>
      </c>
      <c r="H82" s="49" t="str">
        <f>IFERROR(VLOOKUP("Brand14",torawdata,7,FALSE),"")</f>
        <v/>
      </c>
      <c r="I82" s="59"/>
      <c r="J82" s="50" t="str">
        <f t="shared" si="28"/>
        <v/>
      </c>
      <c r="K82" s="50" t="str">
        <f t="shared" si="29"/>
        <v/>
      </c>
      <c r="L82" s="50" t="str">
        <f t="shared" si="30"/>
        <v/>
      </c>
      <c r="M82" s="50" t="str">
        <f t="shared" si="31"/>
        <v/>
      </c>
    </row>
    <row r="83" spans="3:13" ht="18.75">
      <c r="C83" s="57" t="str">
        <f>IFERROR(VLOOKUP("Brand15",torawdata,2,FALSE),"")</f>
        <v/>
      </c>
      <c r="D83" s="58" t="str">
        <f>IFERROR(VLOOKUP("Brand15",torawdata,3,FALSE),"")</f>
        <v/>
      </c>
      <c r="E83" s="49" t="str">
        <f>IFERROR(VLOOKUP("Brand15",torawdata,4,FALSE),"")</f>
        <v/>
      </c>
      <c r="F83" s="49" t="str">
        <f>IFERROR(VLOOKUP("Brand15",torawdata,5,FALSE),"")</f>
        <v/>
      </c>
      <c r="G83" s="49" t="str">
        <f>IFERROR(VLOOKUP("Brand15",torawdata,6,FALSE),"")</f>
        <v/>
      </c>
      <c r="H83" s="49" t="str">
        <f>IFERROR(VLOOKUP("Brand15",torawdata,7,FALSE),"")</f>
        <v/>
      </c>
      <c r="I83" s="59"/>
      <c r="J83" s="50" t="str">
        <f t="shared" si="28"/>
        <v/>
      </c>
      <c r="K83" s="50" t="str">
        <f t="shared" si="29"/>
        <v/>
      </c>
      <c r="L83" s="50" t="str">
        <f t="shared" si="30"/>
        <v/>
      </c>
      <c r="M83" s="50" t="str">
        <f t="shared" si="31"/>
        <v/>
      </c>
    </row>
    <row r="84" spans="3:13" ht="18.75">
      <c r="C84" s="57" t="str">
        <f>IFERROR(VLOOKUP("Brand16",torawdata,2,FALSE),"")</f>
        <v/>
      </c>
      <c r="D84" s="58" t="str">
        <f>IFERROR(VLOOKUP("Brand16",torawdata,3,FALSE),"")</f>
        <v/>
      </c>
      <c r="E84" s="49" t="str">
        <f>IFERROR(VLOOKUP("Brand16",torawdata,4,FALSE),"")</f>
        <v/>
      </c>
      <c r="F84" s="49" t="str">
        <f>IFERROR(VLOOKUP("Brand16",torawdata,5,FALSE),"")</f>
        <v/>
      </c>
      <c r="G84" s="49" t="str">
        <f>IFERROR(VLOOKUP("Brand16",torawdata,6,FALSE),"")</f>
        <v/>
      </c>
      <c r="H84" s="49" t="str">
        <f>IFERROR(VLOOKUP("Brand16",torawdata,7,FALSE),"")</f>
        <v/>
      </c>
      <c r="I84" s="59"/>
      <c r="J84" s="50" t="str">
        <f t="shared" si="28"/>
        <v/>
      </c>
      <c r="K84" s="50" t="str">
        <f t="shared" si="29"/>
        <v/>
      </c>
      <c r="L84" s="50" t="str">
        <f t="shared" si="30"/>
        <v/>
      </c>
      <c r="M84" s="50" t="str">
        <f t="shared" si="31"/>
        <v/>
      </c>
    </row>
    <row r="85" spans="3:13" ht="18.75">
      <c r="C85" s="57" t="str">
        <f>IFERROR(VLOOKUP("Brand17",torawdata,2,FALSE),"")</f>
        <v/>
      </c>
      <c r="D85" s="58" t="str">
        <f>IFERROR(VLOOKUP("Brand17",torawdata,3,FALSE),"")</f>
        <v/>
      </c>
      <c r="E85" s="49" t="str">
        <f>IFERROR(VLOOKUP("Brand17",torawdata,4,FALSE),"")</f>
        <v/>
      </c>
      <c r="F85" s="49" t="str">
        <f>IFERROR(VLOOKUP("Brand17",torawdata,5,FALSE),"")</f>
        <v/>
      </c>
      <c r="G85" s="49" t="str">
        <f>IFERROR(VLOOKUP("Brand17",torawdata,6,FALSE),"")</f>
        <v/>
      </c>
      <c r="H85" s="49" t="str">
        <f>IFERROR(VLOOKUP("Brand17",torawdata,7,FALSE),"")</f>
        <v/>
      </c>
      <c r="I85" s="59"/>
      <c r="J85" s="50" t="str">
        <f t="shared" si="28"/>
        <v/>
      </c>
      <c r="K85" s="50" t="str">
        <f t="shared" si="29"/>
        <v/>
      </c>
      <c r="L85" s="50" t="str">
        <f t="shared" si="30"/>
        <v/>
      </c>
      <c r="M85" s="50" t="str">
        <f t="shared" si="31"/>
        <v/>
      </c>
    </row>
    <row r="86" spans="3:13" ht="18.75">
      <c r="C86" s="57" t="str">
        <f>IFERROR(VLOOKUP("Brand18",torawdata,2,FALSE),"")</f>
        <v/>
      </c>
      <c r="D86" s="58" t="str">
        <f>IFERROR(VLOOKUP("Brand18",torawdata,3,FALSE),"")</f>
        <v/>
      </c>
      <c r="E86" s="49" t="str">
        <f>IFERROR(VLOOKUP("Brand18",torawdata,4,FALSE),"")</f>
        <v/>
      </c>
      <c r="F86" s="49" t="str">
        <f>IFERROR(VLOOKUP("Brand18",torawdata,5,FALSE),"")</f>
        <v/>
      </c>
      <c r="G86" s="49" t="str">
        <f>IFERROR(VLOOKUP("Brand18",torawdata,6,FALSE),"")</f>
        <v/>
      </c>
      <c r="H86" s="49" t="str">
        <f>IFERROR(VLOOKUP("Brand18",torawdata,7,FALSE),"")</f>
        <v/>
      </c>
      <c r="I86" s="59"/>
      <c r="J86" s="50" t="str">
        <f t="shared" si="28"/>
        <v/>
      </c>
      <c r="K86" s="50" t="str">
        <f t="shared" si="29"/>
        <v/>
      </c>
      <c r="L86" s="50" t="str">
        <f t="shared" si="30"/>
        <v/>
      </c>
      <c r="M86" s="50" t="str">
        <f t="shared" si="31"/>
        <v/>
      </c>
    </row>
    <row r="87" spans="3:13" ht="18.75">
      <c r="C87" s="57" t="str">
        <f>IFERROR(VLOOKUP("Brand19",torawdata,2,FALSE),"")</f>
        <v/>
      </c>
      <c r="D87" s="58" t="str">
        <f>IFERROR(VLOOKUP("Brand19",torawdata,3,FALSE),"")</f>
        <v/>
      </c>
      <c r="E87" s="49" t="str">
        <f>IFERROR(VLOOKUP("Brand19",torawdata,4,FALSE),"")</f>
        <v/>
      </c>
      <c r="F87" s="49" t="str">
        <f>IFERROR(VLOOKUP("Brand19",torawdata,5,FALSE),"")</f>
        <v/>
      </c>
      <c r="G87" s="49" t="str">
        <f>IFERROR(VLOOKUP("Brand19",torawdata,6,FALSE),"")</f>
        <v/>
      </c>
      <c r="H87" s="49" t="str">
        <f>IFERROR(VLOOKUP("Brand19",torawdata,7,FALSE),"")</f>
        <v/>
      </c>
      <c r="I87" s="59"/>
      <c r="J87" s="50" t="str">
        <f t="shared" si="28"/>
        <v/>
      </c>
      <c r="K87" s="50" t="str">
        <f t="shared" si="29"/>
        <v/>
      </c>
      <c r="L87" s="50" t="str">
        <f t="shared" si="30"/>
        <v/>
      </c>
      <c r="M87" s="50" t="str">
        <f t="shared" si="31"/>
        <v/>
      </c>
    </row>
    <row r="88" spans="3:13" ht="18.75">
      <c r="C88" s="57" t="str">
        <f>IFERROR(VLOOKUP("Brand20",torawdata,2,FALSE),"")</f>
        <v/>
      </c>
      <c r="D88" s="58" t="str">
        <f>IFERROR(VLOOKUP("Brand20",torawdata,3,FALSE),"")</f>
        <v/>
      </c>
      <c r="E88" s="49" t="str">
        <f>IFERROR(VLOOKUP("Brand20",torawdata,4,FALSE),"")</f>
        <v/>
      </c>
      <c r="F88" s="49" t="str">
        <f>IFERROR(VLOOKUP("Brand20",torawdata,5,FALSE),"")</f>
        <v/>
      </c>
      <c r="G88" s="49" t="str">
        <f>IFERROR(VLOOKUP("Brand20",torawdata,6,FALSE),"")</f>
        <v/>
      </c>
      <c r="H88" s="49" t="str">
        <f>IFERROR(VLOOKUP("Brand20",torawdata,7,FALSE),"")</f>
        <v/>
      </c>
      <c r="I88" s="59"/>
      <c r="J88" s="50" t="str">
        <f t="shared" si="28"/>
        <v/>
      </c>
      <c r="K88" s="50" t="str">
        <f t="shared" si="29"/>
        <v/>
      </c>
      <c r="L88" s="50" t="str">
        <f t="shared" si="30"/>
        <v/>
      </c>
      <c r="M88" s="50" t="str">
        <f t="shared" si="31"/>
        <v/>
      </c>
    </row>
  </sheetData>
  <mergeCells count="9">
    <mergeCell ref="B47:B48"/>
    <mergeCell ref="B69:B70"/>
    <mergeCell ref="C3:F3"/>
    <mergeCell ref="B13:B14"/>
    <mergeCell ref="B17:B18"/>
    <mergeCell ref="B21:B22"/>
    <mergeCell ref="B29:B30"/>
    <mergeCell ref="B36:B37"/>
    <mergeCell ref="C24:H24"/>
  </mergeCells>
  <pageMargins left="0.7" right="0.7" top="0.75" bottom="0.75" header="0.3" footer="0.3"/>
  <pageSetup paperSize="9" scale="36" orientation="landscape" r:id="rId1"/>
  <rowBreaks count="1" manualBreakCount="1">
    <brk id="26" max="19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2:S61"/>
  <sheetViews>
    <sheetView showGridLines="0" topLeftCell="A7" zoomScale="90" zoomScaleNormal="90" workbookViewId="0">
      <selection activeCell="D18" sqref="D18"/>
    </sheetView>
  </sheetViews>
  <sheetFormatPr defaultRowHeight="15"/>
  <cols>
    <col min="1" max="1" width="5.42578125" style="22" customWidth="1"/>
    <col min="2" max="2" width="12.42578125" style="22" customWidth="1"/>
    <col min="3" max="3" width="24.140625" style="22" customWidth="1"/>
    <col min="4" max="4" width="11.85546875" style="22" customWidth="1"/>
    <col min="5" max="5" width="11.42578125" style="22" customWidth="1"/>
    <col min="6" max="6" width="11.7109375" style="22" customWidth="1"/>
    <col min="7" max="7" width="10.5703125" style="22" customWidth="1"/>
    <col min="8" max="8" width="14" style="22" customWidth="1"/>
    <col min="9" max="9" width="10.140625" style="22" customWidth="1"/>
    <col min="10" max="10" width="10.5703125" style="22" customWidth="1"/>
    <col min="11" max="11" width="18.7109375" style="22" customWidth="1"/>
    <col min="12" max="12" width="12.7109375" style="22" customWidth="1"/>
    <col min="13" max="13" width="16.140625" style="22" bestFit="1" customWidth="1"/>
    <col min="14" max="14" width="11.28515625" style="22" bestFit="1" customWidth="1"/>
    <col min="15" max="15" width="9.140625" style="22"/>
    <col min="16" max="16" width="11.28515625" style="22" customWidth="1"/>
    <col min="17" max="17" width="5.85546875" style="22" customWidth="1"/>
    <col min="18" max="16384" width="9.140625" style="22"/>
  </cols>
  <sheetData>
    <row r="2" spans="1:16" ht="21">
      <c r="C2" s="131" t="s">
        <v>189</v>
      </c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</row>
    <row r="3" spans="1:16">
      <c r="L3" s="26" t="s">
        <v>179</v>
      </c>
      <c r="M3" s="24">
        <f>issuedate</f>
        <v>42111</v>
      </c>
    </row>
    <row r="4" spans="1:16" s="64" customFormat="1" ht="31.5">
      <c r="E4" s="132" t="str">
        <f>frontshortname</f>
        <v>AIRTEK</v>
      </c>
      <c r="F4" s="132"/>
      <c r="G4" s="132"/>
      <c r="H4" s="132"/>
      <c r="I4" s="132"/>
      <c r="J4" s="132"/>
      <c r="K4" s="132"/>
      <c r="L4" s="132"/>
      <c r="M4" s="132"/>
      <c r="N4" s="132"/>
    </row>
    <row r="5" spans="1:16"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6"/>
    </row>
    <row r="6" spans="1:16" s="27" customFormat="1" ht="20.25" customHeight="1">
      <c r="B6" s="71" t="s">
        <v>219</v>
      </c>
      <c r="N6" s="18"/>
    </row>
    <row r="7" spans="1:16">
      <c r="A7" s="133"/>
      <c r="B7" s="134"/>
      <c r="C7" s="134"/>
      <c r="D7" s="134"/>
      <c r="E7" s="134"/>
      <c r="F7" s="134"/>
      <c r="G7" s="134"/>
      <c r="H7" s="134"/>
      <c r="I7" s="134"/>
      <c r="J7" s="134"/>
      <c r="K7" s="134"/>
      <c r="L7" s="134"/>
    </row>
    <row r="8" spans="1:16">
      <c r="A8" s="107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</row>
    <row r="9" spans="1:16">
      <c r="A9" s="107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</row>
    <row r="10" spans="1:16" ht="18.75">
      <c r="B10" s="125" t="s">
        <v>169</v>
      </c>
      <c r="C10" s="125"/>
      <c r="D10" s="125"/>
      <c r="E10" s="125"/>
      <c r="F10" s="125"/>
      <c r="G10" s="125"/>
      <c r="H10" s="125"/>
      <c r="J10" s="125" t="s">
        <v>170</v>
      </c>
      <c r="K10" s="125"/>
      <c r="L10" s="125"/>
      <c r="M10" s="125"/>
      <c r="N10" s="125"/>
      <c r="O10" s="125"/>
      <c r="P10" s="125"/>
    </row>
    <row r="11" spans="1:16" ht="18.75">
      <c r="B11" s="60"/>
      <c r="C11" s="60"/>
      <c r="D11" s="60"/>
      <c r="E11" s="60"/>
      <c r="F11" s="60"/>
      <c r="G11" s="60"/>
      <c r="H11" s="60"/>
      <c r="J11" s="60"/>
      <c r="K11" s="60"/>
      <c r="L11" s="60"/>
      <c r="M11" s="60"/>
      <c r="N11" s="60"/>
      <c r="O11" s="60"/>
      <c r="P11" s="60"/>
    </row>
    <row r="12" spans="1:16">
      <c r="J12" s="11"/>
      <c r="K12" s="13"/>
      <c r="L12" s="1" t="s">
        <v>9</v>
      </c>
      <c r="M12" s="109" t="s">
        <v>10</v>
      </c>
      <c r="N12" s="109" t="s">
        <v>11</v>
      </c>
      <c r="O12" s="109" t="s">
        <v>12</v>
      </c>
      <c r="P12" s="109" t="s">
        <v>13</v>
      </c>
    </row>
    <row r="13" spans="1:16">
      <c r="L13" s="1">
        <f>YEAR(frontyearperiod)</f>
        <v>2015</v>
      </c>
      <c r="M13" s="1">
        <f>currentyear-1</f>
        <v>2014</v>
      </c>
      <c r="N13" s="1">
        <f>currentyear -2</f>
        <v>2013</v>
      </c>
      <c r="O13" s="1">
        <f>currentyear -3</f>
        <v>2012</v>
      </c>
      <c r="P13" s="1">
        <f>currentyear- 4</f>
        <v>2011</v>
      </c>
    </row>
    <row r="14" spans="1:16">
      <c r="J14" s="1"/>
      <c r="L14" s="2" t="s">
        <v>7</v>
      </c>
    </row>
    <row r="15" spans="1:16" ht="15.75">
      <c r="B15" s="1"/>
      <c r="C15" s="12"/>
      <c r="D15" s="1" t="s">
        <v>9</v>
      </c>
      <c r="E15" s="109" t="s">
        <v>10</v>
      </c>
      <c r="F15" s="109" t="s">
        <v>11</v>
      </c>
      <c r="G15" s="109" t="s">
        <v>12</v>
      </c>
      <c r="H15" s="109" t="s">
        <v>13</v>
      </c>
      <c r="J15" s="126" t="s">
        <v>39</v>
      </c>
      <c r="K15" s="7" t="s">
        <v>40</v>
      </c>
      <c r="L15" s="110">
        <v>0.87</v>
      </c>
      <c r="M15" s="110">
        <v>0.76</v>
      </c>
      <c r="N15" s="110">
        <v>0.83</v>
      </c>
      <c r="O15" s="110">
        <v>0</v>
      </c>
      <c r="P15" s="110">
        <v>0</v>
      </c>
    </row>
    <row r="16" spans="1:16" ht="15.75">
      <c r="B16" s="15" t="s">
        <v>36</v>
      </c>
      <c r="D16" s="1">
        <f>YEAR(frontyearperiod)</f>
        <v>2015</v>
      </c>
      <c r="E16" s="1">
        <f>currentyear-1</f>
        <v>2014</v>
      </c>
      <c r="F16" s="1">
        <f>currentyear -2</f>
        <v>2013</v>
      </c>
      <c r="G16" s="1">
        <f>currentyear -3</f>
        <v>2012</v>
      </c>
      <c r="H16" s="1">
        <f>currentyear- 4</f>
        <v>2011</v>
      </c>
      <c r="J16" s="127"/>
      <c r="K16" s="7" t="s">
        <v>41</v>
      </c>
      <c r="L16" s="110">
        <v>0.75</v>
      </c>
      <c r="M16" s="110">
        <v>0.7</v>
      </c>
      <c r="N16" s="110">
        <v>0.71</v>
      </c>
      <c r="O16" s="110">
        <v>0</v>
      </c>
      <c r="P16" s="110">
        <v>0</v>
      </c>
    </row>
    <row r="17" spans="2:19" ht="15.75">
      <c r="D17" s="2" t="s">
        <v>7</v>
      </c>
      <c r="J17" s="127"/>
      <c r="K17" s="8" t="s">
        <v>42</v>
      </c>
      <c r="L17" s="111">
        <v>61</v>
      </c>
      <c r="M17" s="111">
        <v>58</v>
      </c>
      <c r="N17" s="111">
        <v>60</v>
      </c>
      <c r="O17" s="111">
        <v>0</v>
      </c>
      <c r="P17" s="111">
        <v>0</v>
      </c>
    </row>
    <row r="18" spans="2:19" ht="15.75">
      <c r="B18" s="5" t="s">
        <v>37</v>
      </c>
      <c r="C18" s="6" t="s">
        <v>38</v>
      </c>
      <c r="D18" s="111">
        <v>896</v>
      </c>
      <c r="E18" s="111">
        <v>4522</v>
      </c>
      <c r="F18" s="111">
        <v>4164</v>
      </c>
      <c r="G18" s="111">
        <v>2031</v>
      </c>
      <c r="H18" s="111">
        <v>0</v>
      </c>
      <c r="J18" s="127"/>
      <c r="K18" s="4" t="s">
        <v>43</v>
      </c>
      <c r="L18" s="111">
        <v>64</v>
      </c>
      <c r="M18" s="111">
        <v>354</v>
      </c>
      <c r="N18" s="111">
        <v>283</v>
      </c>
      <c r="O18" s="111">
        <v>0</v>
      </c>
      <c r="P18" s="111">
        <v>0</v>
      </c>
    </row>
    <row r="19" spans="2:19" ht="15.75">
      <c r="J19" s="128"/>
      <c r="K19" s="4" t="s">
        <v>44</v>
      </c>
      <c r="L19" s="111">
        <v>81</v>
      </c>
      <c r="M19" s="111">
        <v>443</v>
      </c>
      <c r="N19" s="111">
        <v>319</v>
      </c>
      <c r="O19" s="111">
        <v>0</v>
      </c>
      <c r="P19" s="111">
        <v>0</v>
      </c>
    </row>
    <row r="29" spans="2:19">
      <c r="S29" s="10" t="s">
        <v>123</v>
      </c>
    </row>
    <row r="36" spans="2:19">
      <c r="S36" s="10" t="s">
        <v>123</v>
      </c>
    </row>
    <row r="37" spans="2:19">
      <c r="B37" s="1"/>
      <c r="D37" s="1" t="s">
        <v>9</v>
      </c>
      <c r="E37" s="109" t="s">
        <v>10</v>
      </c>
      <c r="F37" s="109" t="s">
        <v>11</v>
      </c>
      <c r="G37" s="109" t="s">
        <v>12</v>
      </c>
      <c r="H37" s="109" t="s">
        <v>13</v>
      </c>
      <c r="J37" s="14"/>
      <c r="K37" s="12"/>
      <c r="L37" s="1" t="s">
        <v>9</v>
      </c>
      <c r="M37" s="109" t="s">
        <v>10</v>
      </c>
      <c r="N37" s="109" t="s">
        <v>11</v>
      </c>
      <c r="O37" s="109" t="s">
        <v>12</v>
      </c>
      <c r="P37" s="109" t="s">
        <v>13</v>
      </c>
    </row>
    <row r="38" spans="2:19">
      <c r="C38" s="3" t="s">
        <v>29</v>
      </c>
      <c r="D38" s="1">
        <f>YEAR(frontyearperiod)</f>
        <v>2015</v>
      </c>
      <c r="E38" s="1">
        <f>currentyear-1</f>
        <v>2014</v>
      </c>
      <c r="F38" s="1">
        <f>currentyear -2</f>
        <v>2013</v>
      </c>
      <c r="G38" s="1">
        <f>currentyear -3</f>
        <v>2012</v>
      </c>
      <c r="H38" s="1">
        <f>currentyear- 4</f>
        <v>2011</v>
      </c>
      <c r="J38" s="15" t="s">
        <v>36</v>
      </c>
      <c r="L38" s="1">
        <f>YEAR(frontyearperiod)</f>
        <v>2015</v>
      </c>
      <c r="M38" s="1">
        <f>currentyear-1</f>
        <v>2014</v>
      </c>
      <c r="N38" s="1">
        <f>currentyear -2</f>
        <v>2013</v>
      </c>
      <c r="O38" s="1">
        <f>currentyear -3</f>
        <v>2012</v>
      </c>
      <c r="P38" s="1">
        <f>currentyear- 4</f>
        <v>2011</v>
      </c>
    </row>
    <row r="39" spans="2:19">
      <c r="C39" s="3"/>
      <c r="D39" s="2" t="s">
        <v>7</v>
      </c>
      <c r="J39" s="1"/>
      <c r="L39" s="2" t="s">
        <v>7</v>
      </c>
    </row>
    <row r="40" spans="2:19" ht="15.75">
      <c r="B40" s="126" t="s">
        <v>30</v>
      </c>
      <c r="C40" s="4" t="s">
        <v>31</v>
      </c>
      <c r="D40" s="111">
        <v>98.65</v>
      </c>
      <c r="E40" s="111">
        <v>99.59</v>
      </c>
      <c r="F40" s="111">
        <v>100.37</v>
      </c>
      <c r="G40" s="111">
        <v>101.46</v>
      </c>
      <c r="H40" s="111">
        <v>105.46</v>
      </c>
      <c r="J40" s="129" t="s">
        <v>45</v>
      </c>
      <c r="K40" s="9" t="s">
        <v>46</v>
      </c>
      <c r="L40" s="112">
        <v>3</v>
      </c>
      <c r="M40" s="112">
        <v>1</v>
      </c>
      <c r="N40" s="112">
        <v>2</v>
      </c>
      <c r="O40" s="112">
        <v>3</v>
      </c>
      <c r="P40" s="112">
        <v>10</v>
      </c>
    </row>
    <row r="41" spans="2:19" ht="15.75">
      <c r="B41" s="127"/>
      <c r="C41" s="4" t="s">
        <v>32</v>
      </c>
      <c r="D41" s="111">
        <v>99.79</v>
      </c>
      <c r="E41" s="111">
        <v>99.49</v>
      </c>
      <c r="F41" s="111">
        <v>100.29</v>
      </c>
      <c r="G41" s="111">
        <v>100.66</v>
      </c>
      <c r="H41" s="111">
        <v>104.65</v>
      </c>
      <c r="J41" s="130"/>
      <c r="K41" s="9" t="s">
        <v>47</v>
      </c>
      <c r="L41" s="112">
        <v>2</v>
      </c>
      <c r="M41" s="112">
        <v>3</v>
      </c>
      <c r="N41" s="112">
        <v>4</v>
      </c>
      <c r="O41" s="112">
        <v>1</v>
      </c>
      <c r="P41" s="112">
        <v>2</v>
      </c>
    </row>
    <row r="42" spans="2:19" ht="15.75">
      <c r="B42" s="128"/>
      <c r="C42" s="4" t="s">
        <v>33</v>
      </c>
      <c r="D42" s="111">
        <v>99.18</v>
      </c>
      <c r="E42" s="111">
        <v>98.55</v>
      </c>
      <c r="F42" s="111">
        <v>100.24</v>
      </c>
      <c r="G42" s="111">
        <v>99.72</v>
      </c>
      <c r="H42" s="111">
        <v>102.56</v>
      </c>
      <c r="J42" s="126" t="s">
        <v>48</v>
      </c>
      <c r="K42" s="9" t="s">
        <v>49</v>
      </c>
      <c r="L42" s="16">
        <v>0</v>
      </c>
      <c r="M42" s="16">
        <v>1</v>
      </c>
      <c r="N42" s="16">
        <v>1</v>
      </c>
      <c r="O42" s="16">
        <v>0</v>
      </c>
      <c r="P42" s="16">
        <v>0</v>
      </c>
    </row>
    <row r="43" spans="2:19" ht="30">
      <c r="B43" s="5" t="s">
        <v>34</v>
      </c>
      <c r="C43" s="4" t="s">
        <v>35</v>
      </c>
      <c r="D43" s="111">
        <v>311.64</v>
      </c>
      <c r="E43" s="111">
        <v>3207.28</v>
      </c>
      <c r="F43" s="111">
        <v>-354.2</v>
      </c>
      <c r="G43" s="111">
        <v>610.42999999999995</v>
      </c>
      <c r="H43" s="111">
        <v>-5468.09</v>
      </c>
      <c r="J43" s="128"/>
      <c r="K43" s="9" t="s">
        <v>50</v>
      </c>
      <c r="L43" s="16"/>
      <c r="M43" s="17">
        <v>1</v>
      </c>
      <c r="N43" s="17">
        <v>1</v>
      </c>
      <c r="O43" s="16">
        <v>0</v>
      </c>
      <c r="P43" s="16">
        <v>0</v>
      </c>
    </row>
    <row r="61" spans="2:16" ht="18.75">
      <c r="B61" s="125" t="s">
        <v>171</v>
      </c>
      <c r="C61" s="125"/>
      <c r="D61" s="125"/>
      <c r="E61" s="125"/>
      <c r="F61" s="125"/>
      <c r="G61" s="125"/>
      <c r="H61" s="125"/>
      <c r="J61" s="125" t="s">
        <v>172</v>
      </c>
      <c r="K61" s="125"/>
      <c r="L61" s="125"/>
      <c r="M61" s="125"/>
      <c r="N61" s="125"/>
      <c r="O61" s="125"/>
      <c r="P61" s="125"/>
    </row>
  </sheetData>
  <mergeCells count="11">
    <mergeCell ref="C2:P2"/>
    <mergeCell ref="E4:N4"/>
    <mergeCell ref="A7:L7"/>
    <mergeCell ref="B10:H10"/>
    <mergeCell ref="J10:P10"/>
    <mergeCell ref="B61:H61"/>
    <mergeCell ref="J61:P61"/>
    <mergeCell ref="B40:B42"/>
    <mergeCell ref="J15:J19"/>
    <mergeCell ref="J40:J41"/>
    <mergeCell ref="J42:J43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U20"/>
  <sheetViews>
    <sheetView showGridLines="0" zoomScale="81" zoomScaleNormal="81" workbookViewId="0">
      <selection sqref="A1:XFD1048576"/>
    </sheetView>
  </sheetViews>
  <sheetFormatPr defaultRowHeight="15"/>
  <cols>
    <col min="1" max="1" width="5" style="22" customWidth="1"/>
    <col min="2" max="2" width="61.28515625" style="22" bestFit="1" customWidth="1"/>
    <col min="3" max="3" width="45.42578125" style="22" bestFit="1" customWidth="1"/>
    <col min="4" max="4" width="39.85546875" style="22" bestFit="1" customWidth="1"/>
    <col min="5" max="5" width="39.140625" style="22" bestFit="1" customWidth="1"/>
    <col min="6" max="6" width="34.140625" style="22" bestFit="1" customWidth="1"/>
    <col min="7" max="7" width="26.5703125" style="22" customWidth="1"/>
    <col min="8" max="8" width="19.5703125" style="22" customWidth="1"/>
    <col min="9" max="9" width="20" style="27" customWidth="1"/>
    <col min="10" max="10" width="14.28515625" style="27" customWidth="1"/>
    <col min="11" max="21" width="9.140625" style="27"/>
    <col min="22" max="16384" width="9.140625" style="22"/>
  </cols>
  <sheetData>
    <row r="2" spans="1:16">
      <c r="I2" s="28"/>
      <c r="J2" s="28"/>
      <c r="K2" s="28"/>
      <c r="L2" s="28"/>
      <c r="M2" s="28"/>
      <c r="N2" s="28"/>
      <c r="O2" s="28"/>
      <c r="P2" s="28"/>
    </row>
    <row r="3" spans="1:16" ht="33" customHeight="1">
      <c r="C3" s="131" t="s">
        <v>189</v>
      </c>
      <c r="D3" s="131"/>
      <c r="E3" s="131"/>
      <c r="F3" s="131"/>
      <c r="G3" s="61"/>
      <c r="H3" s="61"/>
    </row>
    <row r="4" spans="1:16" ht="33" customHeight="1">
      <c r="G4" s="26" t="s">
        <v>179</v>
      </c>
      <c r="H4" s="24">
        <v>42111</v>
      </c>
      <c r="L4" s="62"/>
      <c r="M4" s="63"/>
    </row>
    <row r="5" spans="1:16" ht="21">
      <c r="A5" s="64"/>
      <c r="B5" s="64"/>
      <c r="C5" s="135" t="s">
        <v>180</v>
      </c>
      <c r="D5" s="135"/>
      <c r="E5" s="135"/>
      <c r="F5" s="135"/>
      <c r="G5" s="65"/>
      <c r="H5" s="66"/>
      <c r="I5" s="28"/>
      <c r="J5" s="28"/>
      <c r="K5" s="28"/>
      <c r="L5" s="28"/>
      <c r="M5" s="28"/>
      <c r="N5" s="28"/>
    </row>
    <row r="7" spans="1:16">
      <c r="B7" s="71" t="s">
        <v>220</v>
      </c>
      <c r="C7" s="27"/>
      <c r="D7" s="27"/>
    </row>
    <row r="9" spans="1:16">
      <c r="B9" s="72" t="s">
        <v>240</v>
      </c>
      <c r="C9" s="72" t="s">
        <v>241</v>
      </c>
      <c r="D9" s="72" t="s">
        <v>242</v>
      </c>
      <c r="E9" s="72" t="s">
        <v>243</v>
      </c>
      <c r="F9" s="72" t="s">
        <v>244</v>
      </c>
      <c r="G9" s="72" t="s">
        <v>245</v>
      </c>
    </row>
    <row r="10" spans="1:16">
      <c r="B10" s="69" t="s">
        <v>52</v>
      </c>
      <c r="C10" s="69" t="s">
        <v>53</v>
      </c>
      <c r="D10" s="73">
        <v>40013</v>
      </c>
      <c r="E10" s="69"/>
      <c r="F10" s="69" t="s">
        <v>51</v>
      </c>
      <c r="G10" s="73">
        <v>41942</v>
      </c>
    </row>
    <row r="12" spans="1:16">
      <c r="B12" s="72" t="s">
        <v>251</v>
      </c>
      <c r="C12" s="72" t="s">
        <v>246</v>
      </c>
      <c r="D12" s="72" t="s">
        <v>247</v>
      </c>
      <c r="E12" s="72" t="s">
        <v>248</v>
      </c>
    </row>
    <row r="13" spans="1:16">
      <c r="B13" s="69">
        <v>0</v>
      </c>
      <c r="C13" s="69"/>
      <c r="D13" s="73">
        <v>40013</v>
      </c>
      <c r="E13" s="69"/>
    </row>
    <row r="15" spans="1:16">
      <c r="B15" s="72" t="s">
        <v>249</v>
      </c>
      <c r="C15" s="72" t="s">
        <v>250</v>
      </c>
      <c r="D15" s="72" t="s">
        <v>258</v>
      </c>
      <c r="E15" s="72" t="s">
        <v>257</v>
      </c>
      <c r="F15" s="72" t="s">
        <v>256</v>
      </c>
      <c r="G15" s="88"/>
    </row>
    <row r="16" spans="1:16">
      <c r="B16" s="69">
        <v>0</v>
      </c>
      <c r="C16" s="69">
        <v>40</v>
      </c>
      <c r="D16" s="69"/>
      <c r="E16" s="73">
        <v>40013</v>
      </c>
      <c r="F16" s="69"/>
    </row>
    <row r="18" spans="2:7">
      <c r="B18" s="72" t="s">
        <v>253</v>
      </c>
      <c r="C18" s="72" t="s">
        <v>252</v>
      </c>
      <c r="D18" s="72" t="s">
        <v>254</v>
      </c>
      <c r="E18" s="72" t="s">
        <v>54</v>
      </c>
      <c r="F18" s="72" t="s">
        <v>55</v>
      </c>
      <c r="G18" s="72" t="s">
        <v>255</v>
      </c>
    </row>
    <row r="19" spans="2:7">
      <c r="B19" s="69" t="s">
        <v>56</v>
      </c>
      <c r="C19" s="73">
        <v>42085</v>
      </c>
      <c r="D19" s="69" t="s">
        <v>57</v>
      </c>
      <c r="E19" s="69" t="s">
        <v>28</v>
      </c>
      <c r="F19" s="69">
        <v>2015</v>
      </c>
      <c r="G19" s="73">
        <v>42451</v>
      </c>
    </row>
    <row r="20" spans="2:7">
      <c r="B20" s="69" t="s">
        <v>58</v>
      </c>
      <c r="C20" s="73">
        <v>41800</v>
      </c>
      <c r="D20" s="69" t="s">
        <v>59</v>
      </c>
      <c r="E20" s="69"/>
      <c r="F20" s="69">
        <v>2014</v>
      </c>
      <c r="G20" s="73"/>
    </row>
  </sheetData>
  <mergeCells count="2">
    <mergeCell ref="C3:F3"/>
    <mergeCell ref="C5:F5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U20"/>
  <sheetViews>
    <sheetView showGridLines="0" topLeftCell="O1" workbookViewId="0">
      <selection activeCell="O1" sqref="A1:XFD1048576"/>
    </sheetView>
  </sheetViews>
  <sheetFormatPr defaultRowHeight="15"/>
  <cols>
    <col min="1" max="1" width="9.140625" style="22"/>
    <col min="2" max="2" width="56.140625" style="22" bestFit="1" customWidth="1"/>
    <col min="3" max="3" width="36.140625" style="22" bestFit="1" customWidth="1"/>
    <col min="4" max="4" width="47.5703125" style="22" bestFit="1" customWidth="1"/>
    <col min="5" max="5" width="45.5703125" style="22" bestFit="1" customWidth="1"/>
    <col min="6" max="6" width="11.5703125" style="22" bestFit="1" customWidth="1"/>
    <col min="7" max="7" width="27.7109375" style="22" bestFit="1" customWidth="1"/>
    <col min="8" max="8" width="15" style="22" bestFit="1" customWidth="1"/>
    <col min="9" max="9" width="24.42578125" style="22" bestFit="1" customWidth="1"/>
    <col min="10" max="10" width="16.85546875" style="22" bestFit="1" customWidth="1"/>
    <col min="11" max="11" width="22.42578125" style="22" bestFit="1" customWidth="1"/>
    <col min="12" max="12" width="11.42578125" style="22" bestFit="1" customWidth="1"/>
    <col min="13" max="13" width="16.28515625" style="22" bestFit="1" customWidth="1"/>
    <col min="14" max="14" width="16.140625" style="22" bestFit="1" customWidth="1"/>
    <col min="15" max="15" width="21" style="22" bestFit="1" customWidth="1"/>
    <col min="16" max="16" width="13.140625" style="22" bestFit="1" customWidth="1"/>
    <col min="17" max="17" width="40" style="22" bestFit="1" customWidth="1"/>
    <col min="18" max="18" width="50.5703125" style="22" bestFit="1" customWidth="1"/>
    <col min="19" max="16384" width="9.140625" style="22"/>
  </cols>
  <sheetData>
    <row r="1" spans="1:21">
      <c r="I1" s="27"/>
      <c r="J1" s="27"/>
      <c r="K1" s="27"/>
      <c r="L1" s="27"/>
      <c r="M1" s="27"/>
      <c r="N1" s="27"/>
      <c r="O1" s="27"/>
      <c r="P1" s="27"/>
      <c r="Q1" s="27"/>
      <c r="R1" s="27"/>
      <c r="S1" s="27"/>
      <c r="T1" s="27"/>
      <c r="U1" s="27"/>
    </row>
    <row r="2" spans="1:21">
      <c r="I2" s="28"/>
      <c r="J2" s="28"/>
      <c r="K2" s="28"/>
      <c r="L2" s="28"/>
      <c r="M2" s="28"/>
      <c r="N2" s="28"/>
      <c r="O2" s="28"/>
      <c r="P2" s="28"/>
      <c r="Q2" s="27"/>
      <c r="R2" s="27"/>
      <c r="S2" s="27"/>
      <c r="T2" s="27"/>
      <c r="U2" s="27"/>
    </row>
    <row r="3" spans="1:21" ht="33" customHeight="1">
      <c r="C3" s="131" t="s">
        <v>189</v>
      </c>
      <c r="D3" s="131"/>
      <c r="E3" s="131"/>
      <c r="F3" s="131"/>
      <c r="G3" s="61"/>
      <c r="H3" s="61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</row>
    <row r="4" spans="1:21" ht="33" customHeight="1">
      <c r="G4" s="26" t="s">
        <v>179</v>
      </c>
      <c r="H4" s="24">
        <v>42111</v>
      </c>
      <c r="I4" s="27"/>
      <c r="J4" s="27"/>
      <c r="K4" s="27"/>
      <c r="L4" s="62"/>
      <c r="M4" s="63"/>
      <c r="N4" s="27"/>
      <c r="O4" s="27"/>
      <c r="P4" s="27"/>
      <c r="Q4" s="27"/>
      <c r="R4" s="27"/>
      <c r="S4" s="27"/>
      <c r="T4" s="27"/>
      <c r="U4" s="27"/>
    </row>
    <row r="5" spans="1:21" ht="21">
      <c r="A5" s="64"/>
      <c r="B5" s="64"/>
      <c r="C5" s="135" t="s">
        <v>180</v>
      </c>
      <c r="D5" s="135"/>
      <c r="E5" s="135"/>
      <c r="F5" s="135"/>
      <c r="G5" s="65"/>
      <c r="H5" s="66"/>
      <c r="I5" s="66"/>
      <c r="J5" s="66"/>
      <c r="K5" s="66"/>
      <c r="L5" s="66"/>
      <c r="M5" s="66"/>
      <c r="N5" s="66"/>
      <c r="O5" s="64"/>
      <c r="P5" s="64"/>
      <c r="Q5" s="64"/>
      <c r="R5" s="64"/>
      <c r="S5" s="27"/>
      <c r="T5" s="27"/>
      <c r="U5" s="27"/>
    </row>
    <row r="7" spans="1:21">
      <c r="B7" s="67" t="s">
        <v>218</v>
      </c>
    </row>
    <row r="9" spans="1:21">
      <c r="B9" s="68" t="s">
        <v>60</v>
      </c>
      <c r="C9" s="68" t="s">
        <v>61</v>
      </c>
      <c r="D9" s="68" t="s">
        <v>62</v>
      </c>
      <c r="E9" s="68" t="s">
        <v>63</v>
      </c>
    </row>
    <row r="10" spans="1:21">
      <c r="B10" s="69" t="s">
        <v>64</v>
      </c>
      <c r="C10" s="69">
        <v>0</v>
      </c>
      <c r="D10" s="69">
        <v>300</v>
      </c>
      <c r="E10" s="69">
        <f>C10+D10</f>
        <v>300</v>
      </c>
    </row>
    <row r="11" spans="1:21">
      <c r="B11" s="69" t="s">
        <v>65</v>
      </c>
      <c r="C11" s="69">
        <v>17000</v>
      </c>
      <c r="D11" s="69">
        <v>5200</v>
      </c>
      <c r="E11" s="69">
        <f t="shared" ref="E11:E12" si="0">C11+D11</f>
        <v>22200</v>
      </c>
    </row>
    <row r="12" spans="1:21">
      <c r="B12" s="69" t="s">
        <v>66</v>
      </c>
      <c r="C12" s="69">
        <v>0</v>
      </c>
      <c r="D12" s="69">
        <v>600</v>
      </c>
      <c r="E12" s="69">
        <f t="shared" si="0"/>
        <v>600</v>
      </c>
    </row>
    <row r="13" spans="1:21">
      <c r="H13" s="26"/>
      <c r="M13" s="26"/>
    </row>
    <row r="14" spans="1:21">
      <c r="B14" s="26" t="s">
        <v>67</v>
      </c>
      <c r="C14" s="70" t="s">
        <v>190</v>
      </c>
      <c r="H14" s="26"/>
      <c r="M14" s="26"/>
    </row>
    <row r="15" spans="1:21">
      <c r="B15" s="68" t="s">
        <v>259</v>
      </c>
      <c r="C15" s="68" t="s">
        <v>254</v>
      </c>
      <c r="D15" s="68" t="s">
        <v>260</v>
      </c>
      <c r="E15" s="68" t="s">
        <v>261</v>
      </c>
      <c r="F15" s="68" t="s">
        <v>262</v>
      </c>
      <c r="G15" s="68" t="s">
        <v>263</v>
      </c>
      <c r="H15" s="68" t="s">
        <v>264</v>
      </c>
      <c r="I15" s="68" t="s">
        <v>265</v>
      </c>
      <c r="J15" s="68" t="s">
        <v>266</v>
      </c>
      <c r="K15" s="68" t="s">
        <v>267</v>
      </c>
      <c r="L15" s="68" t="s">
        <v>268</v>
      </c>
      <c r="M15" s="68" t="s">
        <v>269</v>
      </c>
      <c r="N15" s="68" t="s">
        <v>270</v>
      </c>
      <c r="O15" s="68" t="s">
        <v>271</v>
      </c>
      <c r="P15" s="68" t="s">
        <v>272</v>
      </c>
      <c r="Q15" s="68" t="s">
        <v>273</v>
      </c>
      <c r="R15" s="68" t="s">
        <v>274</v>
      </c>
    </row>
    <row r="16" spans="1:21">
      <c r="B16" s="69" t="s">
        <v>68</v>
      </c>
      <c r="C16" s="69" t="s">
        <v>64</v>
      </c>
      <c r="D16" s="69" t="s">
        <v>69</v>
      </c>
      <c r="E16" s="69" t="s">
        <v>70</v>
      </c>
      <c r="F16" s="69">
        <v>300</v>
      </c>
      <c r="G16" s="69" t="s">
        <v>26</v>
      </c>
      <c r="H16" s="69" t="s">
        <v>71</v>
      </c>
      <c r="I16" s="69" t="s">
        <v>72</v>
      </c>
      <c r="J16" s="69" t="s">
        <v>73</v>
      </c>
      <c r="K16" s="69">
        <v>900</v>
      </c>
      <c r="L16" s="69"/>
      <c r="M16" s="69" t="s">
        <v>74</v>
      </c>
      <c r="N16" s="69" t="s">
        <v>75</v>
      </c>
      <c r="O16" s="69" t="s">
        <v>24</v>
      </c>
      <c r="P16" s="69" t="s">
        <v>76</v>
      </c>
      <c r="Q16" s="69" t="s">
        <v>77</v>
      </c>
      <c r="R16" s="69" t="s">
        <v>78</v>
      </c>
    </row>
    <row r="17" spans="2:18">
      <c r="B17" s="69" t="s">
        <v>79</v>
      </c>
      <c r="C17" s="69" t="s">
        <v>65</v>
      </c>
      <c r="D17" s="69" t="s">
        <v>80</v>
      </c>
      <c r="E17" s="69" t="s">
        <v>81</v>
      </c>
      <c r="F17" s="69">
        <v>5200</v>
      </c>
      <c r="G17" s="69" t="s">
        <v>25</v>
      </c>
      <c r="H17" s="69" t="s">
        <v>82</v>
      </c>
      <c r="I17" s="69" t="s">
        <v>83</v>
      </c>
      <c r="J17" s="69" t="s">
        <v>84</v>
      </c>
      <c r="K17" s="69">
        <v>5200</v>
      </c>
      <c r="L17" s="69"/>
      <c r="M17" s="69"/>
      <c r="N17" s="69" t="s">
        <v>75</v>
      </c>
      <c r="O17" s="69" t="s">
        <v>24</v>
      </c>
      <c r="P17" s="69" t="s">
        <v>85</v>
      </c>
      <c r="Q17" s="69" t="s">
        <v>86</v>
      </c>
      <c r="R17" s="69" t="s">
        <v>87</v>
      </c>
    </row>
    <row r="18" spans="2:18">
      <c r="B18" s="69" t="s">
        <v>88</v>
      </c>
      <c r="C18" s="69" t="s">
        <v>89</v>
      </c>
      <c r="D18" s="69" t="s">
        <v>90</v>
      </c>
      <c r="E18" s="69" t="s">
        <v>91</v>
      </c>
      <c r="F18" s="69">
        <v>17000</v>
      </c>
      <c r="G18" s="69" t="s">
        <v>25</v>
      </c>
      <c r="H18" s="69" t="s">
        <v>82</v>
      </c>
      <c r="I18" s="69" t="s">
        <v>92</v>
      </c>
      <c r="J18" s="69" t="s">
        <v>93</v>
      </c>
      <c r="K18" s="69">
        <v>17000</v>
      </c>
      <c r="L18" s="69"/>
      <c r="M18" s="69"/>
      <c r="N18" s="69" t="s">
        <v>75</v>
      </c>
      <c r="O18" s="69" t="s">
        <v>24</v>
      </c>
      <c r="P18" s="69" t="s">
        <v>85</v>
      </c>
      <c r="Q18" s="69" t="s">
        <v>86</v>
      </c>
      <c r="R18" s="69" t="s">
        <v>94</v>
      </c>
    </row>
    <row r="19" spans="2:18">
      <c r="B19" s="69" t="s">
        <v>95</v>
      </c>
      <c r="C19" s="69" t="s">
        <v>66</v>
      </c>
      <c r="D19" s="69" t="s">
        <v>96</v>
      </c>
      <c r="E19" s="69" t="s">
        <v>97</v>
      </c>
      <c r="F19" s="69">
        <v>300</v>
      </c>
      <c r="G19" s="69" t="s">
        <v>25</v>
      </c>
      <c r="H19" s="69" t="s">
        <v>98</v>
      </c>
      <c r="I19" s="69" t="s">
        <v>72</v>
      </c>
      <c r="J19" s="69" t="s">
        <v>73</v>
      </c>
      <c r="K19" s="69">
        <v>900</v>
      </c>
      <c r="L19" s="69"/>
      <c r="M19" s="69"/>
      <c r="N19" s="69" t="s">
        <v>75</v>
      </c>
      <c r="O19" s="69" t="s">
        <v>24</v>
      </c>
      <c r="P19" s="69" t="s">
        <v>85</v>
      </c>
      <c r="Q19" s="69" t="s">
        <v>86</v>
      </c>
      <c r="R19" s="69" t="s">
        <v>99</v>
      </c>
    </row>
    <row r="20" spans="2:18">
      <c r="B20" s="69" t="s">
        <v>100</v>
      </c>
      <c r="C20" s="69" t="s">
        <v>66</v>
      </c>
      <c r="D20" s="69" t="s">
        <v>101</v>
      </c>
      <c r="E20" s="69" t="s">
        <v>102</v>
      </c>
      <c r="F20" s="69">
        <v>300</v>
      </c>
      <c r="G20" s="69" t="s">
        <v>25</v>
      </c>
      <c r="H20" s="69" t="s">
        <v>98</v>
      </c>
      <c r="I20" s="69" t="s">
        <v>72</v>
      </c>
      <c r="J20" s="69" t="s">
        <v>73</v>
      </c>
      <c r="K20" s="69">
        <v>900</v>
      </c>
      <c r="L20" s="69"/>
      <c r="M20" s="69"/>
      <c r="N20" s="69" t="s">
        <v>75</v>
      </c>
      <c r="O20" s="69" t="s">
        <v>24</v>
      </c>
      <c r="P20" s="69" t="s">
        <v>85</v>
      </c>
      <c r="Q20" s="69" t="s">
        <v>86</v>
      </c>
      <c r="R20" s="69" t="s">
        <v>99</v>
      </c>
    </row>
  </sheetData>
  <mergeCells count="2">
    <mergeCell ref="C3:F3"/>
    <mergeCell ref="C5:F5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L12"/>
  <sheetViews>
    <sheetView showGridLines="0" topLeftCell="C1" workbookViewId="0">
      <selection activeCell="C18" sqref="C18"/>
    </sheetView>
  </sheetViews>
  <sheetFormatPr defaultRowHeight="15"/>
  <cols>
    <col min="1" max="1" width="7" style="22" customWidth="1"/>
    <col min="2" max="2" width="64.140625" style="22" customWidth="1"/>
    <col min="3" max="3" width="23.5703125" style="22" customWidth="1"/>
    <col min="4" max="4" width="16.85546875" style="22" bestFit="1" customWidth="1"/>
    <col min="5" max="5" width="17.85546875" style="22" customWidth="1"/>
    <col min="6" max="6" width="11.7109375" style="22" bestFit="1" customWidth="1"/>
    <col min="7" max="7" width="12.7109375" style="22" bestFit="1" customWidth="1"/>
    <col min="8" max="8" width="12.5703125" style="22" customWidth="1"/>
    <col min="9" max="16384" width="9.140625" style="22"/>
  </cols>
  <sheetData>
    <row r="1" spans="1:12">
      <c r="I1" s="27"/>
      <c r="J1" s="27"/>
      <c r="K1" s="27"/>
      <c r="L1" s="27"/>
    </row>
    <row r="2" spans="1:12">
      <c r="I2" s="28"/>
      <c r="J2" s="27"/>
      <c r="K2" s="27"/>
      <c r="L2" s="27"/>
    </row>
    <row r="3" spans="1:12" ht="33" customHeight="1">
      <c r="C3" s="131" t="s">
        <v>189</v>
      </c>
      <c r="D3" s="131"/>
      <c r="E3" s="131"/>
      <c r="F3" s="131"/>
      <c r="G3" s="61"/>
      <c r="H3" s="61"/>
      <c r="I3" s="27"/>
      <c r="J3" s="27"/>
      <c r="K3" s="27"/>
      <c r="L3" s="27"/>
    </row>
    <row r="4" spans="1:12" ht="33" customHeight="1">
      <c r="G4" s="26" t="s">
        <v>179</v>
      </c>
      <c r="H4" s="24">
        <v>42111</v>
      </c>
      <c r="I4" s="27"/>
      <c r="J4" s="27"/>
      <c r="K4" s="27"/>
      <c r="L4" s="27"/>
    </row>
    <row r="5" spans="1:12" ht="21">
      <c r="A5" s="64"/>
      <c r="B5" s="64"/>
      <c r="C5" s="135" t="s">
        <v>180</v>
      </c>
      <c r="D5" s="135"/>
      <c r="E5" s="135"/>
      <c r="F5" s="135"/>
      <c r="G5" s="65"/>
      <c r="H5" s="66"/>
      <c r="I5" s="66"/>
      <c r="J5" s="27"/>
      <c r="K5" s="27"/>
      <c r="L5" s="27"/>
    </row>
    <row r="7" spans="1:12">
      <c r="B7" s="71" t="s">
        <v>217</v>
      </c>
      <c r="C7" s="27"/>
      <c r="D7" s="27"/>
    </row>
    <row r="8" spans="1:12">
      <c r="B8" s="27"/>
      <c r="C8" s="27"/>
      <c r="D8" s="27"/>
    </row>
    <row r="9" spans="1:12">
      <c r="B9" s="72" t="s">
        <v>275</v>
      </c>
      <c r="C9" s="72" t="s">
        <v>252</v>
      </c>
      <c r="D9" s="72" t="s">
        <v>54</v>
      </c>
      <c r="E9" s="72" t="s">
        <v>276</v>
      </c>
      <c r="F9" s="72" t="s">
        <v>277</v>
      </c>
      <c r="G9" s="72" t="s">
        <v>278</v>
      </c>
      <c r="H9" s="72" t="s">
        <v>279</v>
      </c>
    </row>
    <row r="10" spans="1:12">
      <c r="B10" s="69" t="s">
        <v>103</v>
      </c>
      <c r="C10" s="73">
        <v>42229</v>
      </c>
      <c r="D10" s="69" t="s">
        <v>104</v>
      </c>
      <c r="E10" s="69"/>
      <c r="F10" s="69"/>
      <c r="G10" s="69"/>
      <c r="H10" s="69"/>
    </row>
    <row r="11" spans="1:12">
      <c r="B11" s="69" t="s">
        <v>105</v>
      </c>
      <c r="C11" s="73">
        <v>41353</v>
      </c>
      <c r="D11" s="69"/>
      <c r="E11" s="69"/>
      <c r="F11" s="69" t="s">
        <v>106</v>
      </c>
      <c r="G11" s="69" t="s">
        <v>107</v>
      </c>
      <c r="H11" s="69" t="s">
        <v>108</v>
      </c>
    </row>
    <row r="12" spans="1:12">
      <c r="B12" s="69" t="s">
        <v>105</v>
      </c>
      <c r="C12" s="73">
        <v>41066</v>
      </c>
      <c r="D12" s="69"/>
      <c r="E12" s="69"/>
      <c r="F12" s="69" t="s">
        <v>109</v>
      </c>
      <c r="G12" s="69" t="s">
        <v>107</v>
      </c>
      <c r="H12" s="69" t="s">
        <v>110</v>
      </c>
    </row>
  </sheetData>
  <mergeCells count="2">
    <mergeCell ref="C3:F3"/>
    <mergeCell ref="C5:F5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M19"/>
  <sheetViews>
    <sheetView showGridLines="0" topLeftCell="C1" workbookViewId="0">
      <selection activeCell="C1" sqref="A1:XFD1048576"/>
    </sheetView>
  </sheetViews>
  <sheetFormatPr defaultRowHeight="15"/>
  <cols>
    <col min="1" max="1" width="9.140625" style="22"/>
    <col min="2" max="2" width="27.7109375" style="22" bestFit="1" customWidth="1"/>
    <col min="3" max="3" width="50.140625" style="22" customWidth="1"/>
    <col min="4" max="4" width="29.7109375" style="22" bestFit="1" customWidth="1"/>
    <col min="5" max="5" width="29.140625" style="22" customWidth="1"/>
    <col min="6" max="6" width="21.85546875" style="22" bestFit="1" customWidth="1"/>
    <col min="7" max="7" width="17.85546875" style="22" bestFit="1" customWidth="1"/>
    <col min="8" max="8" width="18.85546875" style="22" customWidth="1"/>
    <col min="9" max="9" width="10.28515625" style="22" bestFit="1" customWidth="1"/>
    <col min="10" max="10" width="11" style="22" bestFit="1" customWidth="1"/>
    <col min="11" max="11" width="9" style="22" bestFit="1" customWidth="1"/>
    <col min="12" max="12" width="17" style="22" bestFit="1" customWidth="1"/>
    <col min="13" max="13" width="8.7109375" style="22" bestFit="1" customWidth="1"/>
    <col min="14" max="14" width="26.140625" style="22" bestFit="1" customWidth="1"/>
    <col min="15" max="15" width="9.42578125" style="22" bestFit="1" customWidth="1"/>
    <col min="16" max="16" width="21.85546875" style="22" bestFit="1" customWidth="1"/>
    <col min="17" max="17" width="10.85546875" style="22" customWidth="1"/>
    <col min="18" max="16384" width="9.140625" style="22"/>
  </cols>
  <sheetData>
    <row r="1" spans="1:13">
      <c r="J1" s="27"/>
      <c r="K1" s="27"/>
      <c r="L1" s="27"/>
      <c r="M1" s="27"/>
    </row>
    <row r="2" spans="1:13">
      <c r="J2" s="28"/>
      <c r="K2" s="27"/>
      <c r="L2" s="27"/>
      <c r="M2" s="27"/>
    </row>
    <row r="3" spans="1:13" ht="33" customHeight="1">
      <c r="C3" s="131" t="s">
        <v>189</v>
      </c>
      <c r="D3" s="131"/>
      <c r="E3" s="131"/>
      <c r="F3" s="131"/>
      <c r="G3" s="131"/>
      <c r="H3" s="61"/>
      <c r="I3" s="61"/>
      <c r="J3" s="27"/>
      <c r="K3" s="27"/>
      <c r="L3" s="27"/>
      <c r="M3" s="27"/>
    </row>
    <row r="4" spans="1:13" ht="33" customHeight="1">
      <c r="A4" s="27"/>
      <c r="B4" s="27"/>
      <c r="C4" s="27"/>
      <c r="D4" s="27"/>
      <c r="E4" s="27"/>
      <c r="F4" s="27"/>
      <c r="G4" s="27"/>
      <c r="H4" s="62" t="s">
        <v>179</v>
      </c>
      <c r="I4" s="63">
        <v>42111</v>
      </c>
      <c r="J4" s="27"/>
      <c r="K4" s="27"/>
      <c r="L4" s="27"/>
      <c r="M4" s="27"/>
    </row>
    <row r="5" spans="1:13" ht="21.75" thickBot="1">
      <c r="A5" s="86"/>
      <c r="B5" s="86"/>
      <c r="C5" s="136" t="s">
        <v>180</v>
      </c>
      <c r="D5" s="136"/>
      <c r="E5" s="136"/>
      <c r="F5" s="136"/>
      <c r="G5" s="136"/>
      <c r="H5" s="98"/>
      <c r="I5" s="99"/>
      <c r="J5" s="99"/>
      <c r="K5" s="86"/>
      <c r="L5" s="27"/>
      <c r="M5" s="27"/>
    </row>
    <row r="7" spans="1:13" s="27" customFormat="1">
      <c r="B7" s="71" t="s">
        <v>214</v>
      </c>
      <c r="E7" s="75"/>
      <c r="F7" s="76"/>
      <c r="G7" s="75"/>
      <c r="H7" s="76"/>
    </row>
    <row r="8" spans="1:13">
      <c r="B8" s="77"/>
      <c r="C8" s="78"/>
      <c r="D8" s="77"/>
      <c r="E8" s="76"/>
      <c r="F8" s="76"/>
      <c r="G8" s="79"/>
      <c r="H8" s="80"/>
      <c r="I8" s="79"/>
    </row>
    <row r="9" spans="1:13">
      <c r="B9" s="81" t="s">
        <v>335</v>
      </c>
      <c r="C9" s="81" t="s">
        <v>337</v>
      </c>
      <c r="D9" s="81" t="s">
        <v>336</v>
      </c>
      <c r="E9" s="81" t="s">
        <v>338</v>
      </c>
      <c r="F9" s="76"/>
      <c r="G9" s="79"/>
      <c r="H9" s="80"/>
      <c r="I9" s="79"/>
    </row>
    <row r="10" spans="1:13">
      <c r="B10" s="100" t="s">
        <v>339</v>
      </c>
      <c r="C10" s="104">
        <v>41284</v>
      </c>
      <c r="D10" s="100" t="s">
        <v>340</v>
      </c>
      <c r="E10" s="104">
        <v>41659</v>
      </c>
      <c r="F10" s="76"/>
      <c r="G10" s="79"/>
      <c r="H10" s="80"/>
      <c r="I10" s="79"/>
    </row>
    <row r="11" spans="1:13">
      <c r="B11" s="77"/>
      <c r="C11" s="78"/>
      <c r="D11" s="77"/>
      <c r="E11" s="76"/>
      <c r="F11" s="76"/>
      <c r="G11" s="79"/>
      <c r="H11" s="80"/>
      <c r="I11" s="79"/>
    </row>
    <row r="12" spans="1:13">
      <c r="B12" s="81" t="s">
        <v>280</v>
      </c>
      <c r="C12" s="81" t="s">
        <v>281</v>
      </c>
      <c r="D12" s="81" t="s">
        <v>282</v>
      </c>
      <c r="E12" s="74"/>
    </row>
    <row r="13" spans="1:13">
      <c r="B13" s="100" t="s">
        <v>112</v>
      </c>
      <c r="C13" s="100" t="s">
        <v>113</v>
      </c>
      <c r="D13" s="100" t="s">
        <v>114</v>
      </c>
    </row>
    <row r="14" spans="1:13">
      <c r="B14" s="137" t="s">
        <v>283</v>
      </c>
      <c r="C14" s="138"/>
      <c r="D14" s="137" t="s">
        <v>284</v>
      </c>
      <c r="E14" s="138"/>
      <c r="F14" s="81" t="s">
        <v>210</v>
      </c>
      <c r="G14" s="81" t="s">
        <v>211</v>
      </c>
      <c r="H14" s="81" t="s">
        <v>212</v>
      </c>
      <c r="I14" s="81" t="s">
        <v>213</v>
      </c>
      <c r="J14" s="75"/>
      <c r="K14" s="75"/>
    </row>
    <row r="15" spans="1:13">
      <c r="B15" s="139" t="s">
        <v>115</v>
      </c>
      <c r="C15" s="140"/>
      <c r="D15" s="141" t="s">
        <v>116</v>
      </c>
      <c r="E15" s="142"/>
      <c r="F15" s="100"/>
      <c r="G15" s="100" t="s">
        <v>117</v>
      </c>
      <c r="H15" s="100" t="s">
        <v>118</v>
      </c>
      <c r="I15" s="100" t="s">
        <v>119</v>
      </c>
    </row>
    <row r="16" spans="1:13">
      <c r="B16" s="101"/>
      <c r="C16" s="101"/>
      <c r="D16" s="102"/>
      <c r="E16" s="102"/>
      <c r="F16" s="102"/>
      <c r="G16" s="102"/>
      <c r="H16" s="102"/>
    </row>
    <row r="17" spans="2:8">
      <c r="B17" s="81" t="s">
        <v>289</v>
      </c>
      <c r="C17" s="81" t="s">
        <v>216</v>
      </c>
      <c r="D17" s="81" t="s">
        <v>111</v>
      </c>
      <c r="E17" s="81" t="s">
        <v>288</v>
      </c>
      <c r="F17" s="81" t="s">
        <v>287</v>
      </c>
      <c r="G17" s="81" t="s">
        <v>286</v>
      </c>
      <c r="H17" s="81" t="s">
        <v>285</v>
      </c>
    </row>
    <row r="18" spans="2:8">
      <c r="B18" s="100" t="s">
        <v>120</v>
      </c>
      <c r="C18" s="100" t="s">
        <v>121</v>
      </c>
      <c r="D18" s="100" t="s">
        <v>122</v>
      </c>
      <c r="E18" s="100" t="s">
        <v>123</v>
      </c>
      <c r="F18" s="100" t="s">
        <v>124</v>
      </c>
      <c r="G18" s="100"/>
      <c r="H18" s="100"/>
    </row>
    <row r="19" spans="2:8">
      <c r="B19" s="100" t="s">
        <v>125</v>
      </c>
      <c r="C19" s="100" t="s">
        <v>126</v>
      </c>
      <c r="D19" s="100" t="s">
        <v>127</v>
      </c>
      <c r="E19" s="100" t="s">
        <v>123</v>
      </c>
      <c r="F19" s="100" t="s">
        <v>128</v>
      </c>
      <c r="G19" s="100"/>
      <c r="H19" s="100"/>
    </row>
  </sheetData>
  <mergeCells count="6">
    <mergeCell ref="C3:G3"/>
    <mergeCell ref="C5:G5"/>
    <mergeCell ref="B14:C14"/>
    <mergeCell ref="B15:C15"/>
    <mergeCell ref="D14:E14"/>
    <mergeCell ref="D15:E15"/>
  </mergeCells>
  <hyperlinks>
    <hyperlink ref="D19" r:id="rId1"/>
  </hyperlinks>
  <pageMargins left="0.7" right="0.7" top="0.75" bottom="0.75" header="0.3" footer="0.3"/>
  <pageSetup paperSize="9" orientation="portrait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X19"/>
  <sheetViews>
    <sheetView showGridLines="0" workbookViewId="0">
      <selection activeCell="B21" sqref="B21"/>
    </sheetView>
  </sheetViews>
  <sheetFormatPr defaultRowHeight="15"/>
  <cols>
    <col min="1" max="1" width="9.140625" style="22"/>
    <col min="2" max="2" width="34.28515625" style="22" bestFit="1" customWidth="1"/>
    <col min="3" max="3" width="23.140625" style="22" bestFit="1" customWidth="1"/>
    <col min="4" max="5" width="18" style="22" bestFit="1" customWidth="1"/>
    <col min="6" max="6" width="39.140625" style="22" bestFit="1" customWidth="1"/>
    <col min="7" max="7" width="12" style="22" bestFit="1" customWidth="1"/>
    <col min="8" max="8" width="12.140625" style="22" bestFit="1" customWidth="1"/>
    <col min="9" max="9" width="11.7109375" style="22" bestFit="1" customWidth="1"/>
    <col min="10" max="10" width="27.140625" style="22" bestFit="1" customWidth="1"/>
    <col min="11" max="12" width="30.28515625" style="22" bestFit="1" customWidth="1"/>
    <col min="13" max="15" width="13.5703125" style="22" bestFit="1" customWidth="1"/>
    <col min="16" max="16" width="9.85546875" style="22" bestFit="1" customWidth="1"/>
    <col min="17" max="17" width="11" style="22" bestFit="1" customWidth="1"/>
    <col min="18" max="18" width="11.28515625" style="22" bestFit="1" customWidth="1"/>
    <col min="19" max="21" width="24.28515625" style="22" bestFit="1" customWidth="1"/>
    <col min="22" max="22" width="19.7109375" style="22" bestFit="1" customWidth="1"/>
    <col min="23" max="23" width="22.42578125" style="22" bestFit="1" customWidth="1"/>
    <col min="24" max="24" width="79.5703125" style="22" bestFit="1" customWidth="1"/>
    <col min="25" max="25" width="15.140625" style="22" bestFit="1" customWidth="1"/>
    <col min="26" max="26" width="23.7109375" style="22" bestFit="1" customWidth="1"/>
    <col min="27" max="27" width="25.140625" style="22" bestFit="1" customWidth="1"/>
    <col min="28" max="28" width="8.5703125" style="22" bestFit="1" customWidth="1"/>
    <col min="29" max="29" width="16.28515625" style="22" bestFit="1" customWidth="1"/>
    <col min="30" max="30" width="14.5703125" style="22" bestFit="1" customWidth="1"/>
    <col min="31" max="31" width="30" style="22" bestFit="1" customWidth="1"/>
    <col min="32" max="32" width="15.5703125" style="22" bestFit="1" customWidth="1"/>
    <col min="33" max="33" width="15.140625" style="22" bestFit="1" customWidth="1"/>
    <col min="34" max="34" width="18.7109375" style="22" bestFit="1" customWidth="1"/>
    <col min="35" max="35" width="15.7109375" style="22" bestFit="1" customWidth="1"/>
    <col min="36" max="36" width="65.28515625" style="22" bestFit="1" customWidth="1"/>
    <col min="37" max="37" width="64.85546875" style="22" bestFit="1" customWidth="1"/>
    <col min="38" max="38" width="65.28515625" style="22" bestFit="1" customWidth="1"/>
    <col min="39" max="39" width="12.140625" style="22" bestFit="1" customWidth="1"/>
    <col min="40" max="40" width="19.42578125" style="22" bestFit="1" customWidth="1"/>
    <col min="41" max="41" width="17.7109375" style="22" bestFit="1" customWidth="1"/>
    <col min="42" max="42" width="19.42578125" style="22" bestFit="1" customWidth="1"/>
    <col min="43" max="43" width="13.7109375" style="22" bestFit="1" customWidth="1"/>
    <col min="44" max="45" width="15.28515625" style="22" bestFit="1" customWidth="1"/>
    <col min="46" max="46" width="15.140625" style="22" bestFit="1" customWidth="1"/>
    <col min="47" max="47" width="21.28515625" style="22" bestFit="1" customWidth="1"/>
    <col min="48" max="48" width="17" style="22" bestFit="1" customWidth="1"/>
    <col min="49" max="49" width="21.42578125" style="22" bestFit="1" customWidth="1"/>
    <col min="50" max="16384" width="9.140625" style="22"/>
  </cols>
  <sheetData>
    <row r="1" spans="1:50">
      <c r="I1" s="27"/>
      <c r="J1" s="27"/>
      <c r="K1" s="27"/>
      <c r="L1" s="27"/>
    </row>
    <row r="2" spans="1:50">
      <c r="A2" s="27"/>
      <c r="B2" s="27"/>
      <c r="C2" s="27"/>
      <c r="D2" s="27"/>
      <c r="E2" s="27"/>
      <c r="F2" s="27"/>
      <c r="G2" s="27"/>
      <c r="H2" s="27"/>
      <c r="I2" s="28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7"/>
      <c r="AL2" s="27"/>
      <c r="AM2" s="27"/>
      <c r="AN2" s="27"/>
      <c r="AO2" s="27"/>
      <c r="AP2" s="27"/>
      <c r="AQ2" s="27"/>
      <c r="AR2" s="27"/>
      <c r="AS2" s="27"/>
      <c r="AT2" s="27"/>
      <c r="AU2" s="27"/>
      <c r="AV2" s="27"/>
      <c r="AW2" s="27"/>
    </row>
    <row r="3" spans="1:50" ht="33" customHeight="1">
      <c r="A3" s="27"/>
      <c r="B3" s="27"/>
      <c r="C3" s="143" t="s">
        <v>189</v>
      </c>
      <c r="D3" s="143"/>
      <c r="E3" s="143"/>
      <c r="F3" s="143"/>
      <c r="G3" s="29"/>
      <c r="H3" s="29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  <c r="AK3" s="27"/>
      <c r="AL3" s="27"/>
      <c r="AM3" s="27"/>
      <c r="AN3" s="27"/>
      <c r="AO3" s="27"/>
      <c r="AP3" s="27"/>
      <c r="AQ3" s="27"/>
      <c r="AR3" s="27"/>
      <c r="AS3" s="27"/>
      <c r="AT3" s="27"/>
      <c r="AU3" s="27"/>
      <c r="AV3" s="27"/>
      <c r="AW3" s="27"/>
    </row>
    <row r="4" spans="1:50" ht="33" customHeight="1">
      <c r="A4" s="27"/>
      <c r="B4" s="27"/>
      <c r="C4" s="27"/>
      <c r="D4" s="27"/>
      <c r="E4" s="27"/>
      <c r="F4" s="27"/>
      <c r="G4" s="62" t="s">
        <v>179</v>
      </c>
      <c r="H4" s="63">
        <v>42111</v>
      </c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  <c r="AK4" s="27"/>
      <c r="AL4" s="27"/>
      <c r="AM4" s="27"/>
      <c r="AN4" s="27"/>
      <c r="AO4" s="27"/>
      <c r="AP4" s="27"/>
      <c r="AQ4" s="27"/>
      <c r="AR4" s="27"/>
      <c r="AS4" s="27"/>
      <c r="AT4" s="27"/>
      <c r="AU4" s="27"/>
      <c r="AV4" s="27"/>
      <c r="AW4" s="27"/>
    </row>
    <row r="5" spans="1:50" ht="21.75" thickBot="1">
      <c r="A5" s="86"/>
      <c r="B5" s="86"/>
      <c r="C5" s="136" t="s">
        <v>180</v>
      </c>
      <c r="D5" s="136"/>
      <c r="E5" s="136"/>
      <c r="F5" s="136"/>
      <c r="G5" s="98"/>
      <c r="H5" s="99"/>
      <c r="I5" s="99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</row>
    <row r="7" spans="1:50">
      <c r="B7" s="71" t="s">
        <v>215</v>
      </c>
      <c r="C7" s="71"/>
      <c r="D7" s="27"/>
    </row>
    <row r="9" spans="1:50">
      <c r="B9" s="82" t="s">
        <v>290</v>
      </c>
      <c r="C9" s="83" t="s">
        <v>129</v>
      </c>
      <c r="D9" s="83" t="s">
        <v>291</v>
      </c>
      <c r="E9" s="83" t="s">
        <v>292</v>
      </c>
      <c r="F9" s="83" t="s">
        <v>293</v>
      </c>
      <c r="G9" s="83" t="s">
        <v>130</v>
      </c>
      <c r="H9" s="84" t="s">
        <v>131</v>
      </c>
      <c r="I9" s="84" t="s">
        <v>294</v>
      </c>
      <c r="J9" s="84" t="s">
        <v>295</v>
      </c>
      <c r="K9" s="84" t="s">
        <v>296</v>
      </c>
      <c r="L9" s="84" t="s">
        <v>297</v>
      </c>
      <c r="M9" s="84" t="s">
        <v>298</v>
      </c>
      <c r="N9" s="84" t="s">
        <v>299</v>
      </c>
      <c r="O9" s="84" t="s">
        <v>300</v>
      </c>
      <c r="P9" s="84" t="s">
        <v>301</v>
      </c>
      <c r="Q9" s="84" t="s">
        <v>302</v>
      </c>
      <c r="R9" s="84" t="s">
        <v>303</v>
      </c>
      <c r="S9" s="84" t="s">
        <v>304</v>
      </c>
      <c r="T9" s="84" t="s">
        <v>305</v>
      </c>
      <c r="U9" s="84" t="s">
        <v>306</v>
      </c>
      <c r="V9" s="84" t="s">
        <v>307</v>
      </c>
      <c r="W9" s="84" t="s">
        <v>308</v>
      </c>
      <c r="X9" s="84" t="s">
        <v>309</v>
      </c>
      <c r="Y9" s="84" t="s">
        <v>310</v>
      </c>
      <c r="Z9" s="84" t="s">
        <v>311</v>
      </c>
      <c r="AA9" s="84" t="s">
        <v>312</v>
      </c>
      <c r="AB9" s="84" t="s">
        <v>313</v>
      </c>
      <c r="AC9" s="84" t="s">
        <v>314</v>
      </c>
      <c r="AD9" s="84" t="s">
        <v>315</v>
      </c>
      <c r="AE9" s="84" t="s">
        <v>316</v>
      </c>
      <c r="AF9" s="84" t="s">
        <v>317</v>
      </c>
      <c r="AG9" s="84" t="s">
        <v>318</v>
      </c>
      <c r="AH9" s="84" t="s">
        <v>319</v>
      </c>
      <c r="AI9" s="84" t="s">
        <v>320</v>
      </c>
      <c r="AJ9" s="84" t="s">
        <v>321</v>
      </c>
      <c r="AK9" s="84" t="s">
        <v>322</v>
      </c>
      <c r="AL9" s="84" t="s">
        <v>323</v>
      </c>
      <c r="AM9" s="84" t="s">
        <v>324</v>
      </c>
      <c r="AN9" s="84" t="s">
        <v>325</v>
      </c>
      <c r="AO9" s="84" t="s">
        <v>326</v>
      </c>
      <c r="AP9" s="84" t="s">
        <v>327</v>
      </c>
      <c r="AQ9" s="84" t="s">
        <v>328</v>
      </c>
      <c r="AR9" s="84" t="s">
        <v>329</v>
      </c>
      <c r="AS9" s="84" t="s">
        <v>330</v>
      </c>
      <c r="AT9" s="84" t="s">
        <v>331</v>
      </c>
      <c r="AU9" s="84" t="s">
        <v>332</v>
      </c>
      <c r="AV9" s="84" t="s">
        <v>333</v>
      </c>
      <c r="AW9" s="84" t="s">
        <v>334</v>
      </c>
      <c r="AX9" s="85"/>
    </row>
    <row r="10" spans="1:50">
      <c r="B10" s="69" t="s">
        <v>132</v>
      </c>
      <c r="C10" s="69" t="s">
        <v>133</v>
      </c>
      <c r="D10" s="69" t="s">
        <v>134</v>
      </c>
      <c r="E10" s="69" t="s">
        <v>27</v>
      </c>
      <c r="F10" s="69" t="s">
        <v>135</v>
      </c>
      <c r="G10" s="69" t="s">
        <v>136</v>
      </c>
      <c r="H10" s="69" t="s">
        <v>137</v>
      </c>
      <c r="I10" s="69" t="s">
        <v>138</v>
      </c>
      <c r="J10" s="69" t="s">
        <v>139</v>
      </c>
      <c r="K10" s="69" t="s">
        <v>140</v>
      </c>
      <c r="L10" s="69" t="s">
        <v>139</v>
      </c>
      <c r="M10" s="69">
        <v>50</v>
      </c>
      <c r="N10" s="69">
        <v>40</v>
      </c>
      <c r="O10" s="69">
        <v>10</v>
      </c>
      <c r="P10" s="103">
        <v>42019</v>
      </c>
      <c r="Q10" s="69">
        <v>60</v>
      </c>
      <c r="R10" s="69">
        <v>40</v>
      </c>
      <c r="S10" s="69" t="s">
        <v>141</v>
      </c>
      <c r="T10" s="69" t="s">
        <v>142</v>
      </c>
      <c r="U10" s="69" t="s">
        <v>143</v>
      </c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</row>
    <row r="11" spans="1:50">
      <c r="B11" s="69" t="s">
        <v>144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M11" s="69"/>
      <c r="N11" s="69"/>
      <c r="O11" s="69"/>
      <c r="P11" s="69"/>
      <c r="Q11" s="69"/>
      <c r="R11" s="69"/>
      <c r="S11" s="69"/>
      <c r="T11" s="69"/>
      <c r="U11" s="69"/>
      <c r="V11" s="103">
        <v>42014</v>
      </c>
      <c r="W11" s="69" t="s">
        <v>145</v>
      </c>
      <c r="X11" s="69" t="s">
        <v>146</v>
      </c>
      <c r="Y11" s="69" t="s">
        <v>147</v>
      </c>
      <c r="Z11" s="69" t="s">
        <v>148</v>
      </c>
      <c r="AA11" s="69" t="s">
        <v>149</v>
      </c>
      <c r="AB11" s="69" t="s">
        <v>150</v>
      </c>
      <c r="AC11" s="73">
        <v>41671</v>
      </c>
      <c r="AD11" s="69" t="s">
        <v>151</v>
      </c>
      <c r="AE11" s="69" t="s">
        <v>152</v>
      </c>
      <c r="AF11" s="69">
        <v>4</v>
      </c>
      <c r="AG11" s="69">
        <v>670</v>
      </c>
      <c r="AH11" s="69">
        <v>3</v>
      </c>
      <c r="AI11" s="69" t="s">
        <v>153</v>
      </c>
      <c r="AJ11" s="69" t="s">
        <v>154</v>
      </c>
      <c r="AK11" s="69" t="s">
        <v>155</v>
      </c>
      <c r="AL11" s="69" t="s">
        <v>156</v>
      </c>
      <c r="AM11" s="69" t="s">
        <v>157</v>
      </c>
      <c r="AN11" s="69" t="s">
        <v>158</v>
      </c>
      <c r="AO11" s="69" t="s">
        <v>159</v>
      </c>
      <c r="AP11" s="69" t="s">
        <v>160</v>
      </c>
      <c r="AQ11" s="69" t="s">
        <v>161</v>
      </c>
      <c r="AR11" s="69" t="s">
        <v>162</v>
      </c>
      <c r="AS11" s="69" t="s">
        <v>163</v>
      </c>
      <c r="AT11" s="69" t="s">
        <v>119</v>
      </c>
      <c r="AU11" s="69" t="s">
        <v>164</v>
      </c>
      <c r="AV11" s="69" t="s">
        <v>165</v>
      </c>
      <c r="AW11" s="69" t="s">
        <v>166</v>
      </c>
    </row>
    <row r="13" spans="1:50">
      <c r="B13" s="22" t="s">
        <v>167</v>
      </c>
    </row>
    <row r="15" spans="1:50">
      <c r="B15" s="82" t="s">
        <v>290</v>
      </c>
      <c r="C15" s="83" t="s">
        <v>129</v>
      </c>
      <c r="D15" s="83" t="s">
        <v>291</v>
      </c>
      <c r="E15" s="83" t="s">
        <v>292</v>
      </c>
      <c r="F15" s="83" t="s">
        <v>293</v>
      </c>
      <c r="G15" s="83" t="s">
        <v>130</v>
      </c>
      <c r="H15" s="84" t="s">
        <v>131</v>
      </c>
      <c r="I15" s="84" t="s">
        <v>294</v>
      </c>
      <c r="J15" s="84" t="s">
        <v>295</v>
      </c>
      <c r="K15" s="84" t="s">
        <v>296</v>
      </c>
      <c r="L15" s="84" t="s">
        <v>297</v>
      </c>
      <c r="M15" s="84" t="s">
        <v>298</v>
      </c>
      <c r="N15" s="84" t="s">
        <v>299</v>
      </c>
      <c r="O15" s="84" t="s">
        <v>300</v>
      </c>
      <c r="P15" s="84" t="s">
        <v>301</v>
      </c>
      <c r="Q15" s="84" t="s">
        <v>302</v>
      </c>
      <c r="R15" s="84" t="s">
        <v>303</v>
      </c>
      <c r="S15" s="84" t="s">
        <v>304</v>
      </c>
      <c r="T15" s="84" t="s">
        <v>305</v>
      </c>
      <c r="U15" s="84" t="s">
        <v>306</v>
      </c>
      <c r="V15" s="84" t="s">
        <v>307</v>
      </c>
      <c r="W15" s="84" t="s">
        <v>308</v>
      </c>
      <c r="X15" s="84" t="s">
        <v>309</v>
      </c>
      <c r="Y15" s="84" t="s">
        <v>310</v>
      </c>
      <c r="Z15" s="84" t="s">
        <v>311</v>
      </c>
      <c r="AA15" s="84" t="s">
        <v>312</v>
      </c>
      <c r="AB15" s="84" t="s">
        <v>313</v>
      </c>
      <c r="AC15" s="84" t="s">
        <v>314</v>
      </c>
      <c r="AD15" s="84" t="s">
        <v>315</v>
      </c>
      <c r="AE15" s="84" t="s">
        <v>316</v>
      </c>
      <c r="AF15" s="84" t="s">
        <v>317</v>
      </c>
      <c r="AG15" s="84" t="s">
        <v>318</v>
      </c>
      <c r="AH15" s="84" t="s">
        <v>319</v>
      </c>
      <c r="AI15" s="84" t="s">
        <v>320</v>
      </c>
      <c r="AJ15" s="84" t="s">
        <v>321</v>
      </c>
      <c r="AK15" s="84" t="s">
        <v>322</v>
      </c>
      <c r="AL15" s="84" t="s">
        <v>323</v>
      </c>
      <c r="AM15" s="84" t="s">
        <v>324</v>
      </c>
      <c r="AN15" s="84" t="s">
        <v>325</v>
      </c>
      <c r="AO15" s="84" t="s">
        <v>326</v>
      </c>
      <c r="AP15" s="84" t="s">
        <v>327</v>
      </c>
      <c r="AQ15" s="84" t="s">
        <v>328</v>
      </c>
      <c r="AR15" s="84" t="s">
        <v>329</v>
      </c>
      <c r="AS15" s="84" t="s">
        <v>330</v>
      </c>
      <c r="AT15" s="84" t="s">
        <v>331</v>
      </c>
      <c r="AU15" s="84" t="s">
        <v>332</v>
      </c>
      <c r="AV15" s="84" t="s">
        <v>333</v>
      </c>
      <c r="AW15" s="84" t="s">
        <v>334</v>
      </c>
      <c r="AX15" s="85"/>
    </row>
    <row r="16" spans="1:50">
      <c r="B16" s="69" t="s">
        <v>132</v>
      </c>
      <c r="C16" s="69"/>
      <c r="D16" s="69"/>
      <c r="E16" s="69"/>
      <c r="F16" s="69"/>
      <c r="G16" s="69"/>
      <c r="H16" s="69" t="s">
        <v>137</v>
      </c>
      <c r="I16" s="69" t="s">
        <v>138</v>
      </c>
      <c r="J16" s="69" t="s">
        <v>139</v>
      </c>
      <c r="K16" s="69" t="s">
        <v>140</v>
      </c>
      <c r="L16" s="69" t="s">
        <v>139</v>
      </c>
      <c r="M16" s="69">
        <v>50</v>
      </c>
      <c r="N16" s="69">
        <v>40</v>
      </c>
      <c r="O16" s="69">
        <v>10</v>
      </c>
      <c r="P16" s="103">
        <v>41640</v>
      </c>
      <c r="Q16" s="69">
        <v>60</v>
      </c>
      <c r="R16" s="69">
        <v>40</v>
      </c>
      <c r="S16" s="69" t="s">
        <v>141</v>
      </c>
      <c r="T16" s="69" t="s">
        <v>142</v>
      </c>
      <c r="U16" s="69" t="s">
        <v>143</v>
      </c>
      <c r="V16" s="69"/>
      <c r="W16" s="69"/>
      <c r="X16" s="69"/>
      <c r="Y16" s="69"/>
      <c r="Z16" s="69"/>
      <c r="AA16" s="69"/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</row>
    <row r="17" spans="2:49">
      <c r="B17" s="69" t="s">
        <v>144</v>
      </c>
      <c r="C17" s="69" t="s">
        <v>133</v>
      </c>
      <c r="D17" s="69" t="s">
        <v>134</v>
      </c>
      <c r="E17" s="69" t="s">
        <v>27</v>
      </c>
      <c r="F17" s="69" t="s">
        <v>135</v>
      </c>
      <c r="G17" s="69" t="s">
        <v>136</v>
      </c>
      <c r="H17" s="69"/>
      <c r="I17" s="69"/>
      <c r="J17" s="69"/>
      <c r="K17" s="69"/>
      <c r="L17" s="69"/>
      <c r="M17" s="69"/>
      <c r="N17" s="69"/>
      <c r="O17" s="69"/>
      <c r="P17" s="69"/>
      <c r="Q17" s="69"/>
      <c r="R17" s="69"/>
      <c r="S17" s="69"/>
      <c r="T17" s="69"/>
      <c r="U17" s="69"/>
      <c r="V17" s="103">
        <v>42014</v>
      </c>
      <c r="W17" s="69" t="s">
        <v>145</v>
      </c>
      <c r="X17" s="69" t="s">
        <v>146</v>
      </c>
      <c r="Y17" s="69" t="s">
        <v>147</v>
      </c>
      <c r="Z17" s="69" t="s">
        <v>148</v>
      </c>
      <c r="AA17" s="69" t="s">
        <v>149</v>
      </c>
      <c r="AB17" s="69" t="s">
        <v>150</v>
      </c>
      <c r="AC17" s="73">
        <v>41671</v>
      </c>
      <c r="AD17" s="69" t="s">
        <v>151</v>
      </c>
      <c r="AE17" s="69" t="s">
        <v>152</v>
      </c>
      <c r="AF17" s="69">
        <v>4</v>
      </c>
      <c r="AG17" s="69">
        <v>670</v>
      </c>
      <c r="AH17" s="69">
        <v>3</v>
      </c>
      <c r="AI17" s="69" t="s">
        <v>153</v>
      </c>
      <c r="AJ17" s="69" t="s">
        <v>154</v>
      </c>
      <c r="AK17" s="69" t="s">
        <v>155</v>
      </c>
      <c r="AL17" s="69" t="s">
        <v>156</v>
      </c>
      <c r="AM17" s="69" t="s">
        <v>157</v>
      </c>
      <c r="AN17" s="69" t="s">
        <v>158</v>
      </c>
      <c r="AO17" s="69" t="s">
        <v>159</v>
      </c>
      <c r="AP17" s="69" t="s">
        <v>160</v>
      </c>
      <c r="AQ17" s="69" t="s">
        <v>161</v>
      </c>
      <c r="AR17" s="69" t="s">
        <v>162</v>
      </c>
      <c r="AS17" s="69" t="s">
        <v>163</v>
      </c>
      <c r="AT17" s="69" t="s">
        <v>119</v>
      </c>
      <c r="AU17" s="69" t="s">
        <v>164</v>
      </c>
      <c r="AV17" s="69" t="s">
        <v>165</v>
      </c>
      <c r="AW17" s="69" t="s">
        <v>166</v>
      </c>
    </row>
    <row r="19" spans="2:49">
      <c r="F19" s="70" t="s">
        <v>168</v>
      </c>
    </row>
  </sheetData>
  <mergeCells count="2">
    <mergeCell ref="C3:F3"/>
    <mergeCell ref="C5:F5"/>
  </mergeCells>
  <hyperlinks>
    <hyperlink ref="C10" r:id="rId1"/>
    <hyperlink ref="C17" r:id="rId2"/>
  </hyperlinks>
  <pageMargins left="0.7" right="0.7" top="0.75" bottom="0.75" header="0.3" footer="0.3"/>
  <pageSetup paperSize="9" orientation="portrait" r:id="rId3"/>
  <drawing r:id="rId4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2:V24"/>
  <sheetViews>
    <sheetView topLeftCell="A4" workbookViewId="0">
      <selection activeCell="A4" sqref="A1:XFD1048576"/>
    </sheetView>
  </sheetViews>
  <sheetFormatPr defaultRowHeight="15"/>
  <cols>
    <col min="1" max="1" width="9.140625" style="22"/>
    <col min="2" max="2" width="18.140625" style="22" customWidth="1"/>
    <col min="3" max="3" width="18.85546875" style="22" bestFit="1" customWidth="1"/>
    <col min="4" max="4" width="13.7109375" style="22" customWidth="1"/>
    <col min="5" max="5" width="15.7109375" style="22" bestFit="1" customWidth="1"/>
    <col min="6" max="6" width="12.140625" style="22" bestFit="1" customWidth="1"/>
    <col min="7" max="10" width="19.28515625" style="22" customWidth="1"/>
    <col min="11" max="11" width="14.85546875" style="22" customWidth="1"/>
    <col min="12" max="12" width="14.140625" style="22" customWidth="1"/>
    <col min="13" max="13" width="17.42578125" style="22" customWidth="1"/>
    <col min="14" max="14" width="18.42578125" style="22" customWidth="1"/>
    <col min="15" max="15" width="16.5703125" style="22" customWidth="1"/>
    <col min="16" max="16" width="17" style="22" customWidth="1"/>
    <col min="17" max="16384" width="9.140625" style="22"/>
  </cols>
  <sheetData>
    <row r="2" spans="1:22" ht="21">
      <c r="C2" s="131" t="s">
        <v>189</v>
      </c>
      <c r="D2" s="131"/>
      <c r="E2" s="131"/>
      <c r="F2" s="131"/>
      <c r="G2" s="131"/>
      <c r="H2" s="131"/>
      <c r="I2" s="131"/>
      <c r="J2" s="131"/>
      <c r="K2" s="131"/>
      <c r="L2" s="131"/>
      <c r="M2" s="131"/>
      <c r="N2" s="131"/>
      <c r="O2" s="131"/>
      <c r="P2" s="131"/>
    </row>
    <row r="3" spans="1:22">
      <c r="L3" s="26" t="s">
        <v>179</v>
      </c>
      <c r="M3" s="24">
        <v>42111</v>
      </c>
    </row>
    <row r="4" spans="1:22" ht="41.25" customHeight="1" thickBot="1">
      <c r="A4" s="86"/>
      <c r="B4" s="86"/>
      <c r="C4" s="86"/>
      <c r="D4" s="86"/>
      <c r="E4" s="144" t="s">
        <v>180</v>
      </c>
      <c r="F4" s="144"/>
      <c r="G4" s="144"/>
      <c r="H4" s="144"/>
      <c r="I4" s="144"/>
      <c r="J4" s="144"/>
      <c r="K4" s="144"/>
      <c r="L4" s="144"/>
      <c r="M4" s="144"/>
      <c r="N4" s="144"/>
      <c r="O4" s="86"/>
      <c r="P4" s="86"/>
      <c r="Q4" s="86"/>
      <c r="R4" s="86"/>
      <c r="S4" s="86"/>
      <c r="T4" s="86"/>
      <c r="U4" s="86"/>
      <c r="V4" s="86"/>
    </row>
    <row r="5" spans="1:22" ht="12.75" customHeight="1">
      <c r="A5" s="27"/>
      <c r="B5" s="27"/>
      <c r="C5" s="27"/>
      <c r="D5" s="27"/>
      <c r="E5" s="18"/>
      <c r="F5" s="18"/>
      <c r="G5" s="18"/>
      <c r="H5" s="18"/>
      <c r="I5" s="18"/>
      <c r="J5" s="18"/>
      <c r="K5" s="18"/>
      <c r="L5" s="18"/>
      <c r="M5" s="18"/>
      <c r="N5" s="18"/>
      <c r="O5" s="27"/>
      <c r="P5" s="27"/>
      <c r="Q5" s="27"/>
      <c r="R5" s="27"/>
      <c r="S5" s="27"/>
      <c r="T5" s="27"/>
      <c r="U5" s="27"/>
      <c r="V5" s="27"/>
    </row>
    <row r="6" spans="1:22">
      <c r="B6" s="20" t="s">
        <v>193</v>
      </c>
      <c r="C6" s="21"/>
      <c r="D6" s="21"/>
      <c r="E6" s="2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</row>
    <row r="7" spans="1:22">
      <c r="B7" s="19"/>
      <c r="C7" s="87"/>
      <c r="D7" s="87"/>
      <c r="E7" s="87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</row>
    <row r="8" spans="1:22" ht="36.75">
      <c r="A8" s="88"/>
      <c r="B8" s="89" t="s">
        <v>191</v>
      </c>
      <c r="C8" s="89" t="s">
        <v>192</v>
      </c>
      <c r="D8" s="89" t="s">
        <v>194</v>
      </c>
      <c r="E8" s="90"/>
      <c r="F8" s="91" t="s">
        <v>195</v>
      </c>
      <c r="G8" s="91" t="s">
        <v>196</v>
      </c>
      <c r="H8" s="91" t="s">
        <v>197</v>
      </c>
      <c r="I8" s="91" t="s">
        <v>198</v>
      </c>
      <c r="J8" s="91" t="s">
        <v>199</v>
      </c>
      <c r="K8" s="90"/>
      <c r="L8" s="92" t="s">
        <v>200</v>
      </c>
      <c r="M8" s="92" t="s">
        <v>201</v>
      </c>
      <c r="N8" s="92" t="s">
        <v>202</v>
      </c>
      <c r="O8" s="92" t="s">
        <v>203</v>
      </c>
      <c r="P8" s="92" t="s">
        <v>204</v>
      </c>
      <c r="Q8" s="90"/>
      <c r="R8" s="93" t="s">
        <v>205</v>
      </c>
      <c r="S8" s="93" t="s">
        <v>206</v>
      </c>
      <c r="T8" s="93" t="s">
        <v>207</v>
      </c>
      <c r="U8" s="93" t="s">
        <v>208</v>
      </c>
      <c r="V8" s="93" t="s">
        <v>209</v>
      </c>
    </row>
    <row r="9" spans="1:22">
      <c r="B9" s="69">
        <v>1500192169</v>
      </c>
      <c r="C9" s="69" t="s">
        <v>222</v>
      </c>
      <c r="D9" s="69">
        <v>1340</v>
      </c>
      <c r="E9" s="90"/>
      <c r="F9" s="69">
        <v>0.67</v>
      </c>
      <c r="G9" s="69">
        <v>0.67</v>
      </c>
      <c r="H9" s="69">
        <v>0.56999999999999995</v>
      </c>
      <c r="I9" s="69">
        <v>0.56999999999999995</v>
      </c>
      <c r="J9" s="69">
        <v>0.56999999999999995</v>
      </c>
      <c r="K9" s="90"/>
      <c r="L9" s="69">
        <v>0.67</v>
      </c>
      <c r="M9" s="69">
        <v>0.67</v>
      </c>
      <c r="N9" s="69">
        <v>0.56999999999999995</v>
      </c>
      <c r="O9" s="69">
        <v>0.56999999999999995</v>
      </c>
      <c r="P9" s="69">
        <v>0.56999999999999995</v>
      </c>
      <c r="Q9" s="90"/>
      <c r="R9" s="69"/>
      <c r="S9" s="69"/>
      <c r="T9" s="69"/>
      <c r="U9" s="69"/>
      <c r="V9" s="69"/>
    </row>
    <row r="10" spans="1:22">
      <c r="B10" s="69" t="s">
        <v>221</v>
      </c>
      <c r="C10" s="69"/>
      <c r="D10" s="69"/>
      <c r="E10" s="90"/>
      <c r="F10" s="69" t="s">
        <v>221</v>
      </c>
      <c r="G10" s="69"/>
      <c r="H10" s="69"/>
      <c r="I10" s="69"/>
      <c r="J10" s="69"/>
      <c r="K10" s="90"/>
      <c r="L10" s="69"/>
      <c r="M10" s="69"/>
      <c r="N10" s="69"/>
      <c r="O10" s="69"/>
      <c r="P10" s="69"/>
      <c r="Q10" s="90"/>
      <c r="R10" s="69"/>
      <c r="S10" s="69"/>
      <c r="T10" s="69"/>
      <c r="U10" s="69"/>
      <c r="V10" s="69"/>
    </row>
    <row r="11" spans="1:22">
      <c r="B11" s="69"/>
      <c r="C11" s="69"/>
      <c r="D11" s="69"/>
      <c r="E11" s="90"/>
      <c r="F11" s="69"/>
      <c r="G11" s="69"/>
      <c r="H11" s="69"/>
      <c r="I11" s="69"/>
      <c r="J11" s="69"/>
      <c r="K11" s="90"/>
      <c r="L11" s="69"/>
      <c r="M11" s="69"/>
      <c r="N11" s="69"/>
      <c r="O11" s="69"/>
      <c r="P11" s="69"/>
      <c r="Q11" s="90"/>
      <c r="R11" s="69"/>
      <c r="S11" s="69"/>
      <c r="T11" s="69"/>
      <c r="U11" s="69"/>
      <c r="V11" s="69"/>
    </row>
    <row r="12" spans="1:22">
      <c r="B12" s="69"/>
      <c r="C12" s="69"/>
      <c r="D12" s="69"/>
      <c r="E12" s="90"/>
      <c r="F12" s="69"/>
      <c r="G12" s="69"/>
      <c r="H12" s="69"/>
      <c r="I12" s="69"/>
      <c r="J12" s="69"/>
      <c r="K12" s="90"/>
      <c r="L12" s="69"/>
      <c r="M12" s="69"/>
      <c r="N12" s="69"/>
      <c r="O12" s="69"/>
      <c r="P12" s="69"/>
      <c r="Q12" s="90"/>
      <c r="R12" s="69"/>
      <c r="S12" s="69"/>
      <c r="T12" s="69"/>
      <c r="U12" s="69"/>
      <c r="V12" s="69"/>
    </row>
    <row r="13" spans="1:22">
      <c r="B13" s="69"/>
      <c r="C13" s="69"/>
      <c r="D13" s="69"/>
      <c r="E13" s="90"/>
      <c r="F13" s="69"/>
      <c r="G13" s="69"/>
      <c r="H13" s="69"/>
      <c r="I13" s="69"/>
      <c r="J13" s="69"/>
      <c r="K13" s="90"/>
      <c r="L13" s="69"/>
      <c r="M13" s="69"/>
      <c r="N13" s="69"/>
      <c r="O13" s="69"/>
      <c r="P13" s="69"/>
      <c r="Q13" s="90"/>
      <c r="R13" s="69"/>
      <c r="S13" s="69"/>
      <c r="T13" s="69"/>
      <c r="U13" s="69"/>
      <c r="V13" s="69"/>
    </row>
    <row r="14" spans="1:22">
      <c r="B14" s="69"/>
      <c r="C14" s="69"/>
      <c r="D14" s="69"/>
      <c r="E14" s="90"/>
      <c r="F14" s="69"/>
      <c r="G14" s="69"/>
      <c r="H14" s="69"/>
      <c r="I14" s="69"/>
      <c r="J14" s="69"/>
      <c r="K14" s="90"/>
      <c r="L14" s="69"/>
      <c r="M14" s="69"/>
      <c r="N14" s="69"/>
      <c r="O14" s="69"/>
      <c r="P14" s="69"/>
      <c r="Q14" s="90"/>
      <c r="R14" s="69"/>
      <c r="S14" s="69"/>
      <c r="T14" s="69"/>
      <c r="U14" s="69"/>
      <c r="V14" s="69"/>
    </row>
    <row r="15" spans="1:22">
      <c r="B15" s="69"/>
      <c r="C15" s="69"/>
      <c r="D15" s="69"/>
      <c r="E15" s="90"/>
      <c r="F15" s="69"/>
      <c r="G15" s="69"/>
      <c r="H15" s="69"/>
      <c r="I15" s="69"/>
      <c r="J15" s="69"/>
      <c r="K15" s="90"/>
      <c r="L15" s="69"/>
      <c r="M15" s="69"/>
      <c r="N15" s="69"/>
      <c r="O15" s="69"/>
      <c r="P15" s="69"/>
      <c r="Q15" s="90"/>
      <c r="R15" s="69"/>
      <c r="S15" s="69"/>
      <c r="T15" s="69"/>
      <c r="U15" s="69"/>
      <c r="V15" s="69"/>
    </row>
    <row r="16" spans="1:22">
      <c r="B16" s="69"/>
      <c r="C16" s="69"/>
      <c r="D16" s="69"/>
      <c r="E16" s="90"/>
      <c r="F16" s="69"/>
      <c r="G16" s="69"/>
      <c r="H16" s="69"/>
      <c r="I16" s="69"/>
      <c r="J16" s="69"/>
      <c r="K16" s="90"/>
      <c r="L16" s="69"/>
      <c r="M16" s="69"/>
      <c r="N16" s="69"/>
      <c r="O16" s="69"/>
      <c r="P16" s="69"/>
      <c r="Q16" s="90"/>
      <c r="R16" s="69"/>
      <c r="S16" s="69"/>
      <c r="T16" s="69"/>
      <c r="U16" s="69"/>
      <c r="V16" s="69"/>
    </row>
    <row r="17" spans="2:22">
      <c r="B17" s="69"/>
      <c r="C17" s="69"/>
      <c r="D17" s="69"/>
      <c r="E17" s="90"/>
      <c r="F17" s="69"/>
      <c r="G17" s="69"/>
      <c r="H17" s="69"/>
      <c r="I17" s="69"/>
      <c r="J17" s="69"/>
      <c r="K17" s="90"/>
      <c r="L17" s="69"/>
      <c r="M17" s="69"/>
      <c r="N17" s="69"/>
      <c r="O17" s="69"/>
      <c r="P17" s="69"/>
      <c r="Q17" s="90"/>
      <c r="R17" s="69"/>
      <c r="S17" s="69"/>
      <c r="T17" s="69"/>
      <c r="U17" s="69"/>
      <c r="V17" s="69"/>
    </row>
    <row r="18" spans="2:22">
      <c r="B18" s="69"/>
      <c r="C18" s="69"/>
      <c r="D18" s="69"/>
      <c r="E18" s="90"/>
      <c r="F18" s="69"/>
      <c r="G18" s="69"/>
      <c r="H18" s="69"/>
      <c r="I18" s="69"/>
      <c r="J18" s="69"/>
      <c r="K18" s="90"/>
      <c r="L18" s="69"/>
      <c r="M18" s="69"/>
      <c r="N18" s="69"/>
      <c r="O18" s="69"/>
      <c r="P18" s="69"/>
      <c r="Q18" s="90"/>
      <c r="R18" s="69"/>
      <c r="S18" s="69"/>
      <c r="T18" s="69"/>
      <c r="U18" s="69"/>
      <c r="V18" s="69"/>
    </row>
    <row r="19" spans="2:22">
      <c r="B19" s="69"/>
      <c r="C19" s="69"/>
      <c r="D19" s="69"/>
      <c r="E19" s="90"/>
      <c r="F19" s="69"/>
      <c r="G19" s="69"/>
      <c r="H19" s="69"/>
      <c r="I19" s="69"/>
      <c r="J19" s="69"/>
      <c r="K19" s="90"/>
      <c r="L19" s="69"/>
      <c r="M19" s="69"/>
      <c r="N19" s="69"/>
      <c r="O19" s="69"/>
      <c r="P19" s="69"/>
      <c r="Q19" s="90"/>
      <c r="R19" s="69"/>
      <c r="S19" s="69"/>
      <c r="T19" s="69"/>
      <c r="U19" s="69"/>
      <c r="V19" s="69"/>
    </row>
    <row r="20" spans="2:22">
      <c r="B20" s="69"/>
      <c r="C20" s="69"/>
      <c r="D20" s="69"/>
      <c r="E20" s="90"/>
      <c r="F20" s="69"/>
      <c r="G20" s="69"/>
      <c r="H20" s="69"/>
      <c r="I20" s="69"/>
      <c r="J20" s="69"/>
      <c r="K20" s="90"/>
      <c r="L20" s="69"/>
      <c r="M20" s="69"/>
      <c r="N20" s="69"/>
      <c r="O20" s="69"/>
      <c r="P20" s="69"/>
      <c r="Q20" s="90"/>
      <c r="R20" s="69"/>
      <c r="S20" s="69"/>
      <c r="T20" s="69"/>
      <c r="U20" s="69"/>
      <c r="V20" s="69"/>
    </row>
    <row r="21" spans="2:22">
      <c r="B21" s="69"/>
      <c r="C21" s="69"/>
      <c r="D21" s="69"/>
      <c r="E21" s="90"/>
      <c r="F21" s="69"/>
      <c r="G21" s="69"/>
      <c r="H21" s="69"/>
      <c r="I21" s="69"/>
      <c r="J21" s="69"/>
      <c r="K21" s="90"/>
      <c r="L21" s="69"/>
      <c r="M21" s="69"/>
      <c r="N21" s="69"/>
      <c r="O21" s="69"/>
      <c r="P21" s="69"/>
      <c r="Q21" s="90"/>
      <c r="R21" s="69"/>
      <c r="S21" s="69"/>
      <c r="T21" s="69"/>
      <c r="U21" s="69"/>
      <c r="V21" s="69"/>
    </row>
    <row r="22" spans="2:22">
      <c r="B22" s="69"/>
      <c r="C22" s="69"/>
      <c r="D22" s="69"/>
      <c r="E22" s="90"/>
      <c r="F22" s="69"/>
      <c r="G22" s="69"/>
      <c r="H22" s="69"/>
      <c r="I22" s="69"/>
      <c r="J22" s="69"/>
      <c r="K22" s="90"/>
      <c r="L22" s="69"/>
      <c r="M22" s="69"/>
      <c r="N22" s="69"/>
      <c r="O22" s="69"/>
      <c r="P22" s="69"/>
      <c r="Q22" s="90"/>
      <c r="R22" s="69"/>
      <c r="S22" s="69"/>
      <c r="T22" s="69"/>
      <c r="U22" s="69"/>
      <c r="V22" s="69"/>
    </row>
    <row r="23" spans="2:22">
      <c r="B23" s="69"/>
      <c r="C23" s="69"/>
      <c r="D23" s="69"/>
      <c r="E23" s="90"/>
      <c r="F23" s="69"/>
      <c r="G23" s="69"/>
      <c r="H23" s="69"/>
      <c r="I23" s="69"/>
      <c r="J23" s="69"/>
      <c r="K23" s="90"/>
      <c r="L23" s="69"/>
      <c r="M23" s="69"/>
      <c r="N23" s="69"/>
      <c r="O23" s="69"/>
      <c r="P23" s="69"/>
      <c r="Q23" s="90"/>
      <c r="R23" s="69"/>
      <c r="S23" s="69"/>
      <c r="T23" s="69"/>
      <c r="U23" s="69"/>
      <c r="V23" s="69"/>
    </row>
    <row r="24" spans="2:22">
      <c r="B24" s="69"/>
      <c r="C24" s="69"/>
      <c r="D24" s="69"/>
      <c r="E24" s="90"/>
      <c r="F24" s="69"/>
      <c r="G24" s="69"/>
      <c r="H24" s="69"/>
      <c r="I24" s="69"/>
      <c r="J24" s="69"/>
      <c r="K24" s="90"/>
      <c r="L24" s="69"/>
      <c r="M24" s="69"/>
      <c r="N24" s="69"/>
      <c r="O24" s="69"/>
      <c r="P24" s="69"/>
      <c r="Q24" s="90"/>
      <c r="R24" s="69"/>
      <c r="S24" s="69"/>
      <c r="T24" s="69"/>
      <c r="U24" s="69"/>
      <c r="V24" s="69"/>
    </row>
  </sheetData>
  <mergeCells count="2">
    <mergeCell ref="C2:P2"/>
    <mergeCell ref="E4:N4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>
    <tabColor theme="0" tint="-0.249977111117893"/>
  </sheetPr>
  <dimension ref="A1:P28"/>
  <sheetViews>
    <sheetView topLeftCell="B1" workbookViewId="0">
      <selection activeCell="J17" sqref="J17"/>
    </sheetView>
  </sheetViews>
  <sheetFormatPr defaultRowHeight="15.75"/>
  <cols>
    <col min="1" max="1" width="22" style="94" customWidth="1"/>
    <col min="2" max="2" width="27.85546875" style="94" customWidth="1"/>
    <col min="3" max="7" width="16" style="94" customWidth="1"/>
    <col min="8" max="9" width="10" style="94" customWidth="1"/>
    <col min="10" max="10" width="11.140625" style="94" bestFit="1" customWidth="1"/>
    <col min="11" max="11" width="15.5703125" style="94" customWidth="1"/>
    <col min="12" max="12" width="16.28515625" style="94" bestFit="1" customWidth="1"/>
    <col min="13" max="13" width="10.5703125" style="94" bestFit="1" customWidth="1"/>
    <col min="14" max="14" width="21.140625" style="94" bestFit="1" customWidth="1"/>
    <col min="15" max="15" width="17.5703125" style="94" bestFit="1" customWidth="1"/>
    <col min="16" max="16" width="20.85546875" style="94" bestFit="1" customWidth="1"/>
    <col min="17" max="16384" width="9.140625" style="94"/>
  </cols>
  <sheetData>
    <row r="1" spans="1:16">
      <c r="A1" s="26" t="s">
        <v>179</v>
      </c>
      <c r="B1" s="24">
        <v>42111</v>
      </c>
    </row>
    <row r="2" spans="1:16">
      <c r="A2" s="26"/>
      <c r="B2" s="24"/>
    </row>
    <row r="3" spans="1:16">
      <c r="A3" s="94" t="s">
        <v>178</v>
      </c>
      <c r="B3" s="94" t="s">
        <v>177</v>
      </c>
      <c r="C3" s="94" t="s">
        <v>173</v>
      </c>
      <c r="D3" s="94" t="s">
        <v>174</v>
      </c>
      <c r="E3" s="94" t="s">
        <v>175</v>
      </c>
      <c r="F3" s="94" t="s">
        <v>176</v>
      </c>
      <c r="G3" s="94" t="s">
        <v>181</v>
      </c>
      <c r="H3" s="94" t="s">
        <v>182</v>
      </c>
      <c r="I3" s="94" t="s">
        <v>183</v>
      </c>
      <c r="J3" s="94" t="s">
        <v>42</v>
      </c>
      <c r="K3" s="94" t="s">
        <v>184</v>
      </c>
      <c r="L3" s="94" t="s">
        <v>185</v>
      </c>
      <c r="M3" s="94" t="s">
        <v>188</v>
      </c>
      <c r="N3" s="94" t="s">
        <v>47</v>
      </c>
      <c r="O3" s="94" t="s">
        <v>187</v>
      </c>
      <c r="P3" s="94" t="s">
        <v>186</v>
      </c>
    </row>
    <row r="4" spans="1:16">
      <c r="A4" s="95">
        <v>3</v>
      </c>
      <c r="B4" s="95">
        <v>2015</v>
      </c>
      <c r="C4" s="95">
        <v>98.65</v>
      </c>
      <c r="D4" s="95">
        <v>99.79</v>
      </c>
      <c r="E4" s="95">
        <v>99.18</v>
      </c>
      <c r="F4" s="95">
        <v>311.64</v>
      </c>
      <c r="G4" s="95">
        <v>896</v>
      </c>
      <c r="H4" s="96">
        <v>0.87</v>
      </c>
      <c r="I4" s="96">
        <v>0.75</v>
      </c>
      <c r="J4" s="95">
        <v>61</v>
      </c>
      <c r="K4" s="95">
        <v>64</v>
      </c>
      <c r="L4" s="95">
        <v>81</v>
      </c>
      <c r="M4" s="94">
        <v>3</v>
      </c>
      <c r="N4" s="94">
        <v>2</v>
      </c>
      <c r="O4" s="94">
        <v>0</v>
      </c>
    </row>
    <row r="5" spans="1:16">
      <c r="B5" s="95">
        <v>2014</v>
      </c>
      <c r="C5" s="95">
        <v>99.59</v>
      </c>
      <c r="D5" s="95">
        <v>99.49</v>
      </c>
      <c r="E5" s="95">
        <v>98.55</v>
      </c>
      <c r="F5" s="95">
        <v>3207.28</v>
      </c>
      <c r="G5" s="95">
        <v>4522</v>
      </c>
      <c r="H5" s="96">
        <v>0.76</v>
      </c>
      <c r="I5" s="96">
        <v>0.7</v>
      </c>
      <c r="J5" s="95">
        <v>58</v>
      </c>
      <c r="K5" s="95">
        <v>354</v>
      </c>
      <c r="L5" s="95">
        <v>443</v>
      </c>
      <c r="M5" s="94">
        <v>1</v>
      </c>
      <c r="N5" s="94">
        <v>3</v>
      </c>
      <c r="O5" s="94">
        <v>1</v>
      </c>
      <c r="P5" s="97">
        <v>1</v>
      </c>
    </row>
    <row r="6" spans="1:16">
      <c r="B6" s="95">
        <v>2013</v>
      </c>
      <c r="C6" s="95">
        <v>100.37</v>
      </c>
      <c r="D6" s="95">
        <v>100.29</v>
      </c>
      <c r="E6" s="95">
        <v>100.24</v>
      </c>
      <c r="F6" s="95">
        <v>-354.2</v>
      </c>
      <c r="G6" s="95">
        <v>4164</v>
      </c>
      <c r="H6" s="96">
        <v>0.83</v>
      </c>
      <c r="I6" s="96">
        <v>0.71</v>
      </c>
      <c r="J6" s="95">
        <v>60</v>
      </c>
      <c r="K6" s="95">
        <v>283</v>
      </c>
      <c r="L6" s="95">
        <v>319</v>
      </c>
      <c r="M6" s="94">
        <v>2</v>
      </c>
      <c r="N6" s="94">
        <v>4</v>
      </c>
      <c r="O6" s="94">
        <v>1</v>
      </c>
      <c r="P6" s="97">
        <v>1</v>
      </c>
    </row>
    <row r="7" spans="1:16">
      <c r="B7" s="95">
        <v>2012</v>
      </c>
      <c r="C7" s="95">
        <v>101.46</v>
      </c>
      <c r="D7" s="95">
        <v>100.66</v>
      </c>
      <c r="E7" s="95">
        <v>99.72</v>
      </c>
      <c r="F7" s="95">
        <v>610.42999999999995</v>
      </c>
      <c r="G7" s="95">
        <v>2031</v>
      </c>
      <c r="H7" s="96">
        <v>0</v>
      </c>
      <c r="I7" s="96">
        <v>0</v>
      </c>
      <c r="J7" s="95">
        <v>0</v>
      </c>
      <c r="K7" s="95">
        <v>0</v>
      </c>
      <c r="L7" s="95">
        <v>0</v>
      </c>
      <c r="M7" s="94">
        <v>3</v>
      </c>
      <c r="N7" s="94">
        <v>1</v>
      </c>
      <c r="O7" s="94">
        <v>0</v>
      </c>
      <c r="P7" s="94">
        <v>0</v>
      </c>
    </row>
    <row r="8" spans="1:16">
      <c r="B8" s="95">
        <v>2011</v>
      </c>
      <c r="C8" s="95">
        <v>105.46</v>
      </c>
      <c r="D8" s="95">
        <v>104.65</v>
      </c>
      <c r="E8" s="95">
        <v>102.56</v>
      </c>
      <c r="F8" s="95">
        <v>-5468.09</v>
      </c>
      <c r="G8" s="95">
        <v>0</v>
      </c>
      <c r="H8" s="96">
        <v>0</v>
      </c>
      <c r="I8" s="96">
        <v>0</v>
      </c>
      <c r="J8" s="95">
        <v>0</v>
      </c>
      <c r="K8" s="95">
        <v>0</v>
      </c>
      <c r="L8" s="95">
        <v>0</v>
      </c>
      <c r="M8" s="94">
        <v>10</v>
      </c>
      <c r="N8" s="94">
        <v>2</v>
      </c>
      <c r="O8" s="94">
        <v>0</v>
      </c>
      <c r="P8" s="94">
        <v>0</v>
      </c>
    </row>
    <row r="25" spans="4:4">
      <c r="D25" s="95"/>
    </row>
    <row r="26" spans="4:4">
      <c r="D26" s="95"/>
    </row>
    <row r="27" spans="4:4">
      <c r="D27" s="95"/>
    </row>
    <row r="28" spans="4:4">
      <c r="D28" s="95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"/>
  <sheetViews>
    <sheetView workbookViewId="0">
      <selection activeCell="E21" sqref="E21"/>
    </sheetView>
  </sheetViews>
  <sheetFormatPr defaultRowHeight="15"/>
  <cols>
    <col min="1" max="1" width="13.28515625" bestFit="1" customWidth="1"/>
    <col min="2" max="2" width="21.85546875" bestFit="1" customWidth="1"/>
    <col min="3" max="7" width="12" bestFit="1" customWidth="1"/>
    <col min="8" max="11" width="12.7109375" bestFit="1" customWidth="1"/>
  </cols>
  <sheetData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116</vt:i4>
      </vt:variant>
    </vt:vector>
  </HeadingPairs>
  <TitlesOfParts>
    <vt:vector size="127" baseType="lpstr">
      <vt:lpstr>1 Front</vt:lpstr>
      <vt:lpstr>2 Turnover</vt:lpstr>
      <vt:lpstr>Scorecard</vt:lpstr>
      <vt:lpstr>Contractual terms</vt:lpstr>
      <vt:lpstr>Tooling</vt:lpstr>
      <vt:lpstr>Sustainable Development</vt:lpstr>
      <vt:lpstr>Factory &amp; Contact</vt:lpstr>
      <vt:lpstr>SIF &amp; IDS</vt:lpstr>
      <vt:lpstr>CMMF Price List</vt:lpstr>
      <vt:lpstr>Scorecardrawdata</vt:lpstr>
      <vt:lpstr>TurnoverRawData</vt:lpstr>
      <vt:lpstr>currentmonth</vt:lpstr>
      <vt:lpstr>currentyear</vt:lpstr>
      <vt:lpstr>FilterAmt</vt:lpstr>
      <vt:lpstr>FilterAmt1</vt:lpstr>
      <vt:lpstr>FilterAmt2</vt:lpstr>
      <vt:lpstr>FilterAmt3</vt:lpstr>
      <vt:lpstr>FilterAmt4</vt:lpstr>
      <vt:lpstr>filterapplied</vt:lpstr>
      <vt:lpstr>FilterQty</vt:lpstr>
      <vt:lpstr>FilterQty1</vt:lpstr>
      <vt:lpstr>FilterQty2</vt:lpstr>
      <vt:lpstr>FilterQty3</vt:lpstr>
      <vt:lpstr>FilterQty4</vt:lpstr>
      <vt:lpstr>frontbrand</vt:lpstr>
      <vt:lpstr>frontcmmf</vt:lpstr>
      <vt:lpstr>frontcommercialcode</vt:lpstr>
      <vt:lpstr>frontfamily</vt:lpstr>
      <vt:lpstr>frontproductype</vt:lpstr>
      <vt:lpstr>frontrangecode</vt:lpstr>
      <vt:lpstr>frontsbu</vt:lpstr>
      <vt:lpstr>frontsebasiaplatform</vt:lpstr>
      <vt:lpstr>frontshortname</vt:lpstr>
      <vt:lpstr>frontsuppliercode</vt:lpstr>
      <vt:lpstr>frontsuppliername</vt:lpstr>
      <vt:lpstr>frontvendorstatus</vt:lpstr>
      <vt:lpstr>frontyearperiod</vt:lpstr>
      <vt:lpstr>issuedate</vt:lpstr>
      <vt:lpstr>monthrange</vt:lpstr>
      <vt:lpstr>nqsu</vt:lpstr>
      <vt:lpstr>nqsu1</vt:lpstr>
      <vt:lpstr>nqsu2</vt:lpstr>
      <vt:lpstr>nqsu3</vt:lpstr>
      <vt:lpstr>nqsu4</vt:lpstr>
      <vt:lpstr>pdpot</vt:lpstr>
      <vt:lpstr>pdpot1</vt:lpstr>
      <vt:lpstr>pdpot2</vt:lpstr>
      <vt:lpstr>pdpot3</vt:lpstr>
      <vt:lpstr>pdpot4</vt:lpstr>
      <vt:lpstr>pdramp</vt:lpstr>
      <vt:lpstr>pdramp1</vt:lpstr>
      <vt:lpstr>pdramp2</vt:lpstr>
      <vt:lpstr>pdramp3</vt:lpstr>
      <vt:lpstr>pdramp4</vt:lpstr>
      <vt:lpstr>pdrp14</vt:lpstr>
      <vt:lpstr>pdrp141</vt:lpstr>
      <vt:lpstr>pdrp142</vt:lpstr>
      <vt:lpstr>pdrp143</vt:lpstr>
      <vt:lpstr>pdrp144</vt:lpstr>
      <vt:lpstr>pdrp5</vt:lpstr>
      <vt:lpstr>pdrp51</vt:lpstr>
      <vt:lpstr>pdrp52</vt:lpstr>
      <vt:lpstr>pdrp53</vt:lpstr>
      <vt:lpstr>pdrp54</vt:lpstr>
      <vt:lpstr>piavg</vt:lpstr>
      <vt:lpstr>piavg1</vt:lpstr>
      <vt:lpstr>piavg2</vt:lpstr>
      <vt:lpstr>piavg3</vt:lpstr>
      <vt:lpstr>piavg4</vt:lpstr>
      <vt:lpstr>pilkp</vt:lpstr>
      <vt:lpstr>pilkp1</vt:lpstr>
      <vt:lpstr>pilkp2</vt:lpstr>
      <vt:lpstr>pilkp3</vt:lpstr>
      <vt:lpstr>pilkp4</vt:lpstr>
      <vt:lpstr>pistd</vt:lpstr>
      <vt:lpstr>pistd1</vt:lpstr>
      <vt:lpstr>pistd2</vt:lpstr>
      <vt:lpstr>pistd3</vt:lpstr>
      <vt:lpstr>pistd4</vt:lpstr>
      <vt:lpstr>'1 Front'!Print_Area</vt:lpstr>
      <vt:lpstr>'2 Turnover'!Print_Area</vt:lpstr>
      <vt:lpstr>producttype</vt:lpstr>
      <vt:lpstr>pvstd</vt:lpstr>
      <vt:lpstr>pvstd1</vt:lpstr>
      <vt:lpstr>pvstd2</vt:lpstr>
      <vt:lpstr>pvstd3</vt:lpstr>
      <vt:lpstr>pvstd4</vt:lpstr>
      <vt:lpstr>sclt</vt:lpstr>
      <vt:lpstr>sclt1</vt:lpstr>
      <vt:lpstr>sclt2</vt:lpstr>
      <vt:lpstr>sclt3</vt:lpstr>
      <vt:lpstr>sclt4</vt:lpstr>
      <vt:lpstr>scno</vt:lpstr>
      <vt:lpstr>scno1</vt:lpstr>
      <vt:lpstr>scno2</vt:lpstr>
      <vt:lpstr>scno3</vt:lpstr>
      <vt:lpstr>scno4</vt:lpstr>
      <vt:lpstr>scsasl</vt:lpstr>
      <vt:lpstr>scsasl1</vt:lpstr>
      <vt:lpstr>scsasl2</vt:lpstr>
      <vt:lpstr>scsasl3</vt:lpstr>
      <vt:lpstr>scsasl4</vt:lpstr>
      <vt:lpstr>scsh</vt:lpstr>
      <vt:lpstr>scsh1</vt:lpstr>
      <vt:lpstr>scsh2</vt:lpstr>
      <vt:lpstr>scsh3</vt:lpstr>
      <vt:lpstr>scsh4</vt:lpstr>
      <vt:lpstr>scssl</vt:lpstr>
      <vt:lpstr>scssl1</vt:lpstr>
      <vt:lpstr>scssl2</vt:lpstr>
      <vt:lpstr>scssl3</vt:lpstr>
      <vt:lpstr>scssl4</vt:lpstr>
      <vt:lpstr>sify</vt:lpstr>
      <vt:lpstr>sify1</vt:lpstr>
      <vt:lpstr>sify2</vt:lpstr>
      <vt:lpstr>sify3</vt:lpstr>
      <vt:lpstr>sify4</vt:lpstr>
      <vt:lpstr>TOSEBAMT</vt:lpstr>
      <vt:lpstr>TOSEBAMT1</vt:lpstr>
      <vt:lpstr>TOSEBAMT2</vt:lpstr>
      <vt:lpstr>TOSEBAMT3</vt:lpstr>
      <vt:lpstr>TOSEBAMT4</vt:lpstr>
      <vt:lpstr>TOSEBQTY</vt:lpstr>
      <vt:lpstr>TOSEBQTY1</vt:lpstr>
      <vt:lpstr>TOSEBQTY2</vt:lpstr>
      <vt:lpstr>TOSEBQTY3</vt:lpstr>
      <vt:lpstr>TOSEBQTY4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2015-10-14T09:03:47Z</dcterms:modified>
</cp:coreProperties>
</file>