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240" yWindow="45" windowWidth="18990" windowHeight="6690" tabRatio="887"/>
  </bookViews>
  <sheets>
    <sheet name="Summary(Contract)" sheetId="9" r:id="rId1"/>
    <sheet name="All(Contract)" sheetId="7" state="hidden" r:id="rId2"/>
    <sheet name="FG page(Contract)" sheetId="2" state="hidden" r:id="rId3"/>
    <sheet name="CP page(Contract)" sheetId="6" state="hidden" r:id="rId4"/>
    <sheet name="FP, CP page(Payment terms)" sheetId="12" state="hidden" r:id="rId5"/>
    <sheet name="FP, CP page(NQSU)" sheetId="11" state="hidden" r:id="rId6"/>
    <sheet name="FP, CP page(Leadtime, SASL)" sheetId="10" state="hidden" r:id="rId7"/>
    <sheet name="Def" sheetId="21" state="hidden" r:id="rId8"/>
    <sheet name="Sheet1" sheetId="22" r:id="rId9"/>
  </sheets>
  <calcPr calcId="125725"/>
  <pivotCaches>
    <pivotCache cacheId="0" r:id="rId10"/>
  </pivotCaches>
</workbook>
</file>

<file path=xl/calcChain.xml><?xml version="1.0" encoding="utf-8"?>
<calcChain xmlns="http://schemas.openxmlformats.org/spreadsheetml/2006/main">
  <c r="S10" i="9"/>
  <c r="F10"/>
  <c r="G10"/>
  <c r="S9"/>
  <c r="T11"/>
  <c r="T9"/>
  <c r="F9"/>
  <c r="T10"/>
  <c r="F11"/>
  <c r="G9"/>
  <c r="S11"/>
  <c r="G11"/>
  <c r="H11" l="1"/>
  <c r="H9"/>
  <c r="U10"/>
  <c r="U9"/>
  <c r="U11"/>
  <c r="H10"/>
</calcChain>
</file>

<file path=xl/sharedStrings.xml><?xml version="1.0" encoding="utf-8"?>
<sst xmlns="http://schemas.openxmlformats.org/spreadsheetml/2006/main" count="2540" uniqueCount="663">
  <si>
    <t>vendorcode</t>
  </si>
  <si>
    <t>vendorname</t>
  </si>
  <si>
    <t>shortname</t>
  </si>
  <si>
    <t>levelname</t>
  </si>
  <si>
    <t>docdate</t>
  </si>
  <si>
    <t>version</t>
  </si>
  <si>
    <t>paymentterm</t>
  </si>
  <si>
    <t>leadtime</t>
  </si>
  <si>
    <t>sasl</t>
  </si>
  <si>
    <t>nqsu</t>
  </si>
  <si>
    <t>projectname</t>
  </si>
  <si>
    <t>category</t>
  </si>
  <si>
    <t>MAIN POWER ELECTRICAL FACTORY LTD</t>
  </si>
  <si>
    <t>MAIN POWER</t>
  </si>
  <si>
    <t>B</t>
  </si>
  <si>
    <t>37E9 - Before End in 3 months Due net 37E9</t>
  </si>
  <si>
    <t>SIMATELEX MANUFACTORY CO</t>
  </si>
  <si>
    <t>SIMATELEX</t>
  </si>
  <si>
    <t>37E3 - 30 days end of month due net on posting date 37E3</t>
  </si>
  <si>
    <t>A</t>
  </si>
  <si>
    <t>JOHNSON ELECTRIC INDUSTRIAL</t>
  </si>
  <si>
    <t>JOHNSON</t>
  </si>
  <si>
    <t>37E6 - 60 days end of month due net on posting date 37E6</t>
  </si>
  <si>
    <t>ALLAN ELECTRIC MANUFACTURING LTD</t>
  </si>
  <si>
    <t>ALLAN</t>
  </si>
  <si>
    <t>CHUNG MEI INDUSTRIES LTD</t>
  </si>
  <si>
    <t>CHUNG MEI</t>
  </si>
  <si>
    <t>37D9 - Within 90 days Due net on posting date 37D9</t>
  </si>
  <si>
    <t>ELECTRICAL &amp; ELECTRONICS LTD</t>
  </si>
  <si>
    <t>E &amp; E</t>
  </si>
  <si>
    <t>37D3 - Within 30 days Due net on Posting date 37D3</t>
  </si>
  <si>
    <t>HOLLYLAND COMPANY LIMITED</t>
  </si>
  <si>
    <t>HOLLYLAND</t>
  </si>
  <si>
    <t>37D6 - Within 60 days Due net on posting date 37D6</t>
  </si>
  <si>
    <t>DEFOND</t>
  </si>
  <si>
    <t>MANUFACTURER B</t>
  </si>
  <si>
    <t>THERMASTER ELECTRONIC (XIAMEN) LTD</t>
  </si>
  <si>
    <t>THERMASTER</t>
  </si>
  <si>
    <t>EXPERT A</t>
  </si>
  <si>
    <t>WIK FAR EAST LTD</t>
  </si>
  <si>
    <t>WIK</t>
  </si>
  <si>
    <t>SINO JAPAN ELECTRIC HEATER CO LTD</t>
  </si>
  <si>
    <t>SINO JAPAN</t>
  </si>
  <si>
    <t>MANUFACTURER A</t>
  </si>
  <si>
    <t>DEL COMPONENTS LIMITED</t>
  </si>
  <si>
    <t>DEFOND COMPONENTS</t>
  </si>
  <si>
    <t>MANUFACTURER D</t>
  </si>
  <si>
    <t>KARAN ELECTRIC MANUFACTURING LTD</t>
  </si>
  <si>
    <t>GOLD TUNING TRADING CO.LTD</t>
  </si>
  <si>
    <t>GOLD TUNING</t>
  </si>
  <si>
    <t>SUN FAI INDUSTRIAL CO</t>
  </si>
  <si>
    <t>SUN FAI</t>
  </si>
  <si>
    <t>KUPO Co Ltd</t>
  </si>
  <si>
    <t>KUPO</t>
  </si>
  <si>
    <t>Jack Pot Manufacturer Corp</t>
  </si>
  <si>
    <t>JACK POT</t>
  </si>
  <si>
    <t>37D4 - Within 45 days due net on posting date</t>
  </si>
  <si>
    <t>Uni-Splendor Corporation</t>
  </si>
  <si>
    <t>UNI-SPLENDOR</t>
  </si>
  <si>
    <t>D</t>
  </si>
  <si>
    <t>CHAU S ELECTRICAL CO LTD</t>
  </si>
  <si>
    <t>CHAU"S</t>
  </si>
  <si>
    <t>WAON Development Ltd.</t>
  </si>
  <si>
    <t>AIRMATE</t>
  </si>
  <si>
    <t>PEARL SUMMIT LIMITED</t>
  </si>
  <si>
    <t>YIDA</t>
  </si>
  <si>
    <t>MOTOR ELECTRIC MFG CO LTD</t>
  </si>
  <si>
    <t>MOTOR ELECTRIC</t>
  </si>
  <si>
    <t>37E4 - 45 days end of month Due net on posting date</t>
  </si>
  <si>
    <t>XIAMEN ANLIAN ENTREPRISE CO LTD</t>
  </si>
  <si>
    <t>ANLIAN</t>
  </si>
  <si>
    <t>COILS ELECTRONIC CO LTD</t>
  </si>
  <si>
    <t>COILS</t>
  </si>
  <si>
    <t>KENFORD INDUSTRIAL CO LTD</t>
  </si>
  <si>
    <t>KENFORD</t>
  </si>
  <si>
    <t>KWONNIE ELECTRICAL PRODUCTS LTD</t>
  </si>
  <si>
    <t>KWONNIE</t>
  </si>
  <si>
    <t>EASTERN SOURCES HOUSEWARES HK LTD</t>
  </si>
  <si>
    <t>EASTERN SOURCES</t>
  </si>
  <si>
    <t>JOIN STAR INDUSTRIAL LIMITED</t>
  </si>
  <si>
    <t>JOIN STAR</t>
  </si>
  <si>
    <t>YORKWELL INDUSTRIES LIMITED</t>
  </si>
  <si>
    <t>YORKWELL</t>
  </si>
  <si>
    <t>SUZHOU EUP ELECTRIC CO LTD</t>
  </si>
  <si>
    <t>EUP</t>
  </si>
  <si>
    <t>TA HSING ELECTRIC WIRE &amp; CABLE</t>
  </si>
  <si>
    <t>TA HSING</t>
  </si>
  <si>
    <t>Ya Horng Electronic Co., Ltd.</t>
  </si>
  <si>
    <t>YA HORNG</t>
  </si>
  <si>
    <t>NEW LEAF (HK) LTD</t>
  </si>
  <si>
    <t>NEW LEAF</t>
  </si>
  <si>
    <t>TSANN KUEN ZHANGZHOU  ENTREPRISE</t>
  </si>
  <si>
    <t>TSANN KUEN</t>
  </si>
  <si>
    <t>DEL INDUSTRIAL  LIMITED</t>
  </si>
  <si>
    <t>GLOBAL CIRCUITS BOARDS CO.LTD</t>
  </si>
  <si>
    <t>GLOBAL CIRCUITS BOARDS</t>
  </si>
  <si>
    <t>AIRTEK</t>
  </si>
  <si>
    <t>FAIRFORM MANUFACTURING COMPANY LTD</t>
  </si>
  <si>
    <t>FAIRFORM</t>
  </si>
  <si>
    <t>LINKFAIR HONG KONG  LIMITED</t>
  </si>
  <si>
    <t>LINKFAIR</t>
  </si>
  <si>
    <t>NINGBO GUL TZ RUBBER BELT CO LTD</t>
  </si>
  <si>
    <t>GUL TZ</t>
  </si>
  <si>
    <t>SUBCONTRACTOR A</t>
  </si>
  <si>
    <t>HOMEZEST ELECTRICAL MFG CO LTD</t>
  </si>
  <si>
    <t>HOMEZEST</t>
  </si>
  <si>
    <t>37E7 - 75 days end of month</t>
  </si>
  <si>
    <t>JUNJIA HK ELECTRIC MANFUCTURING CO</t>
  </si>
  <si>
    <t>JUNJIA</t>
  </si>
  <si>
    <t>THERMOKEY ELECTRIC INDUSTRIAL CORP</t>
  </si>
  <si>
    <t>THERMOKEY</t>
  </si>
  <si>
    <t>ABUNDANCE THERMO CONTROL FACTORY</t>
  </si>
  <si>
    <t>ABUNDANCE</t>
  </si>
  <si>
    <t>PACRIM INVESTMENT INTERNATIONAL Ltd</t>
  </si>
  <si>
    <t>PACRIM</t>
  </si>
  <si>
    <t>ABLEK TECHNOLOGY LTD</t>
  </si>
  <si>
    <t>ABLEK</t>
  </si>
  <si>
    <t>SEMCO CO Ltd</t>
  </si>
  <si>
    <t>SEMCO</t>
  </si>
  <si>
    <t>C</t>
  </si>
  <si>
    <t>FATIA INDUSTRIAL CO LTD</t>
  </si>
  <si>
    <t>FATIA</t>
  </si>
  <si>
    <t>PERENNIAL CABLE LTD</t>
  </si>
  <si>
    <t>PERENNIAL</t>
  </si>
  <si>
    <t>GD GALANZ MICROWAVE OVEN AND</t>
  </si>
  <si>
    <t>GALANZ</t>
  </si>
  <si>
    <t>GUANGDONG  ELECPRO ELE APP CO</t>
  </si>
  <si>
    <t>ELECPRO</t>
  </si>
  <si>
    <t>PATELEC NINGBO ELECTRIC CO LTD</t>
  </si>
  <si>
    <t>PATELEC</t>
  </si>
  <si>
    <t>BLUE ELECTRO INTERNATIONAL LTD</t>
  </si>
  <si>
    <t>BLUE ELECTRO</t>
  </si>
  <si>
    <t>X J GROUP LIMITED</t>
  </si>
  <si>
    <t>X J GROUP</t>
  </si>
  <si>
    <t>HOPEET ENTERPRISE CO LTD</t>
  </si>
  <si>
    <t>HOPEET</t>
  </si>
  <si>
    <t>KUNSHAN XINBAO PLASTIC PRODUCTS LTD</t>
  </si>
  <si>
    <t>KUNSHAN XINBAO</t>
  </si>
  <si>
    <t>MANUFACTURER C</t>
  </si>
  <si>
    <t>PT MITRA CITRA MAKMUR</t>
  </si>
  <si>
    <t>PT MITRA</t>
  </si>
  <si>
    <t>HIFACER CO LTD</t>
  </si>
  <si>
    <t>HIFACER</t>
  </si>
  <si>
    <t>SUN LUEN ELECTRICAL MANUFACTUR</t>
  </si>
  <si>
    <t>SUN LUEN</t>
  </si>
  <si>
    <t>JIANGMEN KELSON INDUSTRIES LTD</t>
  </si>
  <si>
    <t>KELSON</t>
  </si>
  <si>
    <t>ZHEJIANG CUORI ELECTRICAL</t>
  </si>
  <si>
    <t>CUORI</t>
  </si>
  <si>
    <t>DS MOTOR WAYMAN ASIA LTD</t>
  </si>
  <si>
    <t>DS MOTOR</t>
  </si>
  <si>
    <t>DESIGNER A</t>
  </si>
  <si>
    <t>ALPHA LIMITED</t>
  </si>
  <si>
    <t>ALPHA</t>
  </si>
  <si>
    <t>NINGBO HENGHE MOULD CO LTD</t>
  </si>
  <si>
    <t>HENGHE</t>
  </si>
  <si>
    <t>ELEC TECH INTER HK CO LTD</t>
  </si>
  <si>
    <t>ELECTECH</t>
  </si>
  <si>
    <t>CHI FUNG ELECTRONICS CO LTD</t>
  </si>
  <si>
    <t>CHI FUNG</t>
  </si>
  <si>
    <t>MERCHANT CORPORATION LTD</t>
  </si>
  <si>
    <t>MERCHANT</t>
  </si>
  <si>
    <t>SHANGHAI FUJITECH  PLASTIC CO LTD</t>
  </si>
  <si>
    <t>FUJITECH</t>
  </si>
  <si>
    <t>GUANG DONG XINBAO</t>
  </si>
  <si>
    <t>DONLIM</t>
  </si>
  <si>
    <t>SUZHOU HOWELL ELECTRIC APPLIANCES</t>
  </si>
  <si>
    <t>HOWELL</t>
  </si>
  <si>
    <t>EXPERT B</t>
  </si>
  <si>
    <t>TELEFIELD LTD</t>
  </si>
  <si>
    <t>TELEFIELD</t>
  </si>
  <si>
    <t>POWER MOTOR INDUSTRIAL CO LTD</t>
  </si>
  <si>
    <t>POWER MOTOR</t>
  </si>
  <si>
    <t>JIANGMEN OUDISI ELECTRIC CO LTD</t>
  </si>
  <si>
    <t>QIBAO</t>
  </si>
  <si>
    <t>SUBCONTRACTOR D</t>
  </si>
  <si>
    <t>JIANGSU BI GOLD NEW MATERIAL TECHN</t>
  </si>
  <si>
    <t>BI GOLD</t>
  </si>
  <si>
    <t>DESIGNER B</t>
  </si>
  <si>
    <t>GUANGDONG G TOP IMPORT AND EXPORT</t>
  </si>
  <si>
    <t>SINCERE HOME</t>
  </si>
  <si>
    <t>KJI Ind Ltd</t>
  </si>
  <si>
    <t>KJI</t>
  </si>
  <si>
    <t>SHEN ZHEN PRODOO ELE  APP CO LTD</t>
  </si>
  <si>
    <t>PRODOO</t>
  </si>
  <si>
    <t>BKZ HK INDUSTRIAL LTD</t>
  </si>
  <si>
    <t>BKZ HK</t>
  </si>
  <si>
    <t>SWIFT TONE TECHNOLOGY INC</t>
  </si>
  <si>
    <t>CHIAPHUA COMPONENTS LIMITED</t>
  </si>
  <si>
    <t>CHIAPHUA</t>
  </si>
  <si>
    <t>METROPOLITAN ELECTRICAL APP MFG LTD</t>
  </si>
  <si>
    <t>METROPOLITAN</t>
  </si>
  <si>
    <t>CONAN ELECTRIC MANUFACTURING LTD</t>
  </si>
  <si>
    <t>NINGBO HONGYI  ELECTRICAL APP CO</t>
  </si>
  <si>
    <t>HONGYI</t>
  </si>
  <si>
    <t>LIANTEK ELECTRICAL APP SZ CO LTD</t>
  </si>
  <si>
    <t>LIANTEK</t>
  </si>
  <si>
    <t>FOSHAN CITY SHUNDE DISTRICT</t>
  </si>
  <si>
    <t>HUIERJIA</t>
  </si>
  <si>
    <t>MAXTRONIX TECHNOLOGY LIMITED</t>
  </si>
  <si>
    <t>MAXTRONIX</t>
  </si>
  <si>
    <t>GUANGDONG GALANZ ELECTRICAL</t>
  </si>
  <si>
    <t>SUNSTRONG INTERNATIONAL IND LTD</t>
  </si>
  <si>
    <t>SUNSTRONG</t>
  </si>
  <si>
    <t>V MOTOR LIMITED</t>
  </si>
  <si>
    <t>V MOTOR</t>
  </si>
  <si>
    <t>ZHEJIANG YUELI ELECTRICAL CO LTD</t>
  </si>
  <si>
    <t>YUE LI</t>
  </si>
  <si>
    <t>VSA ELECTRONICS TECHNOLOGY</t>
  </si>
  <si>
    <t>VS</t>
  </si>
  <si>
    <t>SHANGHAI YIWEI TRADE CO LTD</t>
  </si>
  <si>
    <t>YIWEI</t>
  </si>
  <si>
    <t>FRIENDSHIP ENTERPRISES INTER LTD</t>
  </si>
  <si>
    <t>FRIENDSHIP</t>
  </si>
  <si>
    <t>SUN CUPID INDUSTRIES LTD</t>
  </si>
  <si>
    <t>SUN CUPID</t>
  </si>
  <si>
    <t>YUEQING DONGNAN ELECTRONICS CO LTD</t>
  </si>
  <si>
    <t>DONGNAN</t>
  </si>
  <si>
    <t>PT STAR COMGISTIC INDONESIA</t>
  </si>
  <si>
    <t>TSANN KUEN IND</t>
  </si>
  <si>
    <t>TIFFANY MATERIALS LTD</t>
  </si>
  <si>
    <t>TIFFANY</t>
  </si>
  <si>
    <t>ZHONGSHAN GUANGLONG GAS &amp; ELE APP</t>
  </si>
  <si>
    <t>GUANG LONG</t>
  </si>
  <si>
    <t>LUN DAR ELECTRIC IND CO LTD</t>
  </si>
  <si>
    <t>LUNDAR</t>
  </si>
  <si>
    <t>ROYAL ELECTRONIC FACTORY CO LTD</t>
  </si>
  <si>
    <t>ROYAL ELECTRONIC</t>
  </si>
  <si>
    <t>WESTA ELECTRIC APPLIANCES CO LTD</t>
  </si>
  <si>
    <t>WESTA</t>
  </si>
  <si>
    <t>YOU LONG ELECTRICAL INDUSTRIAL LTD</t>
  </si>
  <si>
    <t>YOU LONG</t>
  </si>
  <si>
    <t>SMART ELECTRIC MOTOR CO LTD</t>
  </si>
  <si>
    <t>SMART ELECTRIC</t>
  </si>
  <si>
    <t>COWAY CO LTD</t>
  </si>
  <si>
    <t>COWAY</t>
  </si>
  <si>
    <t>ZHEJIANG DAWEI ELECTRONIC CO LTD</t>
  </si>
  <si>
    <t>DAWEI</t>
  </si>
  <si>
    <t>ZHONGSHAN TRANSTEK TRADING CO LTD</t>
  </si>
  <si>
    <t>TRANSTEK</t>
  </si>
  <si>
    <t>SHANGHAI YING BAO PLASTIC HOSE LTD</t>
  </si>
  <si>
    <t>YING BAO</t>
  </si>
  <si>
    <t>HANOOL ROBOTICS CORP</t>
  </si>
  <si>
    <t>HANOOL</t>
  </si>
  <si>
    <t>ARABIN GROUP LIMITED</t>
  </si>
  <si>
    <t>OMAN</t>
  </si>
  <si>
    <t>BKZ INTERNATIONAL HK ENTERPRISE LTD</t>
  </si>
  <si>
    <t>FOSHAN SANSHUI DONGNAN ELE APP CO</t>
  </si>
  <si>
    <t>ACE DONGNAN</t>
  </si>
  <si>
    <t>panelstatus1</t>
  </si>
  <si>
    <t>paneldescription1</t>
  </si>
  <si>
    <t>panelstatus2</t>
  </si>
  <si>
    <t>paneldescription2</t>
  </si>
  <si>
    <t>(All)</t>
  </si>
  <si>
    <t>Grand Total</t>
  </si>
  <si>
    <t>(Multiple Items)</t>
  </si>
  <si>
    <t>Values</t>
  </si>
  <si>
    <t>Count of countFull</t>
  </si>
  <si>
    <t>DESIGNER A Total</t>
  </si>
  <si>
    <t>DESIGNER B Total</t>
  </si>
  <si>
    <t>EXPERT A Total</t>
  </si>
  <si>
    <t>EXPERT B Total</t>
  </si>
  <si>
    <t>MANUFACTURER A Total</t>
  </si>
  <si>
    <t>MANUFACTURER B Total</t>
  </si>
  <si>
    <t>MANUFACTURER C Total</t>
  </si>
  <si>
    <t>MANUFACTURER D Total</t>
  </si>
  <si>
    <t>SUBCONTRACTOR A Total</t>
  </si>
  <si>
    <t>SUBCONTRACTOR D Total</t>
  </si>
  <si>
    <t>A Total</t>
  </si>
  <si>
    <t>B Total</t>
  </si>
  <si>
    <t>C Total</t>
  </si>
  <si>
    <t>D Total</t>
  </si>
  <si>
    <t>FP Summary (full contract)</t>
  </si>
  <si>
    <t>CP Summary  (full contract)</t>
  </si>
  <si>
    <t>Contract details - All</t>
  </si>
  <si>
    <t>Contract details - FP</t>
  </si>
  <si>
    <t>Contract details - CP</t>
  </si>
  <si>
    <t>Contract details - Payment terms</t>
  </si>
  <si>
    <t>Contract details - NQSU</t>
  </si>
  <si>
    <t>Contract details - Lead time, SASL</t>
  </si>
  <si>
    <t>Sum of countFull</t>
  </si>
  <si>
    <t>isfull</t>
  </si>
  <si>
    <t>CINDERSON</t>
  </si>
  <si>
    <t>CRASTAL</t>
  </si>
  <si>
    <t>DA WANG YE</t>
  </si>
  <si>
    <t>DECHANG</t>
  </si>
  <si>
    <t>DICKSON</t>
  </si>
  <si>
    <t>EVER KING</t>
  </si>
  <si>
    <t>FUXIN</t>
  </si>
  <si>
    <t>GEW</t>
  </si>
  <si>
    <t>HAIYAN DONGHAI</t>
  </si>
  <si>
    <t>HANG SHUN HING</t>
  </si>
  <si>
    <t>HENSEN GLASS</t>
  </si>
  <si>
    <t>JIANLONG METAL</t>
  </si>
  <si>
    <t>JUNWILL</t>
  </si>
  <si>
    <t>LOMAK</t>
  </si>
  <si>
    <t>NAM CHING GLASS</t>
  </si>
  <si>
    <t>NY HANG</t>
  </si>
  <si>
    <t>ONYX</t>
  </si>
  <si>
    <t>PCI SHANGHAI</t>
  </si>
  <si>
    <t>SDS</t>
  </si>
  <si>
    <t>SMART TECH</t>
  </si>
  <si>
    <t>SUNNY</t>
  </si>
  <si>
    <t>TIANBO GANGLIAN</t>
  </si>
  <si>
    <t>WAN GUAN</t>
  </si>
  <si>
    <t>XILIN</t>
  </si>
  <si>
    <t>YOUNG AN</t>
  </si>
  <si>
    <t>SIP CINDERSON MOTOR CO LTD</t>
  </si>
  <si>
    <t>CRASTAL TRADING LIMITED</t>
  </si>
  <si>
    <t>GUANG DONG DA WANGYE ELECTRIC LTD</t>
  </si>
  <si>
    <t>NINGBO DECHANG ELECTRICAL MACHINERY</t>
  </si>
  <si>
    <t>DICKSON INDUSTRIAL CO LTD</t>
  </si>
  <si>
    <t>0001 - Payable immediately due net</t>
  </si>
  <si>
    <t>EVER KING HOUSEWARES MANUFACTURING</t>
  </si>
  <si>
    <t>GUANGDONG FUXIN TECHNOLOGY CO LTD</t>
  </si>
  <si>
    <t>37F7 - 75 days end of month</t>
  </si>
  <si>
    <t>GEW INTERNATIONAL CORPORATION LTD</t>
  </si>
  <si>
    <t>HAIYAN DONGHAI ELECTRICAL APPLIANCE</t>
  </si>
  <si>
    <t>HANG SHUN HING CO LTD</t>
  </si>
  <si>
    <t>SUQIAN HENSEN GLASS PRODUCTS</t>
  </si>
  <si>
    <t>CHANGZHOU JIANLONG METAL PRODUCTS</t>
  </si>
  <si>
    <t>SHAOXING STAR TRADING CO LTD</t>
  </si>
  <si>
    <t>LOMAK INDUSTRIAL COMPANY LIMITED</t>
  </si>
  <si>
    <t>FOSHAN CITY SHUNDE NAM CHING</t>
  </si>
  <si>
    <t>NY HANG MANUFACTURING CO LTD</t>
  </si>
  <si>
    <t>ONYX ENTERPRISE DEVELOPMENT INC</t>
  </si>
  <si>
    <t>PCI SHANGHAI ELECTRONICS CO LTD</t>
  </si>
  <si>
    <t>SPARKLING DRINK SYSTEMS INNOVATION</t>
  </si>
  <si>
    <t>37F6 - 60 days end of month the 10th due net posting date 37F3</t>
  </si>
  <si>
    <t>SMART TECH INDUSTRIAL LIMITED</t>
  </si>
  <si>
    <t>NINGBO SUNNY ELECTRICAL HEATING</t>
  </si>
  <si>
    <t>NINGBO TIANBO GANGLIAN ELECTRONICS</t>
  </si>
  <si>
    <t>ZHEJIANG WANGUAN MOTOR CO LTD</t>
  </si>
  <si>
    <t>CHANGZHOU INOXON METALTECH CO LTD</t>
  </si>
  <si>
    <t>YOUNG AN WING</t>
  </si>
  <si>
    <t>Count of countnotfull</t>
  </si>
  <si>
    <t>Count of generalcontract</t>
  </si>
  <si>
    <t>Count of qualityappendix</t>
  </si>
  <si>
    <t>Count of supplychainappendix</t>
  </si>
  <si>
    <t>Filters:</t>
  </si>
  <si>
    <t>Finished Goods</t>
  </si>
  <si>
    <t>Components</t>
  </si>
  <si>
    <t>Supplier Contract status summary</t>
  </si>
  <si>
    <t>Panel</t>
  </si>
  <si>
    <t>Count of Full Signed</t>
  </si>
  <si>
    <t>Count of not Full</t>
  </si>
  <si>
    <t xml:space="preserve"> Total Number of Supplier</t>
  </si>
  <si>
    <t>Definition: FULL contract = General Contract + Supply Chain Appendix + Quality Appendix</t>
  </si>
  <si>
    <t>Number of supplier</t>
  </si>
  <si>
    <t>Total</t>
  </si>
  <si>
    <t>Total Panel</t>
  </si>
  <si>
    <t>Panel A&amp;B</t>
  </si>
  <si>
    <t>Number of 
FULL contract</t>
  </si>
  <si>
    <t>% of 
FULL contract</t>
  </si>
  <si>
    <t xml:space="preserve"> Panel</t>
  </si>
  <si>
    <t>Count of general contract</t>
  </si>
  <si>
    <t>Count of quality appendix</t>
  </si>
  <si>
    <t>Count of supply chain appendix</t>
  </si>
  <si>
    <t>Sum of Total Number of Supplier</t>
  </si>
  <si>
    <t>BAOLI COLOUR PRINTING CO LTD</t>
  </si>
  <si>
    <t>BAOLI COLOUR</t>
  </si>
  <si>
    <t>CAMEWOULD ELECTRICAL LTD</t>
  </si>
  <si>
    <t>CAMEWOULD</t>
  </si>
  <si>
    <t>CHEN CHAIN INTERNATIONAL CO.</t>
  </si>
  <si>
    <t>CCI</t>
  </si>
  <si>
    <t>CHEUK KIT INDUSTRIAL HK LIMITED</t>
  </si>
  <si>
    <t>CHEUK KIT</t>
  </si>
  <si>
    <t>CHING MING ALUMINIUM DIE CASTING MF</t>
  </si>
  <si>
    <t>CHING MING DIE CAST</t>
  </si>
  <si>
    <t>CHUNG FU HARDWARE ENTERPRISE CO LTD</t>
  </si>
  <si>
    <t>CHUNG FU HARDWARE</t>
  </si>
  <si>
    <t>DAVE PLASTIC IND. PTE LTD</t>
  </si>
  <si>
    <t>DAVE PLASTIC</t>
  </si>
  <si>
    <t>DAVE PLASTIC INDUSTRIES PTE LTD</t>
  </si>
  <si>
    <t>DEL MANUFACTURING LIMITED</t>
  </si>
  <si>
    <t>SHENZHEN EVERSHINE STEEL CASTING CO</t>
  </si>
  <si>
    <t>EVERSHINE</t>
  </si>
  <si>
    <t>EXCELIGHT LIMITED</t>
  </si>
  <si>
    <t>EXCELIGHT</t>
  </si>
  <si>
    <t>FOCUS &amp; CO (FAR EAST) LTD. IS</t>
  </si>
  <si>
    <t>FOCUS</t>
  </si>
  <si>
    <t>SANWO STAINLESS STEEL CO LTD</t>
  </si>
  <si>
    <t>GOLDRIC</t>
  </si>
  <si>
    <t>HI TECH PRECISION INDUSTRIAL LTD</t>
  </si>
  <si>
    <t>HI TECH PRECISION</t>
  </si>
  <si>
    <t>GUANGDONG WENCAN DIE CASTING CO LTD</t>
  </si>
  <si>
    <t>HONG BANG</t>
  </si>
  <si>
    <t>HUI HUA HONG SHING INDUSTRIAL</t>
  </si>
  <si>
    <t>HONG SHING</t>
  </si>
  <si>
    <t>HONGRITA PLASTICS LIMITED</t>
  </si>
  <si>
    <t>HONGRITA</t>
  </si>
  <si>
    <t>NANTONG HONSUN COOKWARE MANU CO LTD</t>
  </si>
  <si>
    <t>HONSUN</t>
  </si>
  <si>
    <t>HOUSEWARES 2000 CO LTD</t>
  </si>
  <si>
    <t>HOUSEWARES 2000</t>
  </si>
  <si>
    <t>JOYWIN INTERNATIONAL LIMITED</t>
  </si>
  <si>
    <t>JOYFU</t>
  </si>
  <si>
    <t>KL PRECISION HANOI CO LTD</t>
  </si>
  <si>
    <t>JPK</t>
  </si>
  <si>
    <t>KIN SUN MOULDING LTD</t>
  </si>
  <si>
    <t>KIN SUN MOULDING</t>
  </si>
  <si>
    <t>KOREA CLAD TECH CO LTD</t>
  </si>
  <si>
    <t>KOREA CLAD TECH</t>
  </si>
  <si>
    <t>MALAPLAST CO LTD</t>
  </si>
  <si>
    <t>MALAPLAST</t>
  </si>
  <si>
    <t>MEYER ALUMINIUM LTD</t>
  </si>
  <si>
    <t>MEYER</t>
  </si>
  <si>
    <t>MEYER ALUMINIUM THAILAND CO LTD</t>
  </si>
  <si>
    <t>PAKMANE BRUSH FACTORY</t>
  </si>
  <si>
    <t>PAKMANE BRUSH</t>
  </si>
  <si>
    <t>PRO TENT MANUFACTURING CO LTD</t>
  </si>
  <si>
    <t>PRO TENT</t>
  </si>
  <si>
    <t>SHENZHEN RIFDA LCD CO LTD</t>
  </si>
  <si>
    <t>RIFDA</t>
  </si>
  <si>
    <t>RISHENG ENTERPRISE INTL CO</t>
  </si>
  <si>
    <t>RISHENG</t>
  </si>
  <si>
    <t>SUCCESS METAL PRODUCTS COMPANY</t>
  </si>
  <si>
    <t>SUCCESS METAL</t>
  </si>
  <si>
    <t>TECH LINK SILICONES CO LTD</t>
  </si>
  <si>
    <t>TECHLINK</t>
  </si>
  <si>
    <t>VIGOR PRECISION LTD</t>
  </si>
  <si>
    <t>VIGOR</t>
  </si>
  <si>
    <t>UPWILL ENTERPRISES LIMITED</t>
  </si>
  <si>
    <t>WAI SHING</t>
  </si>
  <si>
    <t>WAI SHING INDUSTRIAL (HK) LTD</t>
  </si>
  <si>
    <t>WING KEUNG METAL FACTORY</t>
  </si>
  <si>
    <t>WING KEUNG</t>
  </si>
  <si>
    <t>WOO FUNG METAL WORKS LTD</t>
  </si>
  <si>
    <t>WOO FUNG</t>
  </si>
  <si>
    <t>GUANGZHOU XING BAI JIA GLASS CO LTD</t>
  </si>
  <si>
    <t>XING BAI JIA GLASS</t>
  </si>
  <si>
    <t>JIANGMEN YINGDE TOUGHENED GLASS</t>
  </si>
  <si>
    <t>YINGDE</t>
  </si>
  <si>
    <t>DONGGUAN YONG TAI DIE CASTING</t>
  </si>
  <si>
    <t>YONG TAI</t>
  </si>
  <si>
    <t>id</t>
  </si>
  <si>
    <t>spm</t>
  </si>
  <si>
    <t>pm</t>
  </si>
  <si>
    <t>documentid</t>
  </si>
  <si>
    <t>doctypename</t>
  </si>
  <si>
    <t>expireddate</t>
  </si>
  <si>
    <t>docname</t>
  </si>
  <si>
    <t>docext</t>
  </si>
  <si>
    <t>uploaddate</t>
  </si>
  <si>
    <t>userid</t>
  </si>
  <si>
    <t>remarks</t>
  </si>
  <si>
    <t>auditby</t>
  </si>
  <si>
    <t>audittype</t>
  </si>
  <si>
    <t>auditgrade</t>
  </si>
  <si>
    <t>score</t>
  </si>
  <si>
    <t>myyear</t>
  </si>
  <si>
    <t>turnovery</t>
  </si>
  <si>
    <t>turnovery1</t>
  </si>
  <si>
    <t>turnovery2</t>
  </si>
  <si>
    <t>turnovery3</t>
  </si>
  <si>
    <t>turnovery4</t>
  </si>
  <si>
    <t>ratioy</t>
  </si>
  <si>
    <t>ratioy1</t>
  </si>
  <si>
    <t>ratioy2</t>
  </si>
  <si>
    <t>ratioy3</t>
  </si>
  <si>
    <t>ratioy4</t>
  </si>
  <si>
    <t>generalcontract</t>
  </si>
  <si>
    <t>qualityappendix</t>
  </si>
  <si>
    <t>supplychainappendix</t>
  </si>
  <si>
    <t>countfull</t>
  </si>
  <si>
    <t>countnotfull</t>
  </si>
  <si>
    <t>fp</t>
  </si>
  <si>
    <t>cp</t>
  </si>
  <si>
    <t>sp</t>
  </si>
  <si>
    <t>mould</t>
  </si>
  <si>
    <t>groupact</t>
  </si>
  <si>
    <t>statusname</t>
  </si>
  <si>
    <t>rank</t>
  </si>
  <si>
    <t>ABDOOLALLY E. HOUSEWARES LTD</t>
  </si>
  <si>
    <t>ABDOOLALLY</t>
  </si>
  <si>
    <t>Active supplier</t>
  </si>
  <si>
    <t>ALLY ELECTRONICS CO LTD</t>
  </si>
  <si>
    <t>ALLY</t>
  </si>
  <si>
    <t>ALTRUST PRECISION TOOLING CO. LTD.</t>
  </si>
  <si>
    <t>ALTRUST TOOLING</t>
  </si>
  <si>
    <t>ANGU GROUP CO LTD</t>
  </si>
  <si>
    <t>ANGU GROUP</t>
  </si>
  <si>
    <t>ART FAIR ENTERPRISE LTD</t>
  </si>
  <si>
    <t>ARTFAIR</t>
  </si>
  <si>
    <t>HUBEI AISHIDA ELE EQUIPMENT CO LTD</t>
  </si>
  <si>
    <t>ASD</t>
  </si>
  <si>
    <t>ZHEJIANG TAIZHOU AISHIDA</t>
  </si>
  <si>
    <t>SHENZHEN ASIA BRIGHT IND CO LTD</t>
  </si>
  <si>
    <t>ASIA BRIGHT</t>
  </si>
  <si>
    <t>TAICANG ATHOS ELECTRICAL COMPONENT</t>
  </si>
  <si>
    <t>ATHOS</t>
  </si>
  <si>
    <t>AUONE ELECTRICAL COMPANY LIMITED</t>
  </si>
  <si>
    <t>AUONE</t>
  </si>
  <si>
    <t>SANHUA AWECO APPLIANCE SYSTEM WUHU</t>
  </si>
  <si>
    <t>AWECO</t>
  </si>
  <si>
    <t>SUZHOU CHUNJU ELECTRIC CO LTD</t>
  </si>
  <si>
    <t>CHUNJU</t>
  </si>
  <si>
    <t>DAILY WIN MANUFACTURE COMPANY</t>
  </si>
  <si>
    <t>DAILYWIN</t>
  </si>
  <si>
    <t>DALONGGLASS FTY CONSTRUCTION LTD</t>
  </si>
  <si>
    <t>DALONG</t>
  </si>
  <si>
    <t>DB PRODUCTS LIMITED</t>
  </si>
  <si>
    <t>DB PRODUCTS</t>
  </si>
  <si>
    <t>DICKSON CIRCUIT HK LIMITED</t>
  </si>
  <si>
    <t>DICKSON CIRCUIT</t>
  </si>
  <si>
    <t>DOCOME GLASS &amp; ELECTRICAL CO LTD</t>
  </si>
  <si>
    <t>DOCOME GLASS</t>
  </si>
  <si>
    <t>EASYNET INTERNATIONAL CORPORATION</t>
  </si>
  <si>
    <t>EASYNET</t>
  </si>
  <si>
    <t>JIAXING FANRONG ELECTRIC APP CO LTD</t>
  </si>
  <si>
    <t>FANRONG</t>
  </si>
  <si>
    <t>KOREA FINE CERAMIC CO LTD</t>
  </si>
  <si>
    <t>FINE CERAMIC</t>
  </si>
  <si>
    <t>FU TIAN INDUSTRIAL CO LTD</t>
  </si>
  <si>
    <t>FU TIAN</t>
  </si>
  <si>
    <t>GEARING ENTERPRISES LIMITED</t>
  </si>
  <si>
    <t>GEARING</t>
  </si>
  <si>
    <t>GLOBAL TAT PRECISION LIMITED</t>
  </si>
  <si>
    <t>GLOBAL TAT</t>
  </si>
  <si>
    <t>GUANG YONG TRADING CO Ltd</t>
  </si>
  <si>
    <t>GUANG YONG</t>
  </si>
  <si>
    <t>ZHANJIANG HALLSMART ELECTRICAL APP</t>
  </si>
  <si>
    <t>HALLSMART</t>
  </si>
  <si>
    <t>NINGBO HEIGER ELECTRICAL</t>
  </si>
  <si>
    <t>HEIGER</t>
  </si>
  <si>
    <t>SHANDONG HEISHAN GLASS GROUP CO LTD</t>
  </si>
  <si>
    <t>HEISHAN GLASS</t>
  </si>
  <si>
    <t>CHAOZHOU TIANZHONG HENGDA</t>
  </si>
  <si>
    <t>HENGDA</t>
  </si>
  <si>
    <t>HOP SHING METAL &amp; PLASTIC MFY LTD</t>
  </si>
  <si>
    <t>HOP SHING</t>
  </si>
  <si>
    <t>ZHONGSHAN HUAZHONG PLASTICS TECH</t>
  </si>
  <si>
    <t>HUAZHONG PLASTICS</t>
  </si>
  <si>
    <t>XIAMEN HYSEN CONTROL TECH CO LTD</t>
  </si>
  <si>
    <t>HYSEN</t>
  </si>
  <si>
    <t>JIANGMEN IDEARHANYU ELEC JOINTSTOCK</t>
  </si>
  <si>
    <t>IDEARHANYU</t>
  </si>
  <si>
    <t>J&amp;P HONG KONG INDUSTRIAL CO LTD</t>
  </si>
  <si>
    <t>J&amp;P HONG KONG</t>
  </si>
  <si>
    <t>SHENZHEN JINSUWAY MOULD CO LTD</t>
  </si>
  <si>
    <t>JINSUWAY MOULD</t>
  </si>
  <si>
    <t>kai Suh Suh Enterprise Co Ltd</t>
  </si>
  <si>
    <t>KAI SUH SUH</t>
  </si>
  <si>
    <t>FOSHAN KASCO ELECTRICAL CO LTD</t>
  </si>
  <si>
    <t>KASCO</t>
  </si>
  <si>
    <t>KEUNG SING MOULD LIMITED</t>
  </si>
  <si>
    <t>KEUNG SING MOULD</t>
  </si>
  <si>
    <t>KINGCLEAN ELECTRIC CO LTD</t>
  </si>
  <si>
    <t>KINGCLEAN</t>
  </si>
  <si>
    <t>KRELL PRECISION COMPANY LTD</t>
  </si>
  <si>
    <t>KRELL</t>
  </si>
  <si>
    <t>LEONI CABLE CHANGZHOU CO LTD</t>
  </si>
  <si>
    <t>LEONI CHANGZHOU</t>
  </si>
  <si>
    <t>LEONI CABLE XIAMEN CO LTD</t>
  </si>
  <si>
    <t>LEONI XIAMEN</t>
  </si>
  <si>
    <t>FOSHAN MD DOMESTIC ELECTRIC</t>
  </si>
  <si>
    <t>MIDEA</t>
  </si>
  <si>
    <t>MOBICON HOLDINGS LTD</t>
  </si>
  <si>
    <t>MOBICON</t>
  </si>
  <si>
    <t>NIFCO HK LTD</t>
  </si>
  <si>
    <t>NIFCO</t>
  </si>
  <si>
    <t>NINGBO BANGSHOU ELECTRIC CO LTD</t>
  </si>
  <si>
    <t>NINGBO BANGSHOU</t>
  </si>
  <si>
    <t>OLYMPIC COUNTRY COMPANY LTD</t>
  </si>
  <si>
    <t>OLYMPIC COUNTRY</t>
  </si>
  <si>
    <t>OXYGEN ELECTRICAL LTD</t>
  </si>
  <si>
    <t>OXYGEN</t>
  </si>
  <si>
    <t>PAYER Industries Hungary Kft</t>
  </si>
  <si>
    <t>PAYER</t>
  </si>
  <si>
    <t>PAYER ELECTRIC PERSONAL CARE SUZHOU</t>
  </si>
  <si>
    <t>PPM SHENZHEN COMPANY</t>
  </si>
  <si>
    <t>PRECISION PRODUCTS</t>
  </si>
  <si>
    <t>PROSPEROUS PRODUCT DEVELOPMENT CO</t>
  </si>
  <si>
    <t>PROSPEROUS</t>
  </si>
  <si>
    <t>HONGKONG QIANCAI INDUSTRY CO LTD</t>
  </si>
  <si>
    <t>QIANCAI</t>
  </si>
  <si>
    <t>GUANG DONG RIFENG ELE CABLE CO LTD</t>
  </si>
  <si>
    <t>RIFENG</t>
  </si>
  <si>
    <t>ZHEJIANG RONGKANG R &amp; P TECH CO LTD</t>
  </si>
  <si>
    <t>RONGKANG</t>
  </si>
  <si>
    <t>DONGGUAN SAIDAGLASS CO LTD</t>
  </si>
  <si>
    <t>SAIDA</t>
  </si>
  <si>
    <t>CHANGZHOU SHENGHUI ELE CO LTD</t>
  </si>
  <si>
    <t>SHENGHUI</t>
  </si>
  <si>
    <t>SHOUJI TOOLING FACTORY LIMITED</t>
  </si>
  <si>
    <t>SHOUJI TOOLING</t>
  </si>
  <si>
    <t>SING FAI SCREWS &amp; METAL WORKS</t>
  </si>
  <si>
    <t>SING FAI SCREWS</t>
  </si>
  <si>
    <t>SUN TAT MODEL DESIGN LIMITED</t>
  </si>
  <si>
    <t>SUN TAT MODEL</t>
  </si>
  <si>
    <t>TK INTERNATIONAL (BVI) LTD</t>
  </si>
  <si>
    <t>TK INTERNATIONAL</t>
  </si>
  <si>
    <t>TOWER SWITCHES Ltd</t>
  </si>
  <si>
    <t>TOWER SWITCHES</t>
  </si>
  <si>
    <t>TSUN NGAI TOOLS COMPANY</t>
  </si>
  <si>
    <t>TSUN NGAI TOOLS</t>
  </si>
  <si>
    <t>TAEYANG SAIGON CO LTD</t>
  </si>
  <si>
    <t>TYS</t>
  </si>
  <si>
    <t>UNITED RUBBER FACTORY LTD</t>
  </si>
  <si>
    <t>UNITED RUBBER</t>
  </si>
  <si>
    <t>UNIWELL ELECTRONIC LTD</t>
  </si>
  <si>
    <t>UNIWELL</t>
  </si>
  <si>
    <t>SHANGHAI WAN SHENG</t>
  </si>
  <si>
    <t>WAN SHENG</t>
  </si>
  <si>
    <t>WANG CHUN INDUSTRIAL LTD</t>
  </si>
  <si>
    <t>WANG CHUN</t>
  </si>
  <si>
    <t>ZHEJIANG XINGPENG IMP &amp; EXP CO LTD</t>
  </si>
  <si>
    <t>WEIHUA</t>
  </si>
  <si>
    <t>WOR BIZ TRADING CO LTD</t>
  </si>
  <si>
    <t>WOR BIZ</t>
  </si>
  <si>
    <t>ZIPPY TECHNOLOGY CORP</t>
  </si>
  <si>
    <t>ZIPPY</t>
  </si>
  <si>
    <t>GUANGDONG Victory Electrical</t>
  </si>
  <si>
    <t>DCH</t>
  </si>
  <si>
    <t>DRAGON WILL ENTERPRISE LTD</t>
  </si>
  <si>
    <t>FORTUNE ART ASIA LIMITED</t>
  </si>
  <si>
    <t>FORTUNE ART</t>
  </si>
  <si>
    <t>HOMEWELL CORPORATION LTD</t>
  </si>
  <si>
    <t>HOMEWELL</t>
  </si>
  <si>
    <t>IBL PRODUCTS CO LTD</t>
  </si>
  <si>
    <t>IBL</t>
  </si>
  <si>
    <t>INTERCONTINENTAL MARKETING SERVICES</t>
  </si>
  <si>
    <t>IMS</t>
  </si>
  <si>
    <t>INTERCONTIN MKT SERVICES FAR EAST</t>
  </si>
  <si>
    <t>IMS Far East</t>
  </si>
  <si>
    <t>KEEN HING INDUSTRIES LIMITED</t>
  </si>
  <si>
    <t>KEEN HING</t>
  </si>
  <si>
    <t>KONSTAR INDUSTRIES LTD</t>
  </si>
  <si>
    <t>KONSTAR</t>
  </si>
  <si>
    <t>KWONNIE INDUSTRIES LIMITED</t>
  </si>
  <si>
    <t>MAGICIAN INDUSTRIAL COMPANY LIMITED</t>
  </si>
  <si>
    <t>LISI</t>
  </si>
  <si>
    <t>MINGLE INSTRUMENT LIMITED</t>
  </si>
  <si>
    <t>MINGLE</t>
  </si>
  <si>
    <t>FORD LIMITED MONTERY</t>
  </si>
  <si>
    <t>MONTERY</t>
  </si>
  <si>
    <t>SHANGHAI POVOS ELECTRIC WORKS COLTD</t>
  </si>
  <si>
    <t>POVOS</t>
  </si>
  <si>
    <t>ZHEJIANG KINGWANG INDUSTRIAL CO LTD</t>
  </si>
  <si>
    <t>SANBO</t>
  </si>
  <si>
    <t>SPECIALIFE INDUSTRIES LTD</t>
  </si>
  <si>
    <t>SPECIALIFE</t>
  </si>
  <si>
    <t>SOURCING SOLUTIONS INC</t>
  </si>
  <si>
    <t>SSI</t>
  </si>
  <si>
    <t>SUZHOU DELUXE ELECTRIC CO LTD</t>
  </si>
  <si>
    <t>SUZHOU DELUXE</t>
  </si>
  <si>
    <t>TEAM CONCEPT HK INDUSTRY LIMITED</t>
  </si>
  <si>
    <t>TEAM CONCEPT</t>
  </si>
  <si>
    <t>VOLUME TABLEWARE LTD</t>
  </si>
  <si>
    <t>VOLUME TABLEWARE</t>
  </si>
  <si>
    <t>WINNINGTON METAL &amp; PLASTIC M.CO LTD</t>
  </si>
  <si>
    <t>WINNINGTON</t>
  </si>
  <si>
    <t>WISEFAME INTERNATIONAL LTD</t>
  </si>
  <si>
    <t>WISEFAME</t>
  </si>
  <si>
    <t>(blank)</t>
  </si>
  <si>
    <t>(blank) Total</t>
  </si>
  <si>
    <t>Definition table</t>
  </si>
  <si>
    <t>Data Field</t>
  </si>
  <si>
    <t>Description</t>
  </si>
  <si>
    <t>Source or linkage</t>
  </si>
  <si>
    <t>Rule for counting</t>
  </si>
  <si>
    <t>Summary</t>
  </si>
  <si>
    <t>sbuname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</si>
</sst>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1" xfId="0" applyBorder="1"/>
    <xf numFmtId="0" fontId="2" fillId="2" borderId="0" xfId="0" applyFont="1" applyFill="1"/>
    <xf numFmtId="0" fontId="2" fillId="2" borderId="0" xfId="0" applyFont="1" applyFill="1" applyBorder="1"/>
    <xf numFmtId="0" fontId="0" fillId="0" borderId="0" xfId="0" applyBorder="1"/>
    <xf numFmtId="0" fontId="1" fillId="0" borderId="2" xfId="0" applyFont="1" applyBorder="1"/>
    <xf numFmtId="0" fontId="0" fillId="4" borderId="0" xfId="0" applyFill="1"/>
    <xf numFmtId="0" fontId="1" fillId="4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0" fillId="6" borderId="0" xfId="0" applyFill="1"/>
    <xf numFmtId="0" fontId="4" fillId="0" borderId="0" xfId="0" applyFont="1"/>
    <xf numFmtId="0" fontId="0" fillId="2" borderId="0" xfId="0" applyFill="1"/>
    <xf numFmtId="0" fontId="2" fillId="0" borderId="0" xfId="0" applyFont="1"/>
    <xf numFmtId="0" fontId="1" fillId="0" borderId="2" xfId="0" applyFont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9" fontId="1" fillId="0" borderId="2" xfId="1" applyFont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14" fontId="0" fillId="0" borderId="0" xfId="0" applyNumberFormat="1"/>
    <xf numFmtId="0" fontId="6" fillId="7" borderId="2" xfId="0" applyFont="1" applyFill="1" applyBorder="1"/>
    <xf numFmtId="0" fontId="0" fillId="0" borderId="2" xfId="0" applyBorder="1"/>
    <xf numFmtId="0" fontId="7" fillId="0" borderId="0" xfId="0" applyFont="1"/>
    <xf numFmtId="0" fontId="6" fillId="7" borderId="0" xfId="0" applyFont="1" applyFill="1" applyBorder="1"/>
    <xf numFmtId="0" fontId="0" fillId="0" borderId="3" xfId="0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50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5" tint="0.59999389629810485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0" tint="-0.249977111117893"/>
        </patternFill>
      </fill>
    </dxf>
    <dxf>
      <alignment wrapText="1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border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wrapText="1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5" tint="0.5999938962981048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0" tint="-0.249977111117893"/>
        </patternFill>
      </fill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942975</xdr:colOff>
      <xdr:row>5</xdr:row>
      <xdr:rowOff>28575</xdr:rowOff>
    </xdr:from>
    <xdr:to>
      <xdr:col>7</xdr:col>
      <xdr:colOff>514350</xdr:colOff>
      <xdr:row>6</xdr:row>
      <xdr:rowOff>76200</xdr:rowOff>
    </xdr:to>
    <xdr:grpSp>
      <xdr:nvGrpSpPr>
        <xdr:cNvPr id="3" name="Group 2"/>
        <xdr:cNvGrpSpPr/>
      </xdr:nvGrpSpPr>
      <xdr:grpSpPr>
        <a:xfrm>
          <a:off x="2552700" y="1076325"/>
          <a:ext cx="2724150" cy="428625"/>
          <a:chOff x="1445891" y="4293096"/>
          <a:chExt cx="1800200" cy="504056"/>
        </a:xfrm>
      </xdr:grpSpPr>
      <xdr:sp macro="" textlink="">
        <xdr:nvSpPr>
          <xdr:cNvPr id="4" name="Rectangle 3"/>
          <xdr:cNvSpPr/>
        </xdr:nvSpPr>
        <xdr:spPr bwMode="auto">
          <a:xfrm>
            <a:off x="1547664" y="4293096"/>
            <a:ext cx="1584176" cy="504056"/>
          </a:xfrm>
          <a:prstGeom prst="rect">
            <a:avLst/>
          </a:prstGeom>
          <a:solidFill>
            <a:srgbClr val="92D050"/>
          </a:solidFill>
          <a:ln>
            <a:headEnd type="none" w="med" len="med"/>
            <a:tailEnd type="none" w="med" len="med"/>
          </a:ln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indent="0" algn="ctr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2400" b="0" i="0" u="none" strike="noStrike" cap="none" normalizeH="0" baseline="30000">
              <a:ln>
                <a:noFill/>
              </a:ln>
              <a:solidFill>
                <a:schemeClr val="tx1"/>
              </a:solidFill>
              <a:effectLst/>
              <a:latin typeface="Impact" pitchFamily="34" charset="0"/>
              <a:ea typeface="ＭＳ Ｐゴシック" pitchFamily="1" charset="-128"/>
            </a:endParaRPr>
          </a:p>
        </xdr:txBody>
      </xdr:sp>
      <xdr:sp macro="" textlink="">
        <xdr:nvSpPr>
          <xdr:cNvPr id="5" name="TextBox 5"/>
          <xdr:cNvSpPr txBox="1"/>
        </xdr:nvSpPr>
        <xdr:spPr>
          <a:xfrm>
            <a:off x="1445891" y="4370437"/>
            <a:ext cx="1800200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9pPr>
          </a:lstStyle>
          <a:p>
            <a:pPr algn="ctr"/>
            <a:r>
              <a:rPr lang="en-US">
                <a:latin typeface="Impact" pitchFamily="34" charset="0"/>
              </a:rPr>
              <a:t>Finished Goods</a:t>
            </a:r>
          </a:p>
        </xdr:txBody>
      </xdr:sp>
    </xdr:grpSp>
    <xdr:clientData/>
  </xdr:twoCellAnchor>
  <xdr:twoCellAnchor>
    <xdr:from>
      <xdr:col>17</xdr:col>
      <xdr:colOff>1247775</xdr:colOff>
      <xdr:row>4</xdr:row>
      <xdr:rowOff>85725</xdr:rowOff>
    </xdr:from>
    <xdr:to>
      <xdr:col>20</xdr:col>
      <xdr:colOff>114300</xdr:colOff>
      <xdr:row>6</xdr:row>
      <xdr:rowOff>28575</xdr:rowOff>
    </xdr:to>
    <xdr:grpSp>
      <xdr:nvGrpSpPr>
        <xdr:cNvPr id="6" name="Group 5"/>
        <xdr:cNvGrpSpPr/>
      </xdr:nvGrpSpPr>
      <xdr:grpSpPr>
        <a:xfrm>
          <a:off x="4295775" y="990600"/>
          <a:ext cx="2543175" cy="466725"/>
          <a:chOff x="1422079" y="4293096"/>
          <a:chExt cx="1800200" cy="504056"/>
        </a:xfrm>
      </xdr:grpSpPr>
      <xdr:sp macro="" textlink="">
        <xdr:nvSpPr>
          <xdr:cNvPr id="7" name="Rectangle 6"/>
          <xdr:cNvSpPr/>
        </xdr:nvSpPr>
        <xdr:spPr bwMode="auto">
          <a:xfrm>
            <a:off x="1547664" y="4293096"/>
            <a:ext cx="1584176" cy="504056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headEnd type="none" w="med" len="med"/>
            <a:tailEnd type="none" w="med" len="med"/>
          </a:ln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indent="0" algn="ctr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2400" b="0" i="0" u="none" strike="noStrike" cap="none" normalizeH="0" baseline="30000">
              <a:ln>
                <a:noFill/>
              </a:ln>
              <a:solidFill>
                <a:schemeClr val="tx1"/>
              </a:solidFill>
              <a:effectLst/>
              <a:latin typeface="Impact" pitchFamily="34" charset="0"/>
              <a:ea typeface="ＭＳ Ｐゴシック" pitchFamily="1" charset="-128"/>
            </a:endParaRPr>
          </a:p>
        </xdr:txBody>
      </xdr:sp>
      <xdr:sp macro="" textlink="">
        <xdr:nvSpPr>
          <xdr:cNvPr id="8" name="TextBox 5"/>
          <xdr:cNvSpPr txBox="1"/>
        </xdr:nvSpPr>
        <xdr:spPr>
          <a:xfrm>
            <a:off x="1422079" y="4370437"/>
            <a:ext cx="1800200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9pPr>
          </a:lstStyle>
          <a:p>
            <a:pPr algn="ctr"/>
            <a:r>
              <a:rPr lang="en-US">
                <a:latin typeface="Impact" pitchFamily="34" charset="0"/>
              </a:rPr>
              <a:t>Components</a:t>
            </a:r>
          </a:p>
        </xdr:txBody>
      </xdr:sp>
    </xdr:grpSp>
    <xdr:clientData/>
  </xdr:twoCellAnchor>
  <xdr:twoCellAnchor>
    <xdr:from>
      <xdr:col>2</xdr:col>
      <xdr:colOff>133350</xdr:colOff>
      <xdr:row>7</xdr:row>
      <xdr:rowOff>47626</xdr:rowOff>
    </xdr:from>
    <xdr:to>
      <xdr:col>2</xdr:col>
      <xdr:colOff>704850</xdr:colOff>
      <xdr:row>7</xdr:row>
      <xdr:rowOff>333376</xdr:rowOff>
    </xdr:to>
    <xdr:sp macro="[0]!ShowFG" textlink="">
      <xdr:nvSpPr>
        <xdr:cNvPr id="9" name="Rounded Rectangle 8"/>
        <xdr:cNvSpPr/>
      </xdr:nvSpPr>
      <xdr:spPr>
        <a:xfrm>
          <a:off x="371475" y="1666876"/>
          <a:ext cx="571500" cy="285750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Show</a:t>
          </a:r>
        </a:p>
      </xdr:txBody>
    </xdr:sp>
    <xdr:clientData/>
  </xdr:twoCellAnchor>
  <xdr:twoCellAnchor>
    <xdr:from>
      <xdr:col>15</xdr:col>
      <xdr:colOff>142875</xdr:colOff>
      <xdr:row>7</xdr:row>
      <xdr:rowOff>66675</xdr:rowOff>
    </xdr:from>
    <xdr:to>
      <xdr:col>15</xdr:col>
      <xdr:colOff>714375</xdr:colOff>
      <xdr:row>7</xdr:row>
      <xdr:rowOff>342900</xdr:rowOff>
    </xdr:to>
    <xdr:sp macro="[0]!ShowCP" textlink="">
      <xdr:nvSpPr>
        <xdr:cNvPr id="10" name="Rounded Rectangle 9"/>
        <xdr:cNvSpPr/>
      </xdr:nvSpPr>
      <xdr:spPr>
        <a:xfrm>
          <a:off x="10753725" y="1685925"/>
          <a:ext cx="571500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Show</a:t>
          </a:r>
        </a:p>
      </xdr:txBody>
    </xdr:sp>
    <xdr:clientData/>
  </xdr:twoCellAnchor>
  <xdr:twoCellAnchor>
    <xdr:from>
      <xdr:col>1</xdr:col>
      <xdr:colOff>9526</xdr:colOff>
      <xdr:row>3</xdr:row>
      <xdr:rowOff>38100</xdr:rowOff>
    </xdr:from>
    <xdr:to>
      <xdr:col>1</xdr:col>
      <xdr:colOff>476250</xdr:colOff>
      <xdr:row>3</xdr:row>
      <xdr:rowOff>314325</xdr:rowOff>
    </xdr:to>
    <xdr:sp macro="[0]!BACK" textlink="">
      <xdr:nvSpPr>
        <xdr:cNvPr id="11" name="Rounded Rectangle 10"/>
        <xdr:cNvSpPr/>
      </xdr:nvSpPr>
      <xdr:spPr>
        <a:xfrm>
          <a:off x="247651" y="609600"/>
          <a:ext cx="466724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Back</a:t>
          </a:r>
        </a:p>
      </xdr:txBody>
    </xdr:sp>
    <xdr:clientData/>
  </xdr:twoCellAnchor>
  <xdr:twoCellAnchor>
    <xdr:from>
      <xdr:col>2</xdr:col>
      <xdr:colOff>57149</xdr:colOff>
      <xdr:row>3</xdr:row>
      <xdr:rowOff>47625</xdr:rowOff>
    </xdr:from>
    <xdr:to>
      <xdr:col>2</xdr:col>
      <xdr:colOff>771524</xdr:colOff>
      <xdr:row>3</xdr:row>
      <xdr:rowOff>323850</xdr:rowOff>
    </xdr:to>
    <xdr:sp macro="[0]!OpenTabs" textlink="">
      <xdr:nvSpPr>
        <xdr:cNvPr id="12" name="Rounded Rectangle 11"/>
        <xdr:cNvSpPr/>
      </xdr:nvSpPr>
      <xdr:spPr>
        <a:xfrm>
          <a:off x="676274" y="619125"/>
          <a:ext cx="714375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Show</a:t>
          </a:r>
          <a:r>
            <a:rPr lang="en-US" sz="900" b="1" baseline="0">
              <a:solidFill>
                <a:sysClr val="windowText" lastClr="000000"/>
              </a:solidFill>
            </a:rPr>
            <a:t> tabs</a:t>
          </a:r>
          <a:endParaRPr lang="en-US" sz="900" b="1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1754.729591435185" createdVersion="3" refreshedVersion="3" minRefreshableVersion="3" recordCount="2624">
  <cacheSource type="worksheet">
    <worksheetSource name="rawdata"/>
  </cacheSource>
  <cacheFields count="57">
    <cacheField name="id" numFmtId="0">
      <sharedItems containsSemiMixedTypes="0" containsString="0" containsNumber="1" containsInteger="1" minValue="1" maxValue="2717"/>
    </cacheField>
    <cacheField name="vendorcode" numFmtId="0">
      <sharedItems containsSemiMixedTypes="0" containsString="0" containsNumber="1" containsInteger="1" minValue="10001970" maxValue="10031766" count="267">
        <n v="10007811"/>
        <n v="10018143"/>
        <n v="10018124"/>
        <n v="10031660"/>
        <n v="10006819"/>
        <n v="10016787"/>
        <n v="10022928"/>
        <n v="10002393"/>
        <n v="10003305"/>
        <n v="10024777"/>
        <n v="10020646"/>
        <n v="10012491"/>
        <n v="10023045"/>
        <n v="10008091"/>
        <n v="10017261"/>
        <n v="10023546"/>
        <n v="10016689"/>
        <n v="10029549"/>
        <n v="10028574"/>
        <n v="10023057"/>
        <n v="10017159"/>
        <n v="10017563"/>
        <n v="10021632"/>
        <n v="10031092"/>
        <n v="10022437"/>
        <n v="10019089"/>
        <n v="10013329"/>
        <n v="10017653"/>
        <n v="10005690"/>
        <n v="10028963"/>
        <n v="10020853"/>
        <n v="10022626"/>
        <n v="10008186"/>
        <n v="10017048"/>
        <n v="10002616"/>
        <n v="10030316"/>
        <n v="10022749"/>
        <n v="10011085"/>
        <n v="10029742"/>
        <n v="10002342"/>
        <n v="10019610"/>
        <n v="10029777"/>
        <n v="10014207"/>
        <n v="10030407"/>
        <n v="10006768"/>
        <n v="10007516"/>
        <n v="10029998"/>
        <n v="10023113"/>
        <n v="10008043"/>
        <n v="10031135"/>
        <n v="10016190"/>
        <n v="10014918"/>
        <n v="10003215"/>
        <n v="10011953"/>
        <n v="10023831"/>
        <n v="10026046"/>
        <n v="10026043"/>
        <n v="10021084"/>
        <n v="10030282"/>
        <n v="10019667"/>
        <n v="10002618"/>
        <n v="10011954"/>
        <n v="10018727"/>
        <n v="10018856"/>
        <n v="10020848"/>
        <n v="10012062"/>
        <n v="10002651"/>
        <n v="10022381"/>
        <n v="10025892"/>
        <n v="10016908"/>
        <n v="10024205"/>
        <n v="10018597"/>
        <n v="10001970"/>
        <n v="10002652"/>
        <n v="10029677"/>
        <n v="10025953"/>
        <n v="10020651"/>
        <n v="10021071"/>
        <n v="10022502"/>
        <n v="10023490"/>
        <n v="10018808"/>
        <n v="10022226"/>
        <n v="10016744"/>
        <n v="10015043"/>
        <n v="10018756"/>
        <n v="10003623"/>
        <n v="10020286"/>
        <n v="10029175"/>
        <n v="10004820"/>
        <n v="10017162"/>
        <n v="10020637"/>
        <n v="10017914"/>
        <n v="10029303"/>
        <n v="10030431"/>
        <n v="10020397"/>
        <n v="10024688"/>
        <n v="10022448"/>
        <n v="10020806"/>
        <n v="10016624"/>
        <n v="10014421"/>
        <n v="10019408"/>
        <n v="10002622"/>
        <n v="10017880"/>
        <n v="10017541"/>
        <n v="10029172"/>
        <n v="10017330"/>
        <n v="10016399"/>
        <n v="10023008"/>
        <n v="10030364"/>
        <n v="10012944"/>
        <n v="10019117"/>
        <n v="10019098"/>
        <n v="10021176"/>
        <n v="10024234"/>
        <n v="10023342"/>
        <n v="10025233"/>
        <n v="10020846"/>
        <n v="10020680"/>
        <n v="10021150"/>
        <n v="10029788"/>
        <n v="10002632"/>
        <n v="10003775"/>
        <n v="10019574"/>
        <n v="10029063"/>
        <n v="10002254"/>
        <n v="10011961"/>
        <n v="10030603"/>
        <n v="10030568"/>
        <n v="10017609"/>
        <n v="10022079"/>
        <n v="10003735"/>
        <n v="10023202"/>
        <n v="10022890"/>
        <n v="10019497"/>
        <n v="10011086"/>
        <n v="10010986"/>
        <n v="10020182"/>
        <n v="10018644"/>
        <n v="10022134"/>
        <n v="10029278"/>
        <n v="10016243"/>
        <n v="10011867"/>
        <n v="10019263"/>
        <n v="10003734"/>
        <n v="10011884"/>
        <n v="10012145"/>
        <n v="10021116"/>
        <n v="10030490"/>
        <n v="10023135"/>
        <n v="10016947"/>
        <n v="10029672"/>
        <n v="10016946"/>
        <n v="10029232"/>
        <n v="10002059"/>
        <n v="10024527"/>
        <n v="10023343"/>
        <n v="10021016"/>
        <n v="10022803"/>
        <n v="10002633"/>
        <n v="10021612"/>
        <n v="10018557"/>
        <n v="10023158"/>
        <n v="10029461"/>
        <n v="10029930"/>
        <n v="10007542"/>
        <n v="10018146"/>
        <n v="10013781"/>
        <n v="10012240"/>
        <n v="10029574"/>
        <n v="10023289"/>
        <n v="10025413"/>
        <n v="10030888"/>
        <n v="10008580"/>
        <n v="10011962"/>
        <n v="10018142"/>
        <n v="10018846"/>
        <n v="10018951"/>
        <n v="10002410"/>
        <n v="10029538"/>
        <n v="10024239"/>
        <n v="10018687"/>
        <n v="10030978"/>
        <n v="10021534"/>
        <n v="10016078"/>
        <n v="10018870"/>
        <n v="10022317"/>
        <n v="10031766"/>
        <n v="10019336"/>
        <n v="10031009"/>
        <n v="10021546"/>
        <n v="10025993"/>
        <n v="10029924"/>
        <n v="10016059"/>
        <n v="10030391"/>
        <n v="10029408"/>
        <n v="10030374"/>
        <n v="10020590"/>
        <n v="10031100"/>
        <n v="10018552"/>
        <n v="10022505"/>
        <n v="10025843"/>
        <n v="10013918"/>
        <n v="10002063"/>
        <n v="10021905"/>
        <n v="10011099"/>
        <n v="10002657"/>
        <n v="10029619"/>
        <n v="10018762"/>
        <n v="10011087"/>
        <n v="10031073"/>
        <n v="10015734"/>
        <n v="10025994"/>
        <n v="10003624"/>
        <n v="10019410"/>
        <n v="10007548"/>
        <n v="10019250"/>
        <n v="10023676"/>
        <n v="10017348"/>
        <n v="10012158"/>
        <n v="10023371"/>
        <n v="10016307"/>
        <n v="10021528"/>
        <n v="10002641"/>
        <n v="10017703"/>
        <n v="10017281"/>
        <n v="10028602"/>
        <n v="10015655"/>
        <n v="10003736"/>
        <n v="10030220"/>
        <n v="10013982"/>
        <n v="10028508"/>
        <n v="10016810"/>
        <n v="10030379"/>
        <n v="10005402"/>
        <n v="10011176"/>
        <n v="10030832"/>
        <n v="10023684"/>
        <n v="10018295"/>
        <n v="10021357"/>
        <n v="10025286"/>
        <n v="10018137"/>
        <n v="10006704"/>
        <n v="10029658"/>
        <n v="10016485"/>
        <n v="10016953"/>
        <n v="10030596"/>
        <n v="10029413"/>
        <n v="10002644"/>
        <n v="10011097"/>
        <n v="10014732"/>
        <n v="10026044"/>
        <n v="10011964"/>
        <n v="10008227"/>
        <n v="10019114"/>
        <n v="10029738"/>
        <n v="10025348"/>
        <n v="10012238"/>
        <n v="10007071"/>
        <n v="10030244"/>
        <n v="10029992"/>
        <n v="10025918"/>
        <n v="10029134"/>
        <n v="10011965"/>
        <n v="10029414"/>
        <n v="10016441"/>
        <n v="10024482"/>
        <n v="10023509"/>
      </sharedItems>
    </cacheField>
    <cacheField name="vendorname" numFmtId="0">
      <sharedItems count="267">
        <s v="ABDOOLALLY E. HOUSEWARES LTD"/>
        <s v="ABLEK TECHNOLOGY LTD"/>
        <s v="ABUNDANCE THERMO CONTROL FACTORY"/>
        <s v="FOSHAN SANSHUI DONGNAN ELE APP CO"/>
        <s v="WAON Development Ltd."/>
        <s v="AIRTEK"/>
        <s v="CONAN ELECTRIC MANUFACTURING LTD"/>
        <s v="ALLAN ELECTRIC MANUFACTURING LTD"/>
        <s v="KARAN ELECTRIC MANUFACTURING LTD"/>
        <s v="ALLY ELECTRONICS CO LTD"/>
        <s v="ALPHA LIMITED"/>
        <s v="ALTRUST PRECISION TOOLING CO. LTD."/>
        <s v="ANGU GROUP CO LTD"/>
        <s v="XIAMEN ANLIAN ENTREPRISE CO LTD"/>
        <s v="ART FAIR ENTERPRISE LTD"/>
        <s v="HUBEI AISHIDA ELE EQUIPMENT CO LTD"/>
        <s v="ZHEJIANG TAIZHOU AISHIDA"/>
        <s v="SHENZHEN ASIA BRIGHT IND CO LTD"/>
        <s v="TAICANG ATHOS ELECTRICAL COMPONENT"/>
        <s v="AUONE ELECTRICAL COMPANY LIMITED"/>
        <s v="SANHUA AWECO APPLIANCE SYSTEM WUHU"/>
        <s v="BAOLI COLOUR PRINTING CO LTD"/>
        <s v="JIANGSU BI GOLD NEW MATERIAL TECHN"/>
        <s v="BKZ INTERNATIONAL HK ENTERPRISE LTD"/>
        <s v="BKZ HK INDUSTRIAL LTD"/>
        <s v="BLUE ELECTRO INTERNATIONAL LTD"/>
        <s v="CAMEWOULD ELECTRICAL LTD"/>
        <s v="CHEN CHAIN INTERNATIONAL CO."/>
        <s v="CHAU S ELECTRICAL CO LTD"/>
        <s v="CHEUK KIT INDUSTRIAL HK LIMITED"/>
        <s v="CHI FUNG ELECTRONICS CO LTD"/>
        <s v="CHIAPHUA COMPONENTS LIMITED"/>
        <s v="CHING MING ALUMINIUM DIE CASTING MF"/>
        <s v="CHUNG FU HARDWARE ENTERPRISE CO LTD"/>
        <s v="CHUNG MEI INDUSTRIES LTD"/>
        <s v="SUZHOU CHUNJU ELECTRIC CO LTD"/>
        <s v="SIP CINDERSON MOTOR CO LTD"/>
        <s v="COILS ELECTRONIC CO LTD"/>
        <s v="COWAY CO LTD"/>
        <s v="CRASTAL TRADING LIMITED"/>
        <s v="ZHEJIANG CUORI ELECTRICAL"/>
        <s v="GUANG DONG DA WANGYE ELECTRIC LTD"/>
        <s v="DAILY WIN MANUFACTURE COMPANY"/>
        <s v="DALONGGLASS FTY CONSTRUCTION LTD"/>
        <s v="DAVE PLASTIC IND. PTE LTD"/>
        <s v="DAVE PLASTIC INDUSTRIES PTE LTD"/>
        <s v="ZHEJIANG DAWEI ELECTRONIC CO LTD"/>
        <s v="DB PRODUCTS LIMITED"/>
        <s v="GUANGDONG Victory Electrical"/>
        <s v="NINGBO DECHANG ELECTRICAL MACHINERY"/>
        <s v="DEL MANUFACTURING LIMITED"/>
        <s v="DEL INDUSTRIAL  LIMITED"/>
        <s v="DEL COMPONENTS LIMITED"/>
        <s v="DICKSON INDUSTRIAL CO LTD"/>
        <s v="DICKSON CIRCUIT HK LIMITED"/>
        <s v="DOCOME GLASS &amp; ELECTRICAL CO LTD"/>
        <s v="YUEQING DONGNAN ELECTRONICS CO LTD"/>
        <s v="GUANG DONG XINBAO"/>
        <s v="DRAGON WILL ENTERPRISE LTD"/>
        <s v="DS MOTOR WAYMAN ASIA LTD"/>
        <s v="ELECTRICAL &amp; ELECTRONICS LTD"/>
        <s v="EASTERN SOURCES HOUSEWARES HK LTD"/>
        <s v="EASYNET INTERNATIONAL CORPORATION"/>
        <s v="GUANGDONG  ELECPRO ELE APP CO"/>
        <s v="ELEC TECH INTER HK CO LTD"/>
        <s v="SUZHOU EUP ELECTRIC CO LTD"/>
        <s v="EVER KING HOUSEWARES MANUFACTURING"/>
        <s v="SHENZHEN EVERSHINE STEEL CASTING CO"/>
        <s v="EXCELIGHT LIMITED"/>
        <s v="FAIRFORM MANUFACTURING COMPANY LTD"/>
        <s v="JIAXING FANRONG ELECTRIC APP CO LTD"/>
        <s v="FATIA INDUSTRIAL CO LTD"/>
        <s v="KOREA FINE CERAMIC CO LTD"/>
        <s v="FOCUS &amp; CO (FAR EAST) LTD. IS"/>
        <s v="FORTUNE ART ASIA LIMITED"/>
        <s v="FRIENDSHIP ENTERPRISES INTER LTD"/>
        <s v="FU TIAN INDUSTRIAL CO LTD"/>
        <s v="SHANGHAI FUJITECH  PLASTIC CO LTD"/>
        <s v="GUANGDONG FUXIN TECHNOLOGY CO LTD"/>
        <s v="GUANGDONG GALANZ ELECTRICAL"/>
        <s v="GD GALANZ MICROWAVE OVEN AND"/>
        <s v="GEARING ENTERPRISES LIMITED"/>
        <s v="GEW INTERNATIONAL CORPORATION LTD"/>
        <s v="GLOBAL CIRCUITS BOARDS CO.LTD"/>
        <s v="GLOBAL TAT PRECISION LIMITED"/>
        <s v="GOLD TUNING TRADING CO.LTD"/>
        <s v="SANWO STAINLESS STEEL CO LTD"/>
        <s v="ZHONGSHAN GUANGLONG GAS &amp; ELE APP"/>
        <s v="GUANG YONG TRADING CO Ltd"/>
        <s v="NINGBO GUL TZ RUBBER BELT CO LTD"/>
        <s v="HAIYAN DONGHAI ELECTRICAL APPLIANCE"/>
        <s v="ZHANJIANG HALLSMART ELECTRICAL APP"/>
        <s v="HANG SHUN HING CO LTD"/>
        <s v="HANOOL ROBOTICS CORP"/>
        <s v="NINGBO HEIGER ELECTRICAL"/>
        <s v="SHANDONG HEISHAN GLASS GROUP CO LTD"/>
        <s v="CHAOZHOU TIANZHONG HENGDA"/>
        <s v="NINGBO HENGHE MOULD CO LTD"/>
        <s v="SUQIAN HENSEN GLASS PRODUCTS"/>
        <s v="HI TECH PRECISION INDUSTRIAL LTD"/>
        <s v="HIFACER CO LTD"/>
        <s v="HOLLYLAND COMPANY LIMITED"/>
        <s v="HOMEWELL CORPORATION LTD"/>
        <s v="HOMEZEST ELECTRICAL MFG CO LTD"/>
        <s v="GUANGDONG WENCAN DIE CASTING CO LTD"/>
        <s v="HUI HUA HONG SHING INDUSTRIAL"/>
        <s v="HONGRITA PLASTICS LIMITED"/>
        <s v="NINGBO HONGYI  ELECTRICAL APP CO"/>
        <s v="NANTONG HONSUN COOKWARE MANU CO LTD"/>
        <s v="HOP SHING METAL &amp; PLASTIC MFY LTD"/>
        <s v="HOPEET ENTERPRISE CO LTD"/>
        <s v="HOUSEWARES 2000 CO LTD"/>
        <s v="SUZHOU HOWELL ELECTRIC APPLIANCES"/>
        <s v="ZHONGSHAN HUAZHONG PLASTICS TECH"/>
        <s v="FOSHAN CITY SHUNDE DISTRICT"/>
        <s v="XIAMEN HYSEN CONTROL TECH CO LTD"/>
        <s v="IBL PRODUCTS CO LTD"/>
        <s v="JIANGMEN IDEARHANYU ELEC JOINTSTOCK"/>
        <s v="INTERCONTINENTAL MARKETING SERVICES"/>
        <s v="INTERCONTIN MKT SERVICES FAR EAST"/>
        <s v="J&amp;P HONG KONG INDUSTRIAL CO LTD"/>
        <s v="Jack Pot Manufacturer Corp"/>
        <s v="CHANGZHOU JIANLONG METAL PRODUCTS"/>
        <s v="SHENZHEN JINSUWAY MOULD CO LTD"/>
        <s v="JOHNSON ELECTRIC INDUSTRIAL"/>
        <s v="JOIN STAR INDUSTRIAL LIMITED"/>
        <s v="JOYWIN INTERNATIONAL LIMITED"/>
        <s v="KL PRECISION HANOI CO LTD"/>
        <s v="JUNJIA HK ELECTRIC MANFUCTURING CO"/>
        <s v="SHAOXING STAR TRADING CO LTD"/>
        <s v="kai Suh Suh Enterprise Co Ltd"/>
        <s v="FOSHAN KASCO ELECTRICAL CO LTD"/>
        <s v="KEEN HING INDUSTRIES LIMITED"/>
        <s v="JIANGMEN KELSON INDUSTRIES LTD"/>
        <s v="KENFORD INDUSTRIAL CO LTD"/>
        <s v="KEUNG SING MOULD LIMITED"/>
        <s v="KIN SUN MOULDING LTD"/>
        <s v="KINGCLEAN ELECTRIC CO LTD"/>
        <s v="KJI Ind Ltd"/>
        <s v="KONSTAR INDUSTRIES LTD"/>
        <s v="KOREA CLAD TECH CO LTD"/>
        <s v="KRELL PRECISION COMPANY LTD"/>
        <s v="KUNSHAN XINBAO PLASTIC PRODUCTS LTD"/>
        <s v="KUPO Co Ltd"/>
        <s v="KWONNIE ELECTRICAL PRODUCTS LTD"/>
        <s v="KWONNIE INDUSTRIES LIMITED"/>
        <s v="LEONI CABLE CHANGZHOU CO LTD"/>
        <s v="LEONI CABLE XIAMEN CO LTD"/>
        <s v="LIANTEK ELECTRICAL APP SZ CO LTD"/>
        <s v="LINKFAIR HONG KONG  LIMITED"/>
        <s v="MAGICIAN INDUSTRIAL COMPANY LIMITED"/>
        <s v="LOMAK INDUSTRIAL COMPANY LIMITED"/>
        <s v="LUN DAR ELECTRIC IND CO LTD"/>
        <s v="MAIN POWER ELECTRICAL FACTORY LTD"/>
        <s v="MALAPLAST CO LTD"/>
        <s v="MAXTRONIX TECHNOLOGY LIMITED"/>
        <s v="MERCHANT CORPORATION LTD"/>
        <s v="METROPOLITAN ELECTRICAL APP MFG LTD"/>
        <s v="MEYER ALUMINIUM LTD"/>
        <s v="MEYER ALUMINIUM THAILAND CO LTD"/>
        <s v="FOSHAN MD DOMESTIC ELECTRIC"/>
        <s v="MINGLE INSTRUMENT LIMITED"/>
        <s v="MOBICON HOLDINGS LTD"/>
        <s v="FORD LIMITED MONTERY"/>
        <s v="MOTOR ELECTRIC MFG CO LTD"/>
        <s v="FOSHAN CITY SHUNDE NAM CHING"/>
        <s v="NEW LEAF (HK) LTD"/>
        <s v="NIFCO HK LTD"/>
        <s v="NINGBO BANGSHOU ELECTRIC CO LTD"/>
        <s v="NY HANG MANUFACTURING CO LTD"/>
        <s v="OLYMPIC COUNTRY COMPANY LTD"/>
        <s v="ARABIN GROUP LIMITED"/>
        <s v="ONYX ENTERPRISE DEVELOPMENT INC"/>
        <s v="OXYGEN ELECTRICAL LTD"/>
        <s v="PACRIM INVESTMENT INTERNATIONAL Ltd"/>
        <s v="PAKMANE BRUSH FACTORY"/>
        <s v="PATELEC NINGBO ELECTRIC CO LTD"/>
        <s v="PAYER Industries Hungary Kft"/>
        <s v="PAYER ELECTRIC PERSONAL CARE SUZHOU"/>
        <s v="PCI SHANGHAI ELECTRONICS CO LTD"/>
        <s v="PERENNIAL CABLE LTD"/>
        <s v="SHANGHAI POVOS ELECTRIC WORKS COLTD"/>
        <s v="POWER MOTOR INDUSTRIAL CO LTD"/>
        <s v="PPM SHENZHEN COMPANY"/>
        <s v="PRO TENT MANUFACTURING CO LTD"/>
        <s v="SHEN ZHEN PRODOO ELE  APP CO LTD"/>
        <s v="PROSPEROUS PRODUCT DEVELOPMENT CO"/>
        <s v="PT MITRA CITRA MAKMUR"/>
        <s v="HONGKONG QIANCAI INDUSTRY CO LTD"/>
        <s v="JIANGMEN OUDISI ELECTRIC CO LTD"/>
        <s v="SHENZHEN RIFDA LCD CO LTD"/>
        <s v="GUANG DONG RIFENG ELE CABLE CO LTD"/>
        <s v="RISHENG ENTERPRISE INTL CO"/>
        <s v="ZHEJIANG RONGKANG R &amp; P TECH CO LTD"/>
        <s v="ROYAL ELECTRONIC FACTORY CO LTD"/>
        <s v="DONGGUAN SAIDAGLASS CO LTD"/>
        <s v="ZHEJIANG KINGWANG INDUSTRIAL CO LTD"/>
        <s v="SPARKLING DRINK SYSTEMS INNOVATION"/>
        <s v="SEMCO CO Ltd"/>
        <s v="SWIFT TONE TECHNOLOGY INC"/>
        <s v="CHANGZHOU SHENGHUI ELE CO LTD"/>
        <s v="SHOUJI TOOLING FACTORY LIMITED"/>
        <s v="SIMATELEX MANUFACTORY CO"/>
        <s v="GUANGDONG G TOP IMPORT AND EXPORT"/>
        <s v="SING FAI SCREWS &amp; METAL WORKS"/>
        <s v="SINO JAPAN ELECTRIC HEATER CO LTD"/>
        <s v="SMART ELECTRIC MOTOR CO LTD"/>
        <s v="SMART TECH INDUSTRIAL LIMITED"/>
        <s v="SPECIALIFE INDUSTRIES LTD"/>
        <s v="SOURCING SOLUTIONS INC"/>
        <s v="SUCCESS METAL PRODUCTS COMPANY"/>
        <s v="SUN CUPID INDUSTRIES LTD"/>
        <s v="SUN FAI INDUSTRIAL CO"/>
        <s v="SUN LUEN ELECTRICAL MANUFACTUR"/>
        <s v="SUN TAT MODEL DESIGN LIMITED"/>
        <s v="NINGBO SUNNY ELECTRICAL HEATING"/>
        <s v="SUNSTRONG INTERNATIONAL IND LTD"/>
        <s v="SUZHOU DELUXE ELECTRIC CO LTD"/>
        <s v="TA HSING ELECTRIC WIRE &amp; CABLE"/>
        <s v="TEAM CONCEPT HK INDUSTRY LIMITED"/>
        <s v="TECH LINK SILICONES CO LTD"/>
        <s v="TELEFIELD LTD"/>
        <s v="THERMASTER ELECTRONIC (XIAMEN) LTD"/>
        <s v="THERMOKEY ELECTRIC INDUSTRIAL CORP"/>
        <s v="NINGBO TIANBO GANGLIAN ELECTRONICS"/>
        <s v="TIFFANY MATERIALS LTD"/>
        <s v="TK INTERNATIONAL (BVI) LTD"/>
        <s v="TOWER SWITCHES Ltd"/>
        <s v="ZHONGSHAN TRANSTEK TRADING CO LTD"/>
        <s v="TSANN KUEN ZHANGZHOU  ENTREPRISE"/>
        <s v="PT STAR COMGISTIC INDONESIA"/>
        <s v="TSUN NGAI TOOLS COMPANY"/>
        <s v="TAEYANG SAIGON CO LTD"/>
        <s v="Uni-Splendor Corporation"/>
        <s v="UNITED RUBBER FACTORY LTD"/>
        <s v="UNIWELL ELECTRONIC LTD"/>
        <s v="V MOTOR LIMITED"/>
        <s v="VIGOR PRECISION LTD"/>
        <s v="VOLUME TABLEWARE LTD"/>
        <s v="VSA ELECTRONICS TECHNOLOGY"/>
        <s v="UPWILL ENTERPRISES LIMITED"/>
        <s v="WAI SHING INDUSTRIAL (HK) LTD"/>
        <s v="ZHEJIANG WANGUAN MOTOR CO LTD"/>
        <s v="SHANGHAI WAN SHENG"/>
        <s v="WANG CHUN INDUSTRIAL LTD"/>
        <s v="ZHEJIANG XINGPENG IMP &amp; EXP CO LTD"/>
        <s v="WESTA ELECTRIC APPLIANCES CO LTD"/>
        <s v="WIK FAR EAST LTD"/>
        <s v="WING KEUNG METAL FACTORY"/>
        <s v="WINNINGTON METAL &amp; PLASTIC M.CO LTD"/>
        <s v="WISEFAME INTERNATIONAL LTD"/>
        <s v="WOO FUNG METAL WORKS LTD"/>
        <s v="WOR BIZ TRADING CO LTD"/>
        <s v="X J GROUP LIMITED"/>
        <s v="CHANGZHOU INOXON METALTECH CO LTD"/>
        <s v="GUANGZHOU XING BAI JIA GLASS CO LTD"/>
        <s v="Ya Horng Electronic Co., Ltd."/>
        <s v="PEARL SUMMIT LIMITED"/>
        <s v="SHANGHAI YING BAO PLASTIC HOSE LTD"/>
        <s v="JIANGMEN YINGDE TOUGHENED GLASS"/>
        <s v="SHANGHAI YIWEI TRADE CO LTD"/>
        <s v="DONGGUAN YONG TAI DIE CASTING"/>
        <s v="YORKWELL INDUSTRIES LIMITED"/>
        <s v="YOU LONG ELECTRICAL INDUSTRIAL LTD"/>
        <s v="YOUNG AN WING"/>
        <s v="ZHEJIANG YUELI ELECTRICAL CO LTD"/>
        <s v="ZIPPY TECHNOLOGY CORP"/>
      </sharedItems>
    </cacheField>
    <cacheField name="shortname" numFmtId="0">
      <sharedItems count="254">
        <s v="ABDOOLALLY"/>
        <s v="ABLEK"/>
        <s v="ABUNDANCE"/>
        <s v="ACE DONGNAN"/>
        <s v="AIRMATE"/>
        <s v="AIRTEK"/>
        <s v="ALLAN"/>
        <s v="ALLY"/>
        <s v="ALPHA"/>
        <s v="ALTRUST TOOLING"/>
        <s v="ANGU GROUP"/>
        <s v="ANLIAN"/>
        <s v="ARTFAIR"/>
        <s v="ASD"/>
        <s v="ASIA BRIGHT"/>
        <s v="ATHOS"/>
        <s v="AUONE"/>
        <s v="AWECO"/>
        <s v="BAOLI COLOUR"/>
        <s v="BI GOLD"/>
        <s v="BKZ HK"/>
        <s v="BLUE ELECTRO"/>
        <s v="CAMEWOULD"/>
        <s v="CCI"/>
        <s v="CHAU&quot;S"/>
        <s v="CHEUK KIT"/>
        <s v="CHI FUNG"/>
        <s v="CHIAPHUA"/>
        <s v="CHING MING DIE CAST"/>
        <s v="CHUNG FU HARDWARE"/>
        <s v="CHUNG MEI"/>
        <s v="CHUNJU"/>
        <s v="CINDERSON"/>
        <s v="COILS"/>
        <s v="COWAY"/>
        <s v="CRASTAL"/>
        <s v="CUORI"/>
        <s v="DA WANG YE"/>
        <s v="DAILYWIN"/>
        <s v="DALONG"/>
        <s v="DAVE PLASTIC"/>
        <s v="DAWEI"/>
        <s v="DB PRODUCTS"/>
        <s v="DCH"/>
        <s v="DECHANG"/>
        <s v="DEFOND"/>
        <s v="DEFOND COMPONENTS"/>
        <s v="DICKSON"/>
        <s v="DICKSON CIRCUIT"/>
        <s v="DOCOME GLASS"/>
        <s v="DONGNAN"/>
        <s v="DONLIM"/>
        <s v="DS MOTOR"/>
        <s v="E &amp; E"/>
        <s v="EASTERN SOURCES"/>
        <s v="EASYNET"/>
        <s v="ELECPRO"/>
        <s v="ELECTECH"/>
        <s v="EUP"/>
        <s v="EVER KING"/>
        <s v="EVERSHINE"/>
        <s v="EXCELIGHT"/>
        <s v="FAIRFORM"/>
        <s v="FANRONG"/>
        <s v="FATIA"/>
        <s v="FINE CERAMIC"/>
        <s v="FOCUS"/>
        <s v="FORTUNE ART"/>
        <s v="FRIENDSHIP"/>
        <s v="FU TIAN"/>
        <s v="FUJITECH"/>
        <s v="FUXIN"/>
        <s v="GALANZ"/>
        <s v="GEARING"/>
        <s v="GEW"/>
        <s v="GLOBAL CIRCUITS BOARDS"/>
        <s v="GLOBAL TAT"/>
        <s v="GOLD TUNING"/>
        <s v="GOLDRIC"/>
        <s v="GUANG LONG"/>
        <s v="GUANG YONG"/>
        <s v="GUL TZ"/>
        <s v="HAIYAN DONGHAI"/>
        <s v="HALLSMART"/>
        <s v="HANG SHUN HING"/>
        <s v="HANOOL"/>
        <s v="HEIGER"/>
        <s v="HEISHAN GLASS"/>
        <s v="HENGDA"/>
        <s v="HENGHE"/>
        <s v="HENSEN GLASS"/>
        <s v="HI TECH PRECISION"/>
        <s v="HIFACER"/>
        <s v="HOLLYLAND"/>
        <s v="HOMEWELL"/>
        <s v="HOMEZEST"/>
        <s v="HONG BANG"/>
        <s v="HONG SHING"/>
        <s v="HONGRITA"/>
        <s v="HONGYI"/>
        <s v="HONSUN"/>
        <s v="HOP SHING"/>
        <s v="HOPEET"/>
        <s v="HOUSEWARES 2000"/>
        <s v="HOWELL"/>
        <s v="HUAZHONG PLASTICS"/>
        <s v="HUIERJIA"/>
        <s v="HYSEN"/>
        <s v="IBL"/>
        <s v="IDEARHANYU"/>
        <s v="IMS"/>
        <s v="IMS Far East"/>
        <s v="J&amp;P HONG KONG"/>
        <s v="JACK POT"/>
        <s v="JIANLONG METAL"/>
        <s v="JINSUWAY MOULD"/>
        <s v="JOHNSON"/>
        <s v="JOIN STAR"/>
        <s v="JOYFU"/>
        <s v="JPK"/>
        <s v="JUNJIA"/>
        <s v="JUNWILL"/>
        <s v="KAI SUH SUH"/>
        <s v="KASCO"/>
        <s v="KEEN HING"/>
        <s v="KELSON"/>
        <s v="KENFORD"/>
        <s v="KEUNG SING MOULD"/>
        <s v="KIN SUN MOULDING"/>
        <s v="KINGCLEAN"/>
        <s v="KJI"/>
        <s v="KONSTAR"/>
        <s v="KOREA CLAD TECH"/>
        <s v="KRELL"/>
        <s v="KUNSHAN XINBAO"/>
        <s v="KUPO"/>
        <s v="KWONNIE"/>
        <s v="LEONI CHANGZHOU"/>
        <s v="LEONI XIAMEN"/>
        <s v="LIANTEK"/>
        <s v="LINKFAIR"/>
        <s v="LISI"/>
        <s v="LOMAK"/>
        <s v="LUNDAR"/>
        <s v="MAIN POWER"/>
        <s v="MALAPLAST"/>
        <s v="MAXTRONIX"/>
        <s v="MERCHANT"/>
        <s v="METROPOLITAN"/>
        <s v="MEYER"/>
        <s v="MIDEA"/>
        <s v="MINGLE"/>
        <s v="MOBICON"/>
        <s v="MONTERY"/>
        <s v="MOTOR ELECTRIC"/>
        <s v="NAM CHING GLASS"/>
        <s v="NEW LEAF"/>
        <s v="NIFCO"/>
        <s v="NINGBO BANGSHOU"/>
        <s v="NY HANG"/>
        <s v="OLYMPIC COUNTRY"/>
        <s v="OMAN"/>
        <s v="ONYX"/>
        <s v="OXYGEN"/>
        <s v="PACRIM"/>
        <s v="PAKMANE BRUSH"/>
        <s v="PATELEC"/>
        <s v="PAYER"/>
        <s v="PCI SHANGHAI"/>
        <s v="PERENNIAL"/>
        <s v="POVOS"/>
        <s v="POWER MOTOR"/>
        <s v="PRECISION PRODUCTS"/>
        <s v="PRO TENT"/>
        <s v="PRODOO"/>
        <s v="PROSPEROUS"/>
        <s v="PT MITRA"/>
        <s v="QIANCAI"/>
        <s v="QIBAO"/>
        <s v="RIFDA"/>
        <s v="RIFENG"/>
        <s v="RISHENG"/>
        <s v="RONGKANG"/>
        <s v="ROYAL ELECTRONIC"/>
        <s v="SAIDA"/>
        <s v="SANBO"/>
        <s v="SDS"/>
        <s v="SEMCO"/>
        <s v="SHENGHUI"/>
        <s v="SHOUJI TOOLING"/>
        <s v="SIMATELEX"/>
        <s v="SINCERE HOME"/>
        <s v="SING FAI SCREWS"/>
        <s v="SINO JAPAN"/>
        <s v="SMART ELECTRIC"/>
        <s v="SMART TECH"/>
        <s v="SPECIALIFE"/>
        <s v="SSI"/>
        <s v="SUCCESS METAL"/>
        <s v="SUN CUPID"/>
        <s v="SUN FAI"/>
        <s v="SUN LUEN"/>
        <s v="SUN TAT MODEL"/>
        <s v="SUNNY"/>
        <s v="SUNSTRONG"/>
        <s v="SUZHOU DELUXE"/>
        <s v="TA HSING"/>
        <s v="TEAM CONCEPT"/>
        <s v="TECHLINK"/>
        <s v="TELEFIELD"/>
        <s v="THERMASTER"/>
        <s v="THERMOKEY"/>
        <s v="TIANBO GANGLIAN"/>
        <s v="TIFFANY"/>
        <s v="TK INTERNATIONAL"/>
        <s v="TOWER SWITCHES"/>
        <s v="TRANSTEK"/>
        <s v="TSANN KUEN"/>
        <s v="TSANN KUEN IND"/>
        <s v="TSUN NGAI TOOLS"/>
        <s v="TYS"/>
        <s v="UNI-SPLENDOR"/>
        <s v="UNITED RUBBER"/>
        <s v="UNIWELL"/>
        <s v="V MOTOR"/>
        <s v="VIGOR"/>
        <s v="VOLUME TABLEWARE"/>
        <s v="VS"/>
        <s v="WAI SHING"/>
        <s v="WAN GUAN"/>
        <s v="WAN SHENG"/>
        <s v="WANG CHUN"/>
        <s v="WEIHUA"/>
        <s v="WESTA"/>
        <s v="WIK"/>
        <s v="WING KEUNG"/>
        <s v="WINNINGTON"/>
        <s v="WISEFAME"/>
        <s v="WOO FUNG"/>
        <s v="WOR BIZ"/>
        <s v="X J GROUP"/>
        <s v="XILIN"/>
        <s v="XING BAI JIA GLASS"/>
        <s v="YA HORNG"/>
        <s v="YIDA"/>
        <s v="YING BAO"/>
        <s v="YINGDE"/>
        <s v="YIWEI"/>
        <s v="YONG TAI"/>
        <s v="YORKWELL"/>
        <s v="YOU LONG"/>
        <s v="YOUNG AN"/>
        <s v="YUE LI"/>
        <s v="ZIPPY"/>
      </sharedItems>
    </cacheField>
    <cacheField name="spm" numFmtId="0">
      <sharedItems count="6">
        <s v="OLIVIER VALANCE"/>
        <s v="TIK CHUN KWOK"/>
        <s v="RITA LO"/>
        <s v="LILY LI"/>
        <s v="WHAM WAN"/>
        <s v="RUBY YUAN"/>
      </sharedItems>
    </cacheField>
    <cacheField name="pm" numFmtId="0">
      <sharedItems/>
    </cacheField>
    <cacheField name="documentid" numFmtId="0">
      <sharedItems containsSemiMixedTypes="0" containsString="0" containsNumber="1" containsInteger="1" minValue="1" maxValue="2560"/>
    </cacheField>
    <cacheField name="doctypename" numFmtId="0">
      <sharedItems/>
    </cacheField>
    <cacheField name="levelname" numFmtId="0">
      <sharedItems containsBlank="1"/>
    </cacheField>
    <cacheField name="expireddate" numFmtId="14">
      <sharedItems containsNonDate="0" containsDate="1" containsString="0" containsBlank="1" minDate="2008-05-21T00:00:00" maxDate="2016-01-01T00:00:00"/>
    </cacheField>
    <cacheField name="docdate" numFmtId="14">
      <sharedItems containsSemiMixedTypes="0" containsNonDate="0" containsDate="1" containsString="0" minDate="1996-05-09T00:00:00" maxDate="7012-07-18T00:00:00" count="883">
        <d v="2009-07-07T00:00:00"/>
        <d v="2010-11-11T00:00:00"/>
        <d v="2010-05-14T00:00:00"/>
        <d v="2010-05-10T00:00:00"/>
        <d v="2008-04-28T00:00:00"/>
        <d v="2011-12-31T00:00:00"/>
        <d v="2008-03-12T00:00:00"/>
        <d v="2010-03-24T00:00:00"/>
        <d v="2012-08-08T00:00:00"/>
        <d v="2013-06-01T00:00:00"/>
        <d v="2012-04-25T00:00:00"/>
        <d v="2013-01-29T00:00:00"/>
        <d v="2012-03-06T00:00:00"/>
        <d v="2013-01-01T00:00:00"/>
        <d v="2011-01-01T00:00:00"/>
        <d v="2008-08-18T00:00:00"/>
        <d v="2012-05-23T00:00:00"/>
        <d v="2011-06-08T00:00:00"/>
        <d v="2011-04-06T00:00:00"/>
        <d v="2012-08-07T00:00:00"/>
        <d v="2012-03-22T00:00:00"/>
        <d v="2013-02-04T00:00:00"/>
        <d v="2011-12-01T00:00:00"/>
        <d v="2014-01-17T00:00:00"/>
        <d v="2013-11-02T00:00:00"/>
        <d v="2013-01-31T00:00:00"/>
        <d v="2012-10-15T00:00:00"/>
        <d v="2013-05-27T00:00:00"/>
        <d v="2012-03-30T00:00:00"/>
        <d v="2012-08-24T00:00:00"/>
        <d v="2012-05-28T00:00:00"/>
        <d v="2012-04-18T00:00:00"/>
        <d v="2011-10-10T00:00:00"/>
        <d v="2012-02-21T00:00:00"/>
        <d v="2013-07-16T00:00:00"/>
        <d v="2012-08-15T00:00:00"/>
        <d v="2012-11-12T00:00:00"/>
        <d v="2012-03-01T00:00:00"/>
        <d v="2013-02-28T00:00:00"/>
        <d v="2012-07-20T00:00:00"/>
        <d v="2009-07-19T00:00:00"/>
        <d v="2006-07-18T00:00:00"/>
        <d v="2009-06-26T00:00:00"/>
        <d v="2014-01-21T00:00:00"/>
        <d v="2012-05-17T00:00:00"/>
        <d v="2012-09-04T00:00:00"/>
        <d v="2014-01-20T00:00:00"/>
        <d v="2012-07-01T00:00:00"/>
        <d v="2012-04-20T00:00:00"/>
        <d v="2012-04-11T00:00:00"/>
        <d v="2010-06-05T00:00:00"/>
        <d v="2012-08-03T00:00:00"/>
        <d v="2012-10-10T00:00:00"/>
        <d v="2012-06-15T00:00:00"/>
        <d v="2013-03-15T00:00:00"/>
        <d v="2012-06-06T00:00:00"/>
        <d v="2009-01-09T00:00:00"/>
        <d v="2009-01-17T00:00:00"/>
        <d v="2009-02-12T00:00:00"/>
        <d v="2010-03-27T00:00:00"/>
        <d v="2012-08-20T00:00:00"/>
        <d v="2014-03-17T00:00:00"/>
        <d v="2010-03-23T00:00:00"/>
        <d v="2011-05-24T00:00:00"/>
        <d v="2012-05-20T00:00:00"/>
        <d v="2014-03-18T00:00:00"/>
        <d v="2011-06-01T00:00:00"/>
        <d v="2011-05-01T00:00:00"/>
        <d v="2010-05-30T00:00:00"/>
        <d v="2012-08-09T00:00:00"/>
        <d v="2011-12-29T00:00:00"/>
        <d v="2011-04-21T00:00:00"/>
        <d v="2012-09-24T00:00:00"/>
        <d v="2013-11-14T00:00:00"/>
        <d v="2013-08-08T00:00:00"/>
        <d v="2012-05-04T00:00:00"/>
        <d v="2012-12-19T00:00:00"/>
        <d v="2013-02-01T00:00:00"/>
        <d v="2013-07-26T00:00:00"/>
        <d v="2012-12-20T00:00:00"/>
        <d v="2010-03-29T00:00:00"/>
        <d v="2012-09-26T00:00:00"/>
        <d v="2012-07-16T00:00:00"/>
        <d v="2012-02-27T00:00:00"/>
        <d v="2007-06-20T00:00:00"/>
        <d v="2010-06-15T00:00:00"/>
        <d v="2011-11-24T00:00:00"/>
        <d v="2011-06-10T00:00:00"/>
        <d v="2013-05-28T00:00:00"/>
        <d v="2012-12-13T00:00:00"/>
        <d v="2013-06-24T00:00:00"/>
        <d v="2010-03-08T00:00:00"/>
        <d v="2009-03-26T00:00:00"/>
        <d v="2012-09-05T00:00:00"/>
        <d v="2013-08-13T00:00:00"/>
        <d v="2013-01-21T00:00:00"/>
        <d v="2012-12-07T00:00:00"/>
        <d v="2012-01-31T00:00:00"/>
        <d v="2008-12-09T00:00:00"/>
        <d v="2008-12-16T00:00:00"/>
        <d v="2013-10-31T00:00:00"/>
        <d v="2010-05-18T00:00:00"/>
        <d v="2011-02-25T00:00:00"/>
        <d v="2012-08-16T00:00:00"/>
        <d v="2012-04-30T00:00:00"/>
        <d v="2012-10-11T00:00:00"/>
        <d v="2012-05-16T00:00:00"/>
        <d v="2012-11-01T00:00:00"/>
        <d v="2012-10-08T00:00:00"/>
        <d v="2013-01-14T00:00:00"/>
        <d v="2010-05-31T00:00:00"/>
        <d v="2014-02-28T00:00:00"/>
        <d v="2012-07-17T00:00:00"/>
        <d v="2012-12-17T00:00:00"/>
        <d v="2014-02-18T00:00:00"/>
        <d v="2012-10-01T00:00:00"/>
        <d v="2013-07-01T00:00:00"/>
        <d v="2013-05-01T00:00:00"/>
        <d v="2013-05-30T00:00:00"/>
        <d v="2012-04-23T00:00:00"/>
        <d v="2013-11-08T00:00:00"/>
        <d v="2012-03-20T00:00:00"/>
        <d v="2013-09-09T00:00:00"/>
        <d v="2012-05-01T00:00:00"/>
        <d v="2012-07-05T00:00:00"/>
        <d v="2012-07-03T00:00:00"/>
        <d v="2007-03-09T00:00:00"/>
        <d v="2012-09-10T00:00:00"/>
        <d v="2011-06-06T00:00:00"/>
        <d v="2013-09-12T00:00:00"/>
        <d v="2008-10-29T00:00:00"/>
        <d v="2014-02-06T00:00:00"/>
        <d v="2012-09-01T00:00:00"/>
        <d v="2013-06-28T00:00:00"/>
        <d v="2013-08-14T00:00:00"/>
        <d v="2013-12-30T00:00:00"/>
        <d v="2011-02-15T00:00:00"/>
        <d v="2012-05-09T00:00:00"/>
        <d v="2013-02-18T00:00:00"/>
        <d v="2013-03-19T00:00:00"/>
        <d v="2013-05-24T00:00:00"/>
        <d v="2012-03-13T00:00:00"/>
        <d v="2013-10-01T00:00:00"/>
        <d v="2012-02-20T00:00:00"/>
        <d v="2010-06-19T00:00:00"/>
        <d v="2004-12-14T00:00:00"/>
        <d v="2012-05-08T00:00:00"/>
        <d v="2013-02-05T00:00:00"/>
        <d v="2013-10-24T00:00:00"/>
        <d v="2012-01-12T00:00:00"/>
        <d v="2012-04-10T00:00:00"/>
        <d v="2012-02-17T00:00:00"/>
        <d v="2009-11-27T00:00:00"/>
        <d v="2011-02-23T00:00:00"/>
        <d v="2012-08-17T00:00:00"/>
        <d v="2013-05-12T00:00:00"/>
        <d v="2011-03-02T00:00:00"/>
        <d v="2013-02-20T00:00:00"/>
        <d v="2013-05-14T00:00:00"/>
        <d v="2013-08-19T00:00:00"/>
        <d v="2009-08-10T00:00:00"/>
        <d v="2011-09-08T00:00:00"/>
        <d v="2011-08-03T00:00:00"/>
        <d v="2013-02-27T00:00:00"/>
        <d v="2013-01-30T00:00:00"/>
        <d v="2012-03-17T00:00:00"/>
        <d v="2012-07-06T00:00:00"/>
        <d v="2012-08-31T00:00:00"/>
        <d v="2013-05-29T00:00:00"/>
        <d v="2012-03-02T00:00:00"/>
        <d v="2013-01-22T00:00:00"/>
        <d v="2005-08-02T00:00:00"/>
        <d v="2013-01-17T00:00:00"/>
        <d v="2012-10-14T00:00:00"/>
        <d v="2013-08-16T00:00:00"/>
        <d v="2012-03-26T00:00:00"/>
        <d v="2008-03-31T00:00:00"/>
        <d v="2008-11-14T00:00:00"/>
        <d v="2011-09-15T00:00:00"/>
        <d v="2013-04-20T00:00:00"/>
        <d v="2012-04-16T00:00:00"/>
        <d v="2012-01-03T00:00:00"/>
        <d v="2012-04-05T00:00:00"/>
        <d v="2012-05-10T00:00:00"/>
        <d v="2012-05-07T00:00:00"/>
        <d v="2012-02-08T00:00:00"/>
        <d v="2010-06-07T00:00:00"/>
        <d v="2013-01-28T00:00:00"/>
        <d v="2009-06-24T00:00:00"/>
        <d v="2013-06-17T00:00:00"/>
        <d v="2013-05-23T00:00:00"/>
        <d v="2007-10-04T00:00:00"/>
        <d v="2013-01-18T00:00:00"/>
        <d v="2014-04-17T00:00:00"/>
        <d v="2014-02-13T00:00:00"/>
        <d v="2012-03-09T00:00:00"/>
        <d v="2012-07-24T00:00:00"/>
        <d v="2010-02-08T00:00:00"/>
        <d v="2011-10-27T00:00:00"/>
        <d v="2012-04-17T00:00:00"/>
        <d v="2005-03-29T00:00:00"/>
        <d v="2012-12-01T00:00:00"/>
        <d v="2013-07-30T00:00:00"/>
        <d v="2013-02-21T00:00:00"/>
        <d v="2012-02-04T00:00:00"/>
        <d v="2012-08-04T00:00:00"/>
        <d v="2008-01-17T00:00:00"/>
        <d v="2010-07-23T00:00:00"/>
        <d v="2012-05-26T00:00:00"/>
        <d v="2011-03-22T00:00:00"/>
        <d v="2010-05-07T00:00:00"/>
        <d v="2010-07-27T00:00:00"/>
        <d v="2011-06-16T00:00:00"/>
        <d v="2011-01-14T00:00:00"/>
        <d v="2011-05-23T00:00:00"/>
        <d v="2007-04-09T00:00:00"/>
        <d v="2012-12-12T00:00:00"/>
        <d v="2009-09-11T00:00:00"/>
        <d v="2010-05-22T00:00:00"/>
        <d v="2010-05-08T00:00:00"/>
        <d v="2011-03-21T00:00:00"/>
        <d v="2012-09-14T00:00:00"/>
        <d v="2012-12-31T00:00:00"/>
        <d v="2012-01-01T00:00:00"/>
        <d v="2012-04-06T00:00:00"/>
        <d v="2010-03-30T00:00:00"/>
        <d v="2013-02-07T00:00:00"/>
        <d v="2011-06-14T00:00:00"/>
        <d v="2012-08-13T00:00:00"/>
        <d v="2012-04-01T00:00:00"/>
        <d v="2014-03-07T00:00:00"/>
        <d v="2013-06-07T00:00:00"/>
        <d v="2012-07-07T00:00:00"/>
        <d v="2013-01-07T00:00:00"/>
        <d v="2013-08-12T00:00:00"/>
        <d v="2012-08-02T00:00:00"/>
        <d v="2012-10-30T00:00:00"/>
        <d v="2013-07-02T00:00:00"/>
        <d v="2012-05-18T00:00:00"/>
        <d v="2010-03-09T00:00:00"/>
        <d v="2010-01-01T00:00:00"/>
        <d v="2012-11-20T00:00:00"/>
        <d v="2012-08-06T00:00:00"/>
        <d v="2008-08-01T00:00:00"/>
        <d v="2011-02-24T00:00:00"/>
        <d v="2012-08-10T00:00:00"/>
        <d v="2011-12-30T00:00:00"/>
        <d v="2012-09-25T00:00:00"/>
        <d v="2013-08-05T00:00:00"/>
        <d v="2012-09-27T00:00:00"/>
        <d v="2012-11-29T00:00:00"/>
        <d v="2012-09-23T00:00:00"/>
        <d v="2013-05-13T00:00:00"/>
        <d v="2010-03-20T00:00:00"/>
        <d v="2014-03-24T00:00:00"/>
        <d v="2008-02-29T00:00:00"/>
        <d v="2013-01-09T00:00:00"/>
        <d v="2012-07-27T00:00:00"/>
        <d v="2010-09-23T00:00:00"/>
        <d v="2012-08-30T00:00:00"/>
        <d v="2013-01-08T00:00:00"/>
        <d v="2009-06-16T00:00:00"/>
        <d v="2013-05-31T00:00:00"/>
        <d v="2014-02-11T00:00:00"/>
        <d v="2012-11-28T00:00:00"/>
        <d v="2012-12-18T00:00:00"/>
        <d v="2012-11-06T00:00:00"/>
        <d v="2010-05-13T00:00:00"/>
        <d v="2012-11-21T00:00:00"/>
        <d v="2008-10-16T00:00:00"/>
        <d v="2012-08-28T00:00:00"/>
        <d v="2013-02-25T00:00:00"/>
        <d v="1996-05-09T00:00:00"/>
        <d v="2009-02-27T00:00:00"/>
        <d v="2006-01-01T00:00:00"/>
        <d v="2006-07-09T00:00:00"/>
        <d v="2004-04-23T00:00:00"/>
        <d v="2010-06-03T00:00:00"/>
        <d v="2010-05-06T00:00:00"/>
        <d v="2007-07-08T00:00:00"/>
        <d v="2010-03-22T00:00:00"/>
        <d v="2012-09-03T00:00:00"/>
        <d v="2012-07-08T00:00:00"/>
        <d v="2011-04-15T00:00:00"/>
        <d v="2013-07-10T00:00:00"/>
        <d v="2010-08-18T00:00:00"/>
        <d v="2013-05-11T00:00:00"/>
        <d v="2013-01-16T00:00:00"/>
        <d v="2012-04-13T00:00:00"/>
        <d v="2012-07-12T00:00:00"/>
        <d v="2012-05-14T00:00:00"/>
        <d v="2009-05-18T00:00:00"/>
        <d v="2011-01-05T00:00:00"/>
        <d v="2011-11-17T00:00:00"/>
        <d v="2010-09-09T00:00:00"/>
        <d v="2011-07-20T00:00:00"/>
        <d v="2010-12-11T00:00:00"/>
        <d v="2012-09-13T00:00:00"/>
        <d v="2008-05-14T00:00:00"/>
        <d v="2012-04-26T00:00:00"/>
        <d v="2012-05-24T00:00:00"/>
        <d v="2008-07-14T00:00:00"/>
        <d v="2012-04-24T00:00:00"/>
        <d v="2012-03-03T00:00:00"/>
        <d v="2013-01-23T00:00:00"/>
        <d v="2013-06-14T00:00:00"/>
        <d v="2013-07-08T00:00:00"/>
        <d v="2013-07-14T00:00:00"/>
        <d v="2013-05-20T00:00:00"/>
        <d v="2010-09-16T00:00:00"/>
        <d v="2013-05-08T00:00:00"/>
        <d v="2012-12-24T00:00:00"/>
        <d v="2010-01-11T00:00:00"/>
        <d v="2011-03-31T00:00:00"/>
        <d v="2011-05-26T00:00:00"/>
        <d v="2008-10-20T00:00:00"/>
        <d v="2010-04-01T00:00:00"/>
        <d v="2012-04-02T00:00:00"/>
        <d v="2012-02-06T00:00:00"/>
        <d v="2012-04-19T00:00:00"/>
        <d v="2012-08-14T00:00:00"/>
        <d v="2012-05-02T00:00:00"/>
        <d v="2012-05-29T00:00:00"/>
        <d v="2011-05-12T00:00:00"/>
        <d v="2010-05-01T00:00:00"/>
        <d v="2008-02-12T00:00:00"/>
        <d v="2010-05-26T00:00:00"/>
        <d v="2009-06-15T00:00:00"/>
        <d v="2009-05-06T00:00:00"/>
        <d v="2008-08-28T00:00:00"/>
        <d v="2010-12-15T00:00:00"/>
        <d v="2012-06-20T00:00:00"/>
        <d v="2013-06-21T00:00:00"/>
        <d v="2012-02-16T00:00:00"/>
        <d v="2010-05-15T00:00:00"/>
        <d v="2012-03-23T00:00:00"/>
        <d v="2010-10-13T00:00:00"/>
        <d v="2012-07-23T00:00:00"/>
        <d v="2009-02-11T00:00:00"/>
        <d v="2013-08-09T00:00:00"/>
        <d v="2011-03-17T00:00:00"/>
        <d v="2012-03-11T00:00:00"/>
        <d v="2011-10-03T00:00:00"/>
        <d v="2007-10-01T00:00:00"/>
        <d v="2013-07-09T00:00:00"/>
        <d v="2010-04-02T00:00:00"/>
        <d v="2012-03-19T00:00:00"/>
        <d v="2013-03-13T00:00:00"/>
        <d v="2013-11-22T00:00:00"/>
        <d v="2013-12-02T00:00:00"/>
        <d v="2011-11-22T00:00:00"/>
        <d v="2013-06-29T00:00:00"/>
        <d v="2013-11-15T00:00:00"/>
        <d v="2011-12-22T00:00:00"/>
        <d v="2012-05-11T00:00:00"/>
        <d v="2013-06-20T00:00:00"/>
        <d v="2009-02-06T00:00:00"/>
        <d v="2010-03-02T00:00:00"/>
        <d v="2010-03-17T00:00:00"/>
        <d v="2010-02-12T00:00:00"/>
        <d v="2013-04-23T00:00:00"/>
        <d v="2013-08-06T00:00:00"/>
        <d v="2012-08-01T00:00:00"/>
        <d v="2010-03-26T00:00:00"/>
        <d v="2011-02-26T00:00:00"/>
        <d v="2011-01-28T00:00:00"/>
        <d v="2011-06-23T00:00:00"/>
        <d v="2010-12-01T00:00:00"/>
        <d v="2007-12-03T00:00:00"/>
        <d v="2011-08-04T00:00:00"/>
        <d v="2013-01-25T00:00:00"/>
        <d v="2012-11-07T00:00:00"/>
        <d v="2008-12-04T00:00:00"/>
        <d v="2013-08-11T00:00:00"/>
        <d v="2011-03-04T00:00:00"/>
        <d v="2013-03-26T00:00:00"/>
        <d v="2012-07-02T00:00:00"/>
        <d v="2012-06-07T00:00:00"/>
        <d v="2012-06-08T00:00:00"/>
        <d v="2011-09-23T00:00:00"/>
        <d v="2009-09-07T00:00:00"/>
        <d v="2010-03-25T00:00:00"/>
        <d v="2014-01-18T00:00:00"/>
        <d v="2012-01-17T00:00:00"/>
        <d v="2009-04-01T00:00:00"/>
        <d v="2012-06-14T00:00:00"/>
        <d v="2012-12-11T00:00:00"/>
        <d v="2012-06-13T00:00:00"/>
        <d v="2008-10-13T00:00:00"/>
        <d v="2011-09-09T00:00:00"/>
        <d v="2011-03-07T00:00:00"/>
        <d v="2011-10-11T00:00:00"/>
        <d v="2014-02-12T00:00:00"/>
        <d v="2012-06-28T00:00:00"/>
        <d v="2013-06-03T00:00:00"/>
        <d v="2013-06-04T00:00:00"/>
        <d v="2013-05-16T00:00:00"/>
        <d v="2010-06-09T00:00:00"/>
        <d v="2009-06-09T00:00:00"/>
        <d v="2013-01-12T00:00:00"/>
        <d v="2012-03-07T00:00:00"/>
        <d v="2012-11-04T00:00:00"/>
        <d v="2009-05-21T00:00:00"/>
        <d v="2012-02-02T00:00:00"/>
        <d v="2007-06-05T00:00:00"/>
        <d v="2012-11-22T00:00:00"/>
        <d v="2012-03-15T00:00:00"/>
        <d v="2013-03-30T00:00:00"/>
        <d v="2012-03-21T00:00:00"/>
        <d v="2013-06-15T00:00:00"/>
        <d v="2008-02-18T00:00:00"/>
        <d v="2010-06-18T00:00:00"/>
        <d v="2009-08-12T00:00:00"/>
        <d v="2010-01-03T00:00:00"/>
        <d v="2009-12-10T00:00:00"/>
        <d v="2011-04-04T00:00:00"/>
        <d v="2012-12-03T00:00:00"/>
        <d v="2008-02-16T00:00:00"/>
        <d v="2013-06-19T00:00:00"/>
        <d v="2013-03-12T00:00:00"/>
        <d v="2012-09-17T00:00:00"/>
        <d v="2010-04-09T00:00:00"/>
        <d v="2009-04-24T00:00:00"/>
        <d v="2011-12-26T00:00:00"/>
        <d v="2009-01-16T00:00:00"/>
        <d v="2013-10-23T00:00:00"/>
        <d v="2011-12-28T00:00:00"/>
        <d v="2011-12-19T00:00:00"/>
        <d v="2011-12-12T00:00:00"/>
        <d v="2011-12-25T00:00:00"/>
        <d v="2012-08-18T00:00:00"/>
        <d v="2013-04-02T00:00:00"/>
        <d v="2010-01-26T00:00:00"/>
        <d v="2013-04-19T00:00:00"/>
        <d v="2013-09-03T00:00:00"/>
        <d v="2010-07-19T00:00:00"/>
        <d v="2008-11-25T00:00:00"/>
        <d v="2009-03-09T00:00:00"/>
        <d v="2010-03-05T00:00:00"/>
        <d v="2011-03-01T00:00:00"/>
        <d v="2012-08-29T00:00:00"/>
        <d v="2012-03-31T00:00:00"/>
        <d v="2011-06-22T00:00:00"/>
        <d v="2009-04-27T00:00:00"/>
        <d v="2012-07-31T00:00:00"/>
        <d v="2013-05-26T00:00:00"/>
        <d v="2010-11-01T00:00:00"/>
        <d v="2012-01-11T00:00:00"/>
        <d v="2012-12-28T00:00:00"/>
        <d v="2012-05-05T00:00:00"/>
        <d v="2010-03-11T00:00:00"/>
        <d v="2010-02-26T00:00:00"/>
        <d v="2010-01-22T00:00:00"/>
        <d v="2009-02-01T00:00:00"/>
        <d v="2012-09-02T00:00:00"/>
        <d v="2009-02-02T00:00:00"/>
        <d v="2013-09-27T00:00:00"/>
        <d v="2008-03-06T00:00:00"/>
        <d v="2011-04-03T00:00:00"/>
        <d v="7012-07-17T00:00:00"/>
        <d v="2013-06-13T00:00:00"/>
        <d v="2013-08-01T00:00:00"/>
        <d v="2008-12-06T00:00:00"/>
        <d v="2012-03-16T00:00:00"/>
        <d v="2012-12-21T00:00:00"/>
        <d v="2012-11-19T00:00:00"/>
        <d v="2012-07-09T00:00:00"/>
        <d v="2013-03-18T00:00:00"/>
        <d v="2009-03-23T00:00:00"/>
        <d v="2008-01-15T00:00:00"/>
        <d v="2011-04-10T00:00:00"/>
        <d v="2012-06-10T00:00:00"/>
        <d v="2012-05-21T00:00:00"/>
        <d v="2009-04-07T00:00:00"/>
        <d v="2007-11-12T00:00:00"/>
        <d v="2012-02-15T00:00:00"/>
        <d v="2013-02-26T00:00:00"/>
        <d v="2013-03-14T00:00:00"/>
        <d v="2011-12-02T00:00:00"/>
        <d v="2011-12-05T00:00:00"/>
        <d v="2011-11-28T00:00:00"/>
        <d v="2012-10-09T00:00:00"/>
        <d v="2013-02-22T00:00:00"/>
        <d v="2012-04-15T00:00:00"/>
        <d v="2013-01-15T00:00:00"/>
        <d v="2013-09-07T00:00:00"/>
        <d v="2013-04-17T00:00:00"/>
        <d v="2013-09-10T00:00:00"/>
        <d v="2013-11-13T00:00:00"/>
        <d v="2013-10-18T00:00:00"/>
        <d v="2013-03-08T00:00:00"/>
        <d v="2010-08-30T00:00:00"/>
        <d v="2012-03-08T00:00:00"/>
        <d v="2012-07-13T00:00:00"/>
        <d v="2013-08-20T00:00:00"/>
        <d v="2007-04-24T00:00:00"/>
        <d v="2011-09-12T00:00:00"/>
        <d v="2013-04-07T00:00:00"/>
        <d v="2008-12-23T00:00:00"/>
        <d v="2012-02-28T00:00:00"/>
        <d v="2007-12-25T00:00:00"/>
        <d v="2011-03-16T00:00:00"/>
        <d v="2011-06-11T00:00:00"/>
        <d v="2009-06-23T00:00:00"/>
        <d v="2008-08-27T00:00:00"/>
        <d v="2008-07-24T00:00:00"/>
        <d v="2009-05-19T00:00:00"/>
        <d v="2013-11-17T00:00:00"/>
        <d v="2013-10-11T00:00:00"/>
        <d v="2013-10-07T00:00:00"/>
        <d v="2012-05-22T00:00:00"/>
        <d v="2010-03-31T00:00:00"/>
        <d v="2011-08-01T00:00:00"/>
        <d v="2011-08-25T00:00:00"/>
        <d v="2011-06-03T00:00:00"/>
        <d v="2008-11-20T00:00:00"/>
        <d v="2012-06-02T00:00:00"/>
        <d v="2011-06-02T00:00:00"/>
        <d v="2010-06-04T00:00:00"/>
        <d v="2013-01-02T00:00:00"/>
        <d v="2009-01-01T00:00:00"/>
        <d v="2013-03-22T00:00:00"/>
        <d v="2010-05-28T00:00:00"/>
        <d v="2013-03-01T00:00:00"/>
        <d v="2012-08-25T00:00:00"/>
        <d v="2011-03-20T00:00:00"/>
        <d v="2012-01-24T00:00:00"/>
        <d v="2010-08-27T00:00:00"/>
        <d v="2010-09-02T00:00:00"/>
        <d v="2010-08-05T00:00:00"/>
        <d v="2013-03-23T00:00:00"/>
        <d v="2012-02-29T00:00:00"/>
        <d v="2013-06-10T00:00:00"/>
        <d v="2012-05-30T00:00:00"/>
        <d v="2002-10-24T00:00:00"/>
        <d v="2012-01-04T00:00:00"/>
        <d v="2010-09-26T00:00:00"/>
        <d v="2010-01-21T00:00:00"/>
        <d v="2009-11-09T00:00:00"/>
        <d v="2013-08-15T00:00:00"/>
        <d v="2012-06-05T00:00:00"/>
        <d v="2006-01-25T00:00:00"/>
        <d v="2013-05-07T00:00:00"/>
        <d v="2011-10-07T00:00:00"/>
        <d v="2011-09-24T00:00:00"/>
        <d v="2011-06-27T00:00:00"/>
        <d v="2013-03-28T00:00:00"/>
        <d v="2009-11-06T00:00:00"/>
        <d v="2012-10-25T00:00:00"/>
        <d v="2009-10-21T00:00:00"/>
        <d v="2012-08-05T00:00:00"/>
        <d v="2010-01-29T00:00:00"/>
        <d v="2009-01-06T00:00:00"/>
        <d v="2013-06-26T00:00:00"/>
        <d v="2010-03-03T00:00:00"/>
        <d v="2012-07-19T00:00:00"/>
        <d v="2013-02-06T00:00:00"/>
        <d v="2012-11-26T00:00:00"/>
        <d v="2013-09-04T00:00:00"/>
        <d v="2013-04-22T00:00:00"/>
        <d v="2013-10-29T00:00:00"/>
        <d v="2014-02-21T00:00:00"/>
        <d v="2011-11-14T00:00:00"/>
        <d v="2009-09-21T00:00:00"/>
        <d v="2012-08-27T00:00:00"/>
        <d v="2013-03-11T00:00:00"/>
        <d v="2012-11-15T00:00:00"/>
        <d v="2012-10-05T00:00:00"/>
        <d v="2014-04-03T00:00:00"/>
        <d v="2013-12-01T00:00:00"/>
        <d v="2007-12-14T00:00:00"/>
        <d v="2009-01-13T00:00:00"/>
        <d v="2010-01-23T00:00:00"/>
        <d v="2008-12-31T00:00:00"/>
        <d v="2008-07-02T00:00:00"/>
        <d v="2012-02-24T00:00:00"/>
        <d v="2012-08-23T00:00:00"/>
        <d v="2009-11-25T00:00:00"/>
        <d v="2013-03-05T00:00:00"/>
        <d v="2012-07-10T00:00:00"/>
        <d v="2012-07-18T00:00:00"/>
        <d v="2013-09-25T00:00:00"/>
        <d v="2011-10-06T00:00:00"/>
        <d v="2010-05-20T00:00:00"/>
        <d v="2010-04-07T00:00:00"/>
        <d v="2006-08-31T00:00:00"/>
        <d v="2009-11-05T00:00:00"/>
        <d v="2011-11-01T00:00:00"/>
        <d v="2013-10-08T00:00:00"/>
        <d v="2014-02-17T00:00:00"/>
        <d v="2013-05-10T00:00:00"/>
        <d v="2009-12-21T00:00:00"/>
        <d v="2013-06-18T00:00:00"/>
        <d v="2013-08-22T00:00:00"/>
        <d v="2010-04-26T00:00:00"/>
        <d v="2012-10-16T00:00:00"/>
        <d v="2013-07-11T00:00:00"/>
        <d v="2014-01-22T00:00:00"/>
        <d v="2009-03-24T00:00:00"/>
        <d v="2013-09-05T00:00:00"/>
        <d v="2012-05-12T00:00:00"/>
        <d v="2013-09-02T00:00:00"/>
        <d v="2012-11-17T00:00:00"/>
        <d v="2010-04-16T00:00:00"/>
        <d v="2009-07-16T00:00:00"/>
        <d v="2013-04-11T00:00:00"/>
        <d v="2007-10-11T00:00:00"/>
        <d v="2008-11-10T00:00:00"/>
        <d v="2010-06-29T00:00:00"/>
        <d v="2007-09-22T00:00:00"/>
        <d v="2013-05-21T00:00:00"/>
        <d v="2012-09-19T00:00:00"/>
        <d v="2008-01-22T00:00:00"/>
        <d v="2014-03-03T00:00:00"/>
        <d v="2012-05-03T00:00:00"/>
        <d v="2012-11-23T00:00:00"/>
        <d v="2009-04-16T00:00:00"/>
        <d v="2013-03-06T00:00:00"/>
        <d v="2010-04-10T00:00:00"/>
        <d v="2009-11-12T00:00:00"/>
        <d v="2012-06-22T00:00:00"/>
        <d v="2012-09-06T00:00:00"/>
        <d v="2013-03-03T00:00:00"/>
        <d v="2012-09-11T00:00:00"/>
        <d v="2014-04-24T00:00:00"/>
        <d v="2009-03-12T00:00:00"/>
        <d v="2013-03-25T00:00:00"/>
        <d v="2010-03-01T00:00:00"/>
        <d v="2010-05-27T00:00:00"/>
        <d v="2009-01-22T00:00:00"/>
        <d v="2010-12-20T00:00:00"/>
        <d v="2014-03-11T00:00:00"/>
        <d v="2013-10-04T00:00:00"/>
        <d v="2011-04-01T00:00:00"/>
        <d v="2011-04-11T00:00:00"/>
        <d v="2009-06-29T00:00:00"/>
        <d v="2012-10-31T00:00:00"/>
        <d v="2011-04-20T00:00:00"/>
        <d v="2012-03-25T00:00:00"/>
        <d v="2011-06-13T00:00:00"/>
        <d v="2013-03-20T00:00:00"/>
        <d v="2012-06-12T00:00:00"/>
        <d v="2010-05-17T00:00:00"/>
        <d v="2009-07-13T00:00:00"/>
        <d v="2009-01-10T00:00:00"/>
        <d v="2014-03-13T00:00:00"/>
        <d v="2009-12-15T00:00:00"/>
        <d v="2013-07-24T00:00:00"/>
        <d v="2013-03-21T00:00:00"/>
        <d v="2013-11-11T00:00:00"/>
        <d v="2012-03-27T00:00:00"/>
        <d v="2012-02-25T00:00:00"/>
        <d v="2012-09-07T00:00:00"/>
        <d v="2012-04-12T00:00:00"/>
        <d v="2007-11-10T00:00:00"/>
        <d v="2009-06-06T00:00:00"/>
        <d v="2011-01-31T00:00:00"/>
        <d v="2011-09-29T00:00:00"/>
        <d v="2013-05-03T00:00:00"/>
        <d v="2012-08-22T00:00:00"/>
        <d v="2010-06-02T00:00:00"/>
        <d v="2010-04-20T00:00:00"/>
        <d v="2012-10-17T00:00:00"/>
        <d v="2011-07-27T00:00:00"/>
        <d v="2010-03-18T00:00:00"/>
        <d v="2010-04-19T00:00:00"/>
        <d v="2011-02-22T00:00:00"/>
        <d v="2011-03-28T00:00:00"/>
        <d v="2012-06-25T00:00:00"/>
        <d v="2013-07-04T00:00:00"/>
        <d v="2012-03-05T00:00:00"/>
        <d v="2009-12-02T00:00:00"/>
        <d v="2009-12-09T00:00:00"/>
        <d v="2009-06-30T00:00:00"/>
        <d v="2013-09-17T00:00:00"/>
        <d v="2012-03-12T00:00:00"/>
        <d v="2013-01-03T00:00:00"/>
        <d v="2013-05-15T00:00:00"/>
        <d v="2013-10-22T00:00:00"/>
        <d v="2006-12-21T00:00:00"/>
        <d v="2011-10-13T00:00:00"/>
        <d v="2008-08-25T00:00:00"/>
        <d v="2011-11-23T00:00:00"/>
        <d v="2013-11-01T00:00:00"/>
        <d v="2011-03-19T00:00:00"/>
        <d v="2012-09-08T00:00:00"/>
        <d v="2012-05-15T00:00:00"/>
        <d v="2011-03-08T00:00:00"/>
        <d v="2010-03-10T00:00:00"/>
        <d v="2013-11-26T00:00:00"/>
        <d v="2014-01-15T00:00:00"/>
        <d v="2008-07-12T00:00:00"/>
        <d v="2008-01-24T00:00:00"/>
        <d v="2011-12-21T00:00:00"/>
        <d v="2011-12-27T00:00:00"/>
        <d v="2013-07-29T00:00:00"/>
        <d v="2010-04-17T00:00:00"/>
        <d v="2012-09-18T00:00:00"/>
        <d v="2008-06-23T00:00:00"/>
        <d v="2012-04-09T00:00:00"/>
        <d v="2011-10-28T00:00:00"/>
        <d v="2011-01-04T00:00:00"/>
        <d v="2013-11-10T00:00:00"/>
        <d v="2009-01-20T00:00:00"/>
        <d v="2012-12-05T00:00:00"/>
        <d v="2013-12-11T00:00:00"/>
        <d v="2012-02-22T00:00:00"/>
        <d v="2012-01-06T00:00:00"/>
        <d v="2009-07-31T00:00:00"/>
        <d v="2014-03-20T00:00:00"/>
        <d v="2011-12-06T00:00:00"/>
        <d v="2008-11-28T00:00:00"/>
        <d v="2012-03-29T00:00:00"/>
        <d v="2013-09-01T00:00:00"/>
        <d v="2013-10-21T00:00:00"/>
        <d v="2008-12-15T00:00:00"/>
        <d v="2008-11-01T00:00:00"/>
        <d v="2013-07-15T00:00:00"/>
        <d v="2013-07-18T00:00:00"/>
        <d v="2014-01-29T00:00:00"/>
        <d v="2012-11-09T00:00:00"/>
        <d v="2012-06-19T00:00:00"/>
        <d v="2012-06-11T00:00:00"/>
        <d v="2010-07-08T00:00:00"/>
        <d v="2009-07-01T00:00:00"/>
        <d v="2010-05-25T00:00:00"/>
        <d v="2013-10-05T00:00:00"/>
        <d v="2013-10-15T00:00:00"/>
        <d v="2008-11-05T00:00:00"/>
        <d v="2011-01-27T00:00:00"/>
        <d v="2012-02-14T00:00:00"/>
        <d v="2012-01-14T00:00:00"/>
        <d v="2011-06-24T00:00:00"/>
        <d v="2010-06-14T00:00:00"/>
        <d v="2010-01-28T00:00:00"/>
        <d v="2013-04-25T00:00:00"/>
        <d v="2012-09-20T00:00:00"/>
        <d v="2013-05-17T00:00:00"/>
        <d v="2014-03-14T00:00:00"/>
        <d v="2007-09-05T00:00:00"/>
        <d v="2013-03-09T00:00:00"/>
        <d v="2008-08-15T00:00:00"/>
        <d v="2006-09-14T00:00:00"/>
        <d v="2009-11-03T00:00:00"/>
        <d v="2010-06-27T00:00:00"/>
        <d v="2010-10-05T00:00:00"/>
        <d v="2010-08-10T00:00:00"/>
        <d v="2010-02-05T00:00:00"/>
        <d v="2010-12-06T00:00:00"/>
        <d v="2012-09-09T00:00:00"/>
        <d v="2008-07-09T00:00:00"/>
        <d v="2013-04-15T00:00:00"/>
        <d v="2012-11-02T00:00:00"/>
        <d v="2013-11-04T00:00:00"/>
        <d v="2011-06-09T00:00:00"/>
        <d v="2011-02-16T00:00:00"/>
        <d v="2008-09-25T00:00:00"/>
        <d v="2010-06-10T00:00:00"/>
        <d v="2010-10-26T00:00:00"/>
        <d v="2011-03-24T00:00:00"/>
        <d v="2011-05-27T00:00:00"/>
        <d v="2013-06-08T00:00:00"/>
        <d v="2010-06-23T00:00:00"/>
        <d v="2011-05-20T00:00:00"/>
        <d v="2014-01-08T00:00:00"/>
        <d v="2014-01-01T00:00:00"/>
        <d v="2011-04-19T00:00:00"/>
        <d v="2009-01-14T00:00:00"/>
        <d v="2011-10-20T00:00:00"/>
        <d v="2012-05-31T00:00:00"/>
        <d v="2008-07-15T00:00:00"/>
        <d v="2002-09-27T00:00:00"/>
        <d v="2013-11-27T00:00:00"/>
        <d v="2013-11-29T00:00:00"/>
        <d v="2009-05-29T00:00:00"/>
        <d v="2011-12-16T00:00:00"/>
        <d v="2011-09-02T00:00:00"/>
        <d v="2012-02-23T00:00:00"/>
        <d v="2012-06-26T00:00:00"/>
        <d v="2012-01-19T00:00:00"/>
        <d v="2012-01-18T00:00:00"/>
        <d v="2009-06-17T00:00:00"/>
        <d v="2012-05-25T00:00:00"/>
        <d v="2009-09-17T00:00:00"/>
        <d v="2009-01-05T00:00:00"/>
        <d v="2010-11-30T00:00:00"/>
        <d v="2013-02-19T00:00:00"/>
        <d v="2009-09-09T00:00:00"/>
        <d v="2013-08-31T00:00:00"/>
        <d v="2013-11-28T00:00:00"/>
        <d v="2009-12-11T00:00:00"/>
        <d v="2012-07-30T00:00:00"/>
        <d v="2012-12-06T00:00:00"/>
        <d v="2012-06-01T00:00:00"/>
        <d v="2011-05-31T00:00:00"/>
        <d v="2011-12-08T00:00:00"/>
        <d v="2011-03-10T00:00:00"/>
        <d v="2011-07-25T00:00:00"/>
        <d v="2014-01-13T00:00:00"/>
        <d v="2006-06-28T00:00:00"/>
        <d v="2010-06-11T00:00:00"/>
        <d v="2013-01-24T00:00:00"/>
        <d v="2012-11-14T00:00:00"/>
        <d v="2010-07-21T00:00:00"/>
        <d v="2010-12-08T00:00:00"/>
        <d v="2012-09-21T00:00:00"/>
        <d v="2010-02-22T00:00:00"/>
        <d v="2013-09-16T00:00:00"/>
        <d v="2009-04-20T00:00:00"/>
        <d v="2012-12-22T00:00:00"/>
        <d v="2011-12-14T00:00:00"/>
        <d v="2009-04-17T00:00:00"/>
        <d v="2008-08-26T00:00:00"/>
        <d v="2010-06-01T00:00:00"/>
        <d v="2011-05-16T00:00:00"/>
        <d v="2010-01-10T00:00:00"/>
        <d v="2012-04-21T00:00:00"/>
        <d v="2011-09-05T00:00:00"/>
        <d v="2012-11-16T00:00:00"/>
        <d v="2013-06-09T00:00:00"/>
        <d v="2008-12-05T00:00:00"/>
        <d v="2013-12-14T00:00:00"/>
        <d v="2008-12-14T00:00:00"/>
        <d v="2011-09-26T00:00:00"/>
        <d v="2012-09-28T00:00:00"/>
        <d v="2013-07-23T00:00:00"/>
        <d v="2012-03-10T00:00:00"/>
        <d v="2014-01-16T00:00:00"/>
        <d v="2014-04-09T00:00:00"/>
        <d v="2012-06-29T00:00:00"/>
        <d v="2012-02-26T00:00:00"/>
        <d v="2012-02-03T00:00:00"/>
        <d v="2014-03-28T00:00:00"/>
        <d v="2009-05-11T00:00:00"/>
        <d v="2010-08-12T00:00:00"/>
        <d v="2009-06-04T00:00:00"/>
        <d v="2008-05-09T00:00:00"/>
        <d v="2008-05-10T00:00:00"/>
        <d v="2009-05-15T00:00:00"/>
        <d v="2009-02-16T00:00:00"/>
        <d v="2011-12-09T00:00:00"/>
        <d v="2011-10-21T00:00:00"/>
        <d v="2011-05-03T00:00:00"/>
        <d v="2011-05-11T00:00:00"/>
        <d v="2011-04-13T00:00:00"/>
        <d v="2011-03-15T00:00:00"/>
        <d v="2008-05-28T00:00:00"/>
        <d v="2012-10-12T00:00:00"/>
        <d v="2011-10-01T00:00:00"/>
        <d v="2010-09-07T00:00:00"/>
        <d v="2013-09-19T00:00:00"/>
        <d v="2007-03-21T00:00:00"/>
        <d v="2011-12-15T00:00:00"/>
        <d v="2010-06-26T00:00:00"/>
        <d v="2007-11-29T00:00:00"/>
        <d v="2010-07-13T00:00:00"/>
        <d v="2012-04-27T00:00:00"/>
        <d v="2013-04-10T00:00:00"/>
        <d v="2009-10-22T00:00:00"/>
        <d v="2009-11-01T00:00:00"/>
        <d v="2013-01-11T00:00:00"/>
        <d v="2010-01-05T00:00:00"/>
        <d v="2009-12-28T00:00:00"/>
        <d v="2009-10-16T00:00:00"/>
        <d v="2012-10-26T00:00:00"/>
        <d v="2012-06-27T00:00:00"/>
        <d v="2011-01-09T00:00:00"/>
        <d v="2009-05-25T00:00:00"/>
        <d v="2004-07-29T00:00:00"/>
        <d v="2014-01-07T00:00:00"/>
        <d v="2009-05-14T00:00:00"/>
        <d v="2014-04-16T00:00:00"/>
        <d v="2013-12-31T00:00:00"/>
        <d v="2012-10-03T00:00:00"/>
        <d v="2009-05-08T00:00:00"/>
        <d v="2011-11-30T00:00:00"/>
        <d v="2008-01-11T00:00:00"/>
        <d v="2011-04-07T00:00:00"/>
        <d v="2011-03-25T00:00:00"/>
        <d v="2009-05-05T00:00:00"/>
        <d v="2009-09-10T00:00:00"/>
        <d v="2010-01-27T00:00:00"/>
        <d v="2010-07-06T00:00:00"/>
      </sharedItems>
    </cacheField>
    <cacheField name="docname" numFmtId="0">
      <sharedItems containsBlank="1"/>
    </cacheField>
    <cacheField name="docext" numFmtId="0">
      <sharedItems containsBlank="1"/>
    </cacheField>
    <cacheField name="uploaddate" numFmtId="14">
      <sharedItems containsSemiMixedTypes="0" containsNonDate="0" containsDate="1" containsString="0" minDate="2014-03-03T00:00:00" maxDate="2014-04-25T00:00:00"/>
    </cacheField>
    <cacheField name="userid" numFmtId="0">
      <sharedItems/>
    </cacheField>
    <cacheField name="remarks" numFmtId="0">
      <sharedItems containsBlank="1"/>
    </cacheField>
    <cacheField name="version" numFmtId="0">
      <sharedItems containsBlank="1"/>
    </cacheField>
    <cacheField name="paymentterm" numFmtId="0">
      <sharedItems containsBlank="1" count="13">
        <m/>
        <s v="37E3 - 30 days end of month due net on posting date 37E3"/>
        <s v="37D3 - Within 30 days Due net on Posting date 37D3"/>
        <s v="37E9 - Before End in 3 months Due net 37E9"/>
        <s v="37E6 - 60 days end of month due net on posting date 37E6"/>
        <s v="37D4 - Within 45 days due net on posting date"/>
        <s v="37D9 - Within 90 days Due net on posting date 37D9"/>
        <s v="37D6 - Within 60 days Due net on posting date 37D6"/>
        <s v="0001 - Payable immediately due net"/>
        <s v="37E4 - 45 days end of month Due net on posting date"/>
        <s v="37F7 - 75 days end of month"/>
        <s v="37E7 - 75 days end of month"/>
        <s v="37F6 - 60 days end of month the 10th due net posting date 37F3"/>
      </sharedItems>
    </cacheField>
    <cacheField name="leadtime" numFmtId="0">
      <sharedItems containsString="0" containsBlank="1" containsNumber="1" containsInteger="1" minValue="0" maxValue="90" count="17">
        <m/>
        <n v="35"/>
        <n v="60"/>
        <n v="28"/>
        <n v="0"/>
        <n v="40"/>
        <n v="50"/>
        <n v="30"/>
        <n v="45"/>
        <n v="21"/>
        <n v="90"/>
        <n v="65"/>
        <n v="42"/>
        <n v="56"/>
        <n v="67"/>
        <n v="70"/>
        <n v="55"/>
      </sharedItems>
    </cacheField>
    <cacheField name="sasl" numFmtId="0">
      <sharedItems containsString="0" containsBlank="1" containsNumber="1" containsInteger="1" minValue="0" maxValue="95" count="4">
        <m/>
        <n v="0"/>
        <n v="85"/>
        <n v="95"/>
      </sharedItems>
    </cacheField>
    <cacheField name="nqsu" numFmtId="0">
      <sharedItems containsString="0" containsBlank="1" containsNumber="1" containsInteger="1" minValue="0" maxValue="50000" count="11">
        <m/>
        <n v="10000"/>
        <n v="1000"/>
        <n v="2000"/>
        <n v="0"/>
        <n v="20000"/>
        <n v="30000"/>
        <n v="3000"/>
        <n v="1500"/>
        <n v="500"/>
        <n v="50000"/>
      </sharedItems>
    </cacheField>
    <cacheField name="projectname" numFmtId="0">
      <sharedItems containsBlank="1"/>
    </cacheField>
    <cacheField name="auditby" numFmtId="0">
      <sharedItems containsBlank="1"/>
    </cacheField>
    <cacheField name="audittype" numFmtId="0">
      <sharedItems containsBlank="1"/>
    </cacheField>
    <cacheField name="auditgrade" numFmtId="0">
      <sharedItems containsBlank="1"/>
    </cacheField>
    <cacheField name="score" numFmtId="0">
      <sharedItems containsString="0" containsBlank="1" containsNumber="1" containsInteger="1" minValue="18" maxValue="96"/>
    </cacheField>
    <cacheField name="myyear" numFmtId="0">
      <sharedItems containsString="0" containsBlank="1" containsNumber="1" containsInteger="1" minValue="2010" maxValue="2014"/>
    </cacheField>
    <cacheField name="turnovery" numFmtId="0">
      <sharedItems containsString="0" containsBlank="1" containsNumber="1" minValue="251000" maxValue="5650000000"/>
    </cacheField>
    <cacheField name="turnovery1" numFmtId="0">
      <sharedItems containsString="0" containsBlank="1" containsNumber="1" minValue="0" maxValue="4520000000"/>
    </cacheField>
    <cacheField name="turnovery2" numFmtId="0">
      <sharedItems containsString="0" containsBlank="1" containsNumber="1" minValue="0" maxValue="4335279900"/>
    </cacheField>
    <cacheField name="turnovery3" numFmtId="0">
      <sharedItems containsString="0" containsBlank="1" containsNumber="1" minValue="0" maxValue="3334396248"/>
    </cacheField>
    <cacheField name="turnovery4" numFmtId="0">
      <sharedItems containsString="0" containsBlank="1" containsNumber="1" minValue="0" maxValue="4043631270"/>
    </cacheField>
    <cacheField name="ratioy" numFmtId="0">
      <sharedItems containsString="0" containsBlank="1" containsNumber="1" minValue="0" maxValue="80"/>
    </cacheField>
    <cacheField name="ratioy1" numFmtId="0">
      <sharedItems containsString="0" containsBlank="1" containsNumber="1" minValue="0" maxValue="88"/>
    </cacheField>
    <cacheField name="ratioy2" numFmtId="0">
      <sharedItems containsString="0" containsBlank="1" containsNumber="1" minValue="0" maxValue="80"/>
    </cacheField>
    <cacheField name="ratioy3" numFmtId="0">
      <sharedItems containsString="0" containsBlank="1" containsNumber="1" minValue="0" maxValue="80"/>
    </cacheField>
    <cacheField name="ratioy4" numFmtId="0">
      <sharedItems containsString="0" containsBlank="1" containsNumber="1" minValue="0" maxValue="80"/>
    </cacheField>
    <cacheField name="category" numFmtId="0">
      <sharedItems containsBlank="1"/>
    </cacheField>
    <cacheField name="panelstatus1" numFmtId="0">
      <sharedItems containsBlank="1" count="2">
        <m/>
        <s v="FP"/>
      </sharedItems>
    </cacheField>
    <cacheField name="paneldescription1" numFmtId="0">
      <sharedItems containsBlank="1" count="5">
        <m/>
        <s v="A"/>
        <s v="B"/>
        <s v="D"/>
        <s v="C"/>
      </sharedItems>
    </cacheField>
    <cacheField name="panelstatus2" numFmtId="0">
      <sharedItems containsBlank="1" count="2">
        <m/>
        <s v="CP"/>
      </sharedItems>
    </cacheField>
    <cacheField name="paneldescription2" numFmtId="0">
      <sharedItems containsBlank="1" count="11">
        <m/>
        <s v="MANUFACTURER A"/>
        <s v="MANUFACTURER D"/>
        <s v="MANUFACTURER B"/>
        <s v="DESIGNER B"/>
        <s v="EXPERT A"/>
        <s v="MANUFACTURER C"/>
        <s v="DESIGNER A"/>
        <s v="SUBCONTRACTOR A"/>
        <s v="EXPERT B"/>
        <s v="SUBCONTRACTOR D"/>
      </sharedItems>
    </cacheField>
    <cacheField name="generalcontract" numFmtId="0">
      <sharedItems containsString="0" containsBlank="1" containsNumber="1" containsInteger="1" minValue="1" maxValue="1"/>
    </cacheField>
    <cacheField name="qualityappendix" numFmtId="0">
      <sharedItems containsString="0" containsBlank="1" containsNumber="1" containsInteger="1" minValue="1" maxValue="1"/>
    </cacheField>
    <cacheField name="supplychainappendix" numFmtId="0">
      <sharedItems containsString="0" containsBlank="1" containsNumber="1" containsInteger="1" minValue="1" maxValue="1"/>
    </cacheField>
    <cacheField name="isfull" numFmtId="0">
      <sharedItems containsString="0" containsBlank="1" containsNumber="1" containsInteger="1" minValue="0" maxValue="1"/>
    </cacheField>
    <cacheField name="countfull" numFmtId="0">
      <sharedItems containsString="0" containsBlank="1" containsNumber="1" containsInteger="1" minValue="1" maxValue="1"/>
    </cacheField>
    <cacheField name="countnotfull" numFmtId="0">
      <sharedItems containsString="0" containsBlank="1" containsNumber="1" containsInteger="1" minValue="1" maxValue="1"/>
    </cacheField>
    <cacheField name="fp" numFmtId="0">
      <sharedItems containsBlank="1"/>
    </cacheField>
    <cacheField name="cp" numFmtId="0">
      <sharedItems containsBlank="1"/>
    </cacheField>
    <cacheField name="sp" numFmtId="0">
      <sharedItems containsBlank="1"/>
    </cacheField>
    <cacheField name="mould" numFmtId="0">
      <sharedItems containsBlank="1"/>
    </cacheField>
    <cacheField name="groupact" numFmtId="0">
      <sharedItems count="17">
        <s v="FP "/>
        <s v="FP CP "/>
        <s v="CP "/>
        <s v="FP CP SP MOULD "/>
        <s v="FP SP MOULD "/>
        <s v="FP SP MOULD Both"/>
        <s v="FP SP Both"/>
        <s v="FP CP SP MOULD Both"/>
        <s v="MOULD "/>
        <s v="FP SP "/>
        <s v="FP CP MOULD "/>
        <s v=""/>
        <s v="CP SP "/>
        <s v="FP MOULD "/>
        <s v="FP CP SP "/>
        <s v="CP MOULD "/>
        <s v="CP SP MOULD "/>
      </sharedItems>
    </cacheField>
    <cacheField name="statusname" numFmtId="0">
      <sharedItems count="4">
        <s v="No business, Phase out"/>
        <s v="Active supplier"/>
        <s v="Supplier code blocked, EOL"/>
        <s v="Only 2nd Tier supplier "/>
      </sharedItems>
    </cacheField>
    <cacheField name="rank" numFmtId="0">
      <sharedItems containsString="0" containsBlank="1" containsNumber="1" containsInteger="1" minValue="1" maxValue="1"/>
    </cacheField>
    <cacheField name="sbuname" numFmtId="0">
      <sharedItems containsBlank="1" count="61">
        <s v="5 - COOKWARE"/>
        <s v="3 - HOME COMFORT,7 - FOOD PREPARATION,99 - SPARE PART &amp; OT"/>
        <s v="1 - LINEN CARE,99 - SPARE PART &amp; OT"/>
        <m/>
        <s v="3 - HOME COMFORT"/>
        <s v="4 - HOME CLEANING"/>
        <s v="7 - FOOD PREPARATION,99 - SPARE PART &amp; OT"/>
        <s v="6 - ELECTRICAL COOK.,7 - FOOD PREPARATION,8 - BEVERAGE,99 - SPARE PART &amp; OT"/>
        <s v="99 - SPARE PART &amp; OT"/>
        <s v="2 - PERSONAL CARE,7 - FOOD PREPARATION,99 - SPARE PART &amp; OT"/>
        <s v="2 - PERSONAL CARE"/>
        <s v="6 - ELECTRICAL COOK."/>
        <s v="8 - BEVERAGE,99 - SPARE PART &amp; OT"/>
        <s v="1 - LINEN CARE,2 - PERSONAL CARE,6 - ELECTRICAL COOK.,7 - FOOD PREPARATION,8 - BEVERAGE,99 - SPARE PART &amp; OT"/>
        <s v="1 - LINEN CARE,6 - ELECTRICAL COOK.,7 - FOOD PREPARATION,99 - SPARE PART &amp; OT"/>
        <s v="5 - COOKWARE,99 - SPARE PART &amp; OT"/>
        <s v="1 - LINEN CARE,6 - ELECTRICAL COOK.,99 - SPARE PART &amp; OT"/>
        <s v="8 - BEVERAGE"/>
        <s v="5 - COOKWARE,6 - ELECTRICAL COOK."/>
        <s v="5 - COOKWARE,7 - FOOD PREPARATION"/>
        <s v="6 - ELECTRICAL COOK.,8 - BEVERAGE,99 - SPARE PART &amp; OT"/>
        <s v="2 - PERSONAL CARE,7 - FOOD PREPARATION,8 - BEVERAGE,99 - SPARE PART &amp; OT"/>
        <s v="4 - HOME CLEANING,6 - ELECTRICAL COOK.,7 - FOOD PREPARATION,99 - SPARE PART &amp; OT"/>
        <s v="2 - PERSONAL CARE,6 - ELECTRICAL COOK.,8 - BEVERAGE,99 - SPARE PART &amp; OT"/>
        <s v="1 - LINEN CARE,6 - ELECTRICAL COOK.,7 - FOOD PREPARATION"/>
        <s v="6 - ELECTRICAL COOK.,99 - SPARE PART &amp; OT"/>
        <s v="1 - LINEN CARE,2 - PERSONAL CARE,4 - HOME CLEANING"/>
        <s v="3 - HOME COMFORT,7 - FOOD PREPARATION,8 - BEVERAGE,99 - SPARE PART &amp; OT"/>
        <s v="1 - LINEN CARE"/>
        <s v="7 - FOOD PREPARATION,8 - BEVERAGE,99 - SPARE PART &amp; OT"/>
        <s v="4 - HOME CLEANING,8 - BEVERAGE,99 - SPARE PART &amp; OT"/>
        <s v="4 - HOME CLEANING,7 - FOOD PREPARATION,99 - SPARE PART &amp; OT"/>
        <s v="2 - PERSONAL CARE,99 - SPARE PART &amp; OT"/>
        <s v="5 - COOKWARE,6 - ELECTRICAL COOK.,99 - SPARE PART &amp; OT"/>
        <s v="1 - LINEN CARE,7 - FOOD PREPARATION,99 - SPARE PART &amp; OT"/>
        <s v="1 - LINEN CARE,2 - PERSONAL CARE,3 - HOME COMFORT,5 - COOKWARE,7 - FOOD PREPARATION,8 - BEVERAGE,99 - SPARE PART &amp; OT"/>
        <s v="1 - LINEN CARE,7 - FOOD PREPARATION,8 - BEVERAGE"/>
        <s v="1 - LINEN CARE,4 - HOME CLEANING"/>
        <s v="1 - LINEN CARE,7 - FOOD PREPARATION"/>
        <s v="7 - FOOD PREPARATION"/>
        <s v="2 - PERSONAL CARE,4 - HOME CLEANING,99 - SPARE PART &amp; OT"/>
        <s v="3 - HOME COMFORT,4 - HOME CLEANING,99 - SPARE PART &amp; OT"/>
        <s v="5 - COOKWARE,6 - ELECTRICAL COOK.,7 - FOOD PREPARATION,99 - SPARE PART &amp; OT"/>
        <s v="6 - ELECTRICAL COOK.,7 - FOOD PREPARATION"/>
        <s v="1 - LINEN CARE,2 - PERSONAL CARE,7 - FOOD PREPARATION,99 - SPARE PART &amp; OT"/>
        <s v="2 - PERSONAL CARE,8 - BEVERAGE"/>
        <s v="3 - HOME COMFORT,6 - ELECTRICAL COOK.,8 - BEVERAGE,99 - SPARE PART &amp; OT"/>
        <s v="5 - COOKWARE,7 - FOOD PREPARATION,99 - SPARE PART &amp; OT"/>
        <s v="1 - LINEN CARE,5 - COOKWARE,6 - ELECTRICAL COOK.,7 - FOOD PREPARATION,8 - BEVERAGE,99 - SPARE PART &amp; OT"/>
        <s v="2 - PERSONAL CARE,6 - ELECTRICAL COOK."/>
        <s v="2 - PERSONAL CARE,6 - ELECTRICAL COOK.,7 - FOOD PREPARATION,99 - SPARE PART &amp; OT"/>
        <s v="7 - FOOD PREPARATION,8 - BEVERAGE"/>
        <s v="1 - LINEN CARE,6 - ELECTRICAL COOK.,7 - FOOD PREPARATION,8 - BEVERAGE,99 - SPARE PART &amp; OT"/>
        <s v="1 - LINEN CARE,2 - PERSONAL CARE,7 - FOOD PREPARATION"/>
        <s v="1 - LINEN CARE,2 - PERSONAL CARE,3 - HOME COMFORT,99 - SPARE PART &amp; OT"/>
        <s v="1 - LINEN CARE,2 - PERSONAL CARE,4 - HOME CLEANING,5 - COOKWARE,7 - FOOD PREPARATION,8 - BEVERAGE,99 - SPARE PART &amp; OT"/>
        <s v="1 - LINEN CARE,2 - PERSONAL CARE,8 - BEVERAGE,99 - SPARE PART &amp; OT"/>
        <s v="1 - LINEN CARE,2 - PERSONAL CARE,4 - HOME CLEANING,99 - SPARE PART &amp; OT"/>
        <s v="2 - PERSONAL CARE,6 - ELECTRICAL COOK.,7 - FOOD PREPARATION,8 - BEVERAGE"/>
        <s v="3 - HOME COMFORT,8 - BEVERAGE"/>
        <s v="1 - LINEN CARE,4 - HOME CLEANING,6 - ELECTRICAL COOK.,8 - BEVERAGE,99 - SPARE PART &amp; OT"/>
      </sharedItems>
    </cacheField>
    <cacheField name="Total Number of Supplier" numFmtId="0" formula="countfull+countnotfull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24">
  <r>
    <n v="450"/>
    <x v="0"/>
    <x v="0"/>
    <x v="0"/>
    <x v="0"/>
    <s v="KITTY LAI"/>
    <n v="436"/>
    <s v="Foodstuffs declaration"/>
    <s v="Supplier"/>
    <m/>
    <x v="0"/>
    <s v="Abdoolally FRD00069 ind.04 20090701.pdf"/>
    <s v=".pdf"/>
    <d v="2014-03-17T00:00:00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x v="0"/>
    <x v="0"/>
    <m/>
    <x v="0"/>
  </r>
  <r>
    <n v="453"/>
    <x v="0"/>
    <x v="0"/>
    <x v="0"/>
    <x v="0"/>
    <s v="KITTY LAI"/>
    <n v="439"/>
    <s v="SEF"/>
    <s v="Supplier"/>
    <m/>
    <x v="1"/>
    <s v="SEF - Abdolally 10-11-10 H2.xlsx"/>
    <s v=".xlsx"/>
    <d v="2014-03-17T00:00:00"/>
    <s v="as\afok"/>
    <m/>
    <s v="2010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m/>
    <m/>
    <m/>
    <s v="FP"/>
    <m/>
    <m/>
    <m/>
    <x v="0"/>
    <x v="0"/>
    <m/>
    <x v="0"/>
  </r>
  <r>
    <n v="452"/>
    <x v="0"/>
    <x v="0"/>
    <x v="0"/>
    <x v="0"/>
    <s v="KITTY LAI"/>
    <n v="438"/>
    <s v="SIF"/>
    <s v="Supplier"/>
    <m/>
    <x v="2"/>
    <s v="Abdoolally_SIF_20May2010.xlsx"/>
    <s v=".xlsx"/>
    <d v="2014-03-17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x v="0"/>
    <x v="0"/>
    <m/>
    <x v="0"/>
  </r>
  <r>
    <n v="451"/>
    <x v="0"/>
    <x v="0"/>
    <x v="0"/>
    <x v="0"/>
    <s v="KITTY LAI"/>
    <n v="437"/>
    <s v="SPR"/>
    <s v="Supplier"/>
    <m/>
    <x v="3"/>
    <s v="Abdoolally SPR May 2010.ppt"/>
    <s v=".ppt"/>
    <d v="2014-03-17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x v="0"/>
    <x v="0"/>
    <m/>
    <x v="0"/>
  </r>
  <r>
    <n v="463"/>
    <x v="1"/>
    <x v="1"/>
    <x v="1"/>
    <x v="1"/>
    <s v="DOUGLAS LAM"/>
    <n v="449"/>
    <s v="Contract: General Contract"/>
    <s v="Supplier"/>
    <m/>
    <x v="4"/>
    <s v="Ablek_Purchase_Agreement_2008.pdf"/>
    <s v=".pdf"/>
    <d v="2014-03-17T00:00:00"/>
    <s v="as\afok"/>
    <m/>
    <s v="V5"/>
    <x v="1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m/>
    <m/>
    <x v="1"/>
    <x v="1"/>
    <m/>
    <x v="1"/>
  </r>
  <r>
    <n v="457"/>
    <x v="1"/>
    <x v="1"/>
    <x v="1"/>
    <x v="1"/>
    <s v="DOUGLAS LAM"/>
    <n v="443"/>
    <s v="Contract: Quality Appendix"/>
    <s v="Supplier"/>
    <m/>
    <x v="5"/>
    <s v="Ablek_Quality_Policy_31Dec11.pdf"/>
    <s v=".pdf"/>
    <d v="2014-03-17T00:00:00"/>
    <s v="as\afok"/>
    <m/>
    <m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s v="FP"/>
    <s v="CP"/>
    <m/>
    <m/>
    <x v="1"/>
    <x v="1"/>
    <m/>
    <x v="1"/>
  </r>
  <r>
    <n v="464"/>
    <x v="1"/>
    <x v="1"/>
    <x v="1"/>
    <x v="1"/>
    <s v="DOUGLAS LAM"/>
    <n v="450"/>
    <s v="Contract: Supply Chain Appendix"/>
    <s v="Supplier"/>
    <m/>
    <x v="6"/>
    <s v="Ablek_Purchase_Agreement_2008.pdf"/>
    <s v=".pdf"/>
    <d v="2014-03-17T00:00:00"/>
    <s v="as\afok"/>
    <m/>
    <m/>
    <x v="0"/>
    <x v="1"/>
    <x v="1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n v="1"/>
    <m/>
    <s v="FP"/>
    <s v="CP"/>
    <m/>
    <m/>
    <x v="1"/>
    <x v="1"/>
    <m/>
    <x v="1"/>
  </r>
  <r>
    <n v="459"/>
    <x v="1"/>
    <x v="1"/>
    <x v="1"/>
    <x v="1"/>
    <s v="DOUGLAS LAM"/>
    <n v="445"/>
    <s v="Environmental Declaration"/>
    <s v="Supplier"/>
    <m/>
    <x v="7"/>
    <s v="Ablek_Env_Declaration_24Mar2010.pdf"/>
    <s v=".pdf"/>
    <d v="2014-03-17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1"/>
  </r>
  <r>
    <n v="458"/>
    <x v="1"/>
    <x v="1"/>
    <x v="1"/>
    <x v="1"/>
    <s v="DOUGLAS LAM"/>
    <n v="444"/>
    <s v="Responsible Purchasing Charter"/>
    <s v="Supplier"/>
    <m/>
    <x v="8"/>
    <s v="Ablek_Responsible_Purchasing_Charter_08Aug12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1"/>
  </r>
  <r>
    <n v="455"/>
    <x v="1"/>
    <x v="1"/>
    <x v="1"/>
    <x v="1"/>
    <s v="DOUGLAS LAM"/>
    <n v="441"/>
    <s v="SEF"/>
    <s v="Supplier"/>
    <m/>
    <x v="9"/>
    <s v="Ablek SEF 2013-Manufacturer-20130601-73.xlsx"/>
    <s v=".xlsx"/>
    <d v="2014-03-17T00:00:00"/>
    <s v="as\afok"/>
    <m/>
    <s v="2013"/>
    <x v="0"/>
    <x v="0"/>
    <x v="0"/>
    <x v="0"/>
    <m/>
    <m/>
    <m/>
    <m/>
    <n v="63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1"/>
  </r>
  <r>
    <n v="461"/>
    <x v="1"/>
    <x v="1"/>
    <x v="1"/>
    <x v="1"/>
    <s v="DOUGLAS LAM"/>
    <n v="447"/>
    <s v="SEF"/>
    <s v="Supplier"/>
    <m/>
    <x v="10"/>
    <s v="Ablek_SEF_2012.xlsx"/>
    <s v=".xlsx"/>
    <d v="2014-03-17T00:00:00"/>
    <s v="as\afok"/>
    <m/>
    <s v="2012"/>
    <x v="0"/>
    <x v="0"/>
    <x v="0"/>
    <x v="0"/>
    <m/>
    <m/>
    <m/>
    <m/>
    <n v="87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1"/>
  </r>
  <r>
    <n v="456"/>
    <x v="1"/>
    <x v="1"/>
    <x v="1"/>
    <x v="1"/>
    <s v="DOUGLAS LAM"/>
    <n v="442"/>
    <s v="SIF"/>
    <s v="Supplier"/>
    <m/>
    <x v="11"/>
    <s v="Ablek_SIF2013.xls"/>
    <s v=".xls"/>
    <d v="2014-03-17T00:00:00"/>
    <s v="as\afok"/>
    <m/>
    <s v="2013"/>
    <x v="0"/>
    <x v="0"/>
    <x v="0"/>
    <x v="0"/>
    <m/>
    <m/>
    <m/>
    <m/>
    <m/>
    <n v="2013"/>
    <n v="30000000"/>
    <n v="23196516"/>
    <n v="37851851"/>
    <n v="35782520"/>
    <n v="17012936"/>
    <n v="32"/>
    <n v="34"/>
    <n v="27"/>
    <n v="17"/>
    <n v="17"/>
    <s v="CP Panel"/>
    <x v="0"/>
    <x v="0"/>
    <x v="1"/>
    <x v="1"/>
    <m/>
    <m/>
    <m/>
    <n v="1"/>
    <m/>
    <m/>
    <s v="FP"/>
    <s v="CP"/>
    <m/>
    <m/>
    <x v="1"/>
    <x v="1"/>
    <m/>
    <x v="1"/>
  </r>
  <r>
    <n v="462"/>
    <x v="1"/>
    <x v="1"/>
    <x v="1"/>
    <x v="1"/>
    <s v="DOUGLAS LAM"/>
    <n v="448"/>
    <s v="SIF"/>
    <s v="Supplier"/>
    <m/>
    <x v="12"/>
    <s v="Ablek_SIF2012_6Mar12.xlsx"/>
    <s v=".xlsx"/>
    <d v="2014-03-17T00:00:00"/>
    <s v="as\afok"/>
    <m/>
    <s v="2012"/>
    <x v="0"/>
    <x v="0"/>
    <x v="0"/>
    <x v="0"/>
    <m/>
    <m/>
    <m/>
    <m/>
    <m/>
    <n v="2012"/>
    <n v="38000000"/>
    <n v="37851851"/>
    <n v="35782520"/>
    <n v="17012936"/>
    <n v="19040941"/>
    <n v="25"/>
    <n v="27"/>
    <n v="17"/>
    <n v="17"/>
    <n v="10"/>
    <s v="CP Panel"/>
    <x v="0"/>
    <x v="0"/>
    <x v="1"/>
    <x v="1"/>
    <m/>
    <m/>
    <m/>
    <n v="1"/>
    <m/>
    <m/>
    <s v="FP"/>
    <s v="CP"/>
    <m/>
    <m/>
    <x v="1"/>
    <x v="1"/>
    <m/>
    <x v="1"/>
  </r>
  <r>
    <n v="454"/>
    <x v="1"/>
    <x v="1"/>
    <x v="1"/>
    <x v="1"/>
    <s v="DOUGLAS LAM"/>
    <n v="440"/>
    <s v="SPR"/>
    <s v="Supplier"/>
    <m/>
    <x v="13"/>
    <s v="Ablek_SPR_2013.pptx"/>
    <s v=".pptx"/>
    <d v="2014-03-17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1"/>
  </r>
  <r>
    <n v="460"/>
    <x v="1"/>
    <x v="1"/>
    <x v="1"/>
    <x v="1"/>
    <s v="DOUGLAS LAM"/>
    <n v="446"/>
    <s v="SPR"/>
    <s v="Supplier"/>
    <m/>
    <x v="14"/>
    <s v="Ablek_SPR_2011.ppt"/>
    <s v=".ppt"/>
    <d v="2014-03-17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1"/>
  </r>
  <r>
    <n v="475"/>
    <x v="2"/>
    <x v="2"/>
    <x v="2"/>
    <x v="1"/>
    <s v="DOUGLAS LAM"/>
    <n v="461"/>
    <s v="Contract: General Contract"/>
    <s v="Supplier"/>
    <m/>
    <x v="15"/>
    <s v="Abundance_Purchase_Agreement_2008.pdf"/>
    <s v=".pdf"/>
    <d v="2014-03-17T00:00:00"/>
    <s v="as\afok"/>
    <m/>
    <s v="V5"/>
    <x v="2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n v="1"/>
    <m/>
    <m/>
    <s v="CP"/>
    <m/>
    <m/>
    <x v="2"/>
    <x v="1"/>
    <m/>
    <x v="2"/>
  </r>
  <r>
    <n v="468"/>
    <x v="2"/>
    <x v="2"/>
    <x v="2"/>
    <x v="1"/>
    <s v="DOUGLAS LAM"/>
    <n v="454"/>
    <s v="Contract: Quality Appendix"/>
    <s v="Supplier"/>
    <m/>
    <x v="16"/>
    <s v="Abundance_Quality_policy_23May12.pdf"/>
    <s v=".pdf"/>
    <d v="2014-03-17T00:00:00"/>
    <s v="as\afok"/>
    <m/>
    <m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x v="2"/>
    <x v="1"/>
    <m/>
    <x v="2"/>
  </r>
  <r>
    <n v="474"/>
    <x v="2"/>
    <x v="2"/>
    <x v="2"/>
    <x v="1"/>
    <s v="DOUGLAS LAM"/>
    <n v="460"/>
    <s v="Environmental Declaration"/>
    <s v="Supplier"/>
    <m/>
    <x v="17"/>
    <s v="Abundence_EnvDeclaration2011.pdf"/>
    <s v=".pdf"/>
    <d v="2014-03-17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470"/>
    <x v="2"/>
    <x v="2"/>
    <x v="2"/>
    <x v="1"/>
    <s v="DOUGLAS LAM"/>
    <n v="456"/>
    <s v="LOC (Letter of Confidentiality)"/>
    <s v="Supplier"/>
    <m/>
    <x v="18"/>
    <s v="LOC_Abundance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471"/>
    <x v="2"/>
    <x v="2"/>
    <x v="2"/>
    <x v="1"/>
    <s v="DOUGLAS LAM"/>
    <n v="457"/>
    <s v="Responsible Purchasing Charter"/>
    <s v="Supplier"/>
    <m/>
    <x v="19"/>
    <s v="Abundance_Responsible_Purchasing_Charter_07Aug12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466"/>
    <x v="2"/>
    <x v="2"/>
    <x v="2"/>
    <x v="1"/>
    <s v="DOUGLAS LAM"/>
    <n v="452"/>
    <s v="SEF"/>
    <s v="Supplier"/>
    <m/>
    <x v="9"/>
    <s v="Abundance SEF 2013-Manufacturer-20130601-73.xlsx"/>
    <s v=".xlsx"/>
    <d v="2014-03-17T00:00:00"/>
    <s v="as\afok"/>
    <m/>
    <s v="2013"/>
    <x v="0"/>
    <x v="0"/>
    <x v="0"/>
    <x v="0"/>
    <m/>
    <m/>
    <m/>
    <m/>
    <n v="63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472"/>
    <x v="2"/>
    <x v="2"/>
    <x v="2"/>
    <x v="1"/>
    <s v="DOUGLAS LAM"/>
    <n v="458"/>
    <s v="SEF"/>
    <s v="Supplier"/>
    <m/>
    <x v="10"/>
    <s v="Abundance_SEF_2012.xlsx"/>
    <s v=".xlsx"/>
    <d v="2014-03-17T00:00:00"/>
    <s v="as\afok"/>
    <m/>
    <s v="2012"/>
    <x v="0"/>
    <x v="0"/>
    <x v="0"/>
    <x v="0"/>
    <m/>
    <m/>
    <m/>
    <m/>
    <n v="90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473"/>
    <x v="2"/>
    <x v="2"/>
    <x v="2"/>
    <x v="1"/>
    <s v="DOUGLAS LAM"/>
    <n v="459"/>
    <s v="SIF"/>
    <s v="Supplier"/>
    <m/>
    <x v="20"/>
    <s v="Abundance_SIF2012_26Mar12.xlsx"/>
    <s v=".xlsx"/>
    <d v="2014-03-17T00:00:00"/>
    <s v="as\afok"/>
    <m/>
    <s v="2012"/>
    <x v="0"/>
    <x v="0"/>
    <x v="0"/>
    <x v="0"/>
    <m/>
    <m/>
    <m/>
    <m/>
    <m/>
    <n v="2012"/>
    <m/>
    <n v="10000000"/>
    <n v="10000000"/>
    <m/>
    <m/>
    <m/>
    <n v="27"/>
    <n v="20"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467"/>
    <x v="2"/>
    <x v="2"/>
    <x v="2"/>
    <x v="1"/>
    <s v="DOUGLAS LAM"/>
    <n v="453"/>
    <s v="SIF"/>
    <s v="Supplier"/>
    <m/>
    <x v="21"/>
    <s v="Abundance_SIF2013.xlsx"/>
    <s v=".xlsx"/>
    <d v="2014-03-17T00:00:00"/>
    <s v="as\afok"/>
    <m/>
    <s v="2013"/>
    <x v="0"/>
    <x v="0"/>
    <x v="0"/>
    <x v="0"/>
    <m/>
    <m/>
    <m/>
    <m/>
    <m/>
    <n v="2013"/>
    <n v="13000000"/>
    <n v="12000000"/>
    <n v="10000000"/>
    <n v="10000000"/>
    <m/>
    <n v="13"/>
    <n v="18"/>
    <n v="27"/>
    <n v="20"/>
    <m/>
    <s v="CP Panel"/>
    <x v="0"/>
    <x v="0"/>
    <x v="1"/>
    <x v="2"/>
    <m/>
    <m/>
    <m/>
    <n v="1"/>
    <m/>
    <m/>
    <m/>
    <s v="CP"/>
    <m/>
    <m/>
    <x v="2"/>
    <x v="1"/>
    <m/>
    <x v="2"/>
  </r>
  <r>
    <n v="465"/>
    <x v="2"/>
    <x v="2"/>
    <x v="2"/>
    <x v="1"/>
    <s v="DOUGLAS LAM"/>
    <n v="451"/>
    <s v="SPR"/>
    <s v="Supplier"/>
    <m/>
    <x v="13"/>
    <s v="ABUNDANCE_SPR_2013.pptx"/>
    <s v=".pptx"/>
    <d v="2014-03-17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469"/>
    <x v="2"/>
    <x v="2"/>
    <x v="2"/>
    <x v="1"/>
    <s v="DOUGLAS LAM"/>
    <n v="455"/>
    <s v="SPR"/>
    <s v="Supplier"/>
    <m/>
    <x v="22"/>
    <s v="Abundance SPR 2011.pptx"/>
    <s v=".pptx"/>
    <d v="2014-03-17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1197"/>
    <x v="3"/>
    <x v="3"/>
    <x v="3"/>
    <x v="2"/>
    <s v="GODFREY LI"/>
    <n v="1173"/>
    <s v="Contract: General Contract"/>
    <s v="Supplier"/>
    <m/>
    <x v="23"/>
    <s v="Dongnan ACE Agreement ind.11 at 10 JAN14.pdf"/>
    <s v=".pdf"/>
    <d v="2014-03-26T00:00:00"/>
    <s v="as\afok"/>
    <m/>
    <s v="ind 00 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m/>
    <m/>
    <x v="0"/>
    <x v="1"/>
    <m/>
    <x v="3"/>
  </r>
  <r>
    <n v="1201"/>
    <x v="3"/>
    <x v="3"/>
    <x v="3"/>
    <x v="2"/>
    <s v="GODFREY LI"/>
    <n v="1177"/>
    <s v="Contract: Quality Appendix"/>
    <s v="Supplier"/>
    <m/>
    <x v="23"/>
    <s v="Dongnan ACE Agreement ind.11 at 10 JAN14.pdf"/>
    <s v=".pdf"/>
    <d v="2014-03-26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m/>
    <m/>
    <x v="0"/>
    <x v="1"/>
    <m/>
    <x v="3"/>
  </r>
  <r>
    <n v="1200"/>
    <x v="3"/>
    <x v="3"/>
    <x v="3"/>
    <x v="2"/>
    <s v="GODFREY LI"/>
    <n v="1176"/>
    <s v="Contract: Supply Chain Appendix"/>
    <s v="Supplier"/>
    <m/>
    <x v="23"/>
    <s v="Dongnan ACE Agreement ind.11 at 10 JAN14.pdf"/>
    <s v=".pdf"/>
    <d v="2014-03-26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m/>
    <m/>
    <x v="0"/>
    <x v="1"/>
    <m/>
    <x v="3"/>
  </r>
  <r>
    <n v="1199"/>
    <x v="3"/>
    <x v="3"/>
    <x v="3"/>
    <x v="2"/>
    <s v="GODFREY LI"/>
    <n v="1175"/>
    <s v="Declaration letter of group organization"/>
    <s v="Supplier"/>
    <m/>
    <x v="24"/>
    <s v="Dongnan ACE Agreement ind.11 at 10 JAN14.pdf"/>
    <s v=".pdf"/>
    <d v="2014-03-2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x v="0"/>
    <x v="1"/>
    <m/>
    <x v="3"/>
  </r>
  <r>
    <n v="1198"/>
    <x v="3"/>
    <x v="3"/>
    <x v="3"/>
    <x v="2"/>
    <s v="GODFREY LI"/>
    <n v="1174"/>
    <s v="Environmental Declaration"/>
    <s v="Supplier"/>
    <m/>
    <x v="23"/>
    <s v="Dongnan ACE Agreement ind.11 at 10 JAN14.pdf"/>
    <s v=".pdf"/>
    <d v="2014-03-26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x v="0"/>
    <x v="1"/>
    <m/>
    <x v="3"/>
  </r>
  <r>
    <n v="1204"/>
    <x v="3"/>
    <x v="3"/>
    <x v="3"/>
    <x v="2"/>
    <s v="GODFREY LI"/>
    <n v="1180"/>
    <s v="Exclusivity (EA)"/>
    <s v="Product / Project"/>
    <m/>
    <x v="25"/>
    <s v="Dongnan ACE_EA_Oven with hobs_2013-01-31.pdf"/>
    <s v=".pdf"/>
    <d v="2014-03-26T00:00:00"/>
    <s v="as\afok"/>
    <m/>
    <m/>
    <x v="0"/>
    <x v="0"/>
    <x v="0"/>
    <x v="0"/>
    <s v="Oven with hobs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x v="0"/>
    <x v="1"/>
    <m/>
    <x v="3"/>
  </r>
  <r>
    <n v="1205"/>
    <x v="3"/>
    <x v="3"/>
    <x v="3"/>
    <x v="2"/>
    <s v="GODFREY LI"/>
    <n v="1181"/>
    <s v="IP (Intellectual Property)"/>
    <s v="Product / Project"/>
    <m/>
    <x v="25"/>
    <s v="Dongnan ACE_IP_Oven with hobs_2013-01-31.pdf"/>
    <s v=".pdf"/>
    <d v="2014-03-26T00:00:00"/>
    <s v="as\afok"/>
    <m/>
    <m/>
    <x v="0"/>
    <x v="0"/>
    <x v="0"/>
    <x v="0"/>
    <s v="Oven with hobs"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m/>
    <m/>
    <x v="0"/>
    <x v="1"/>
    <m/>
    <x v="3"/>
  </r>
  <r>
    <n v="1203"/>
    <x v="3"/>
    <x v="3"/>
    <x v="3"/>
    <x v="2"/>
    <s v="GODFREY LI"/>
    <n v="1179"/>
    <s v="SIF"/>
    <s v="Supplier"/>
    <m/>
    <x v="26"/>
    <s v="ACE - SIF 2012.XLSX"/>
    <s v=".xlsx"/>
    <d v="2014-03-26T00:00:00"/>
    <s v="as\afok"/>
    <m/>
    <s v="2012"/>
    <x v="0"/>
    <x v="0"/>
    <x v="0"/>
    <x v="0"/>
    <m/>
    <m/>
    <m/>
    <m/>
    <m/>
    <n v="2012"/>
    <n v="27000000"/>
    <n v="25000000"/>
    <n v="20000000"/>
    <n v="17000000"/>
    <n v="15000000"/>
    <m/>
    <m/>
    <m/>
    <m/>
    <m/>
    <m/>
    <x v="0"/>
    <x v="0"/>
    <x v="0"/>
    <x v="0"/>
    <m/>
    <m/>
    <m/>
    <n v="1"/>
    <m/>
    <m/>
    <s v="FP"/>
    <m/>
    <m/>
    <m/>
    <x v="0"/>
    <x v="1"/>
    <m/>
    <x v="3"/>
  </r>
  <r>
    <n v="1202"/>
    <x v="3"/>
    <x v="3"/>
    <x v="3"/>
    <x v="2"/>
    <s v="GODFREY LI"/>
    <n v="1178"/>
    <s v="SIF"/>
    <s v="Supplier"/>
    <m/>
    <x v="27"/>
    <s v="ACE - SIF 2013.xlsx"/>
    <s v=".xlsx"/>
    <d v="2014-03-26T00:00:00"/>
    <s v="as\afok"/>
    <m/>
    <s v="2013"/>
    <x v="0"/>
    <x v="0"/>
    <x v="0"/>
    <x v="0"/>
    <m/>
    <m/>
    <m/>
    <m/>
    <m/>
    <n v="2013"/>
    <n v="29000000"/>
    <n v="27000000"/>
    <n v="25000000"/>
    <n v="20000000"/>
    <n v="17000000"/>
    <m/>
    <m/>
    <m/>
    <m/>
    <m/>
    <m/>
    <x v="0"/>
    <x v="0"/>
    <x v="0"/>
    <x v="0"/>
    <m/>
    <m/>
    <m/>
    <n v="1"/>
    <m/>
    <m/>
    <s v="FP"/>
    <m/>
    <m/>
    <m/>
    <x v="0"/>
    <x v="1"/>
    <m/>
    <x v="3"/>
  </r>
  <r>
    <n v="14"/>
    <x v="4"/>
    <x v="4"/>
    <x v="4"/>
    <x v="0"/>
    <s v="JACQUELINE POON"/>
    <n v="11"/>
    <s v="Contract: General Contract"/>
    <s v="Supplier"/>
    <d v="2015-12-31T00:00:00"/>
    <x v="28"/>
    <s v="Airmate_General Agreement_30Mar12.pdf"/>
    <s v=".pdf"/>
    <d v="2014-03-04T00:00:00"/>
    <s v="as\afok"/>
    <m/>
    <s v="FHA00016 ind.11"/>
    <x v="4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n v="1"/>
    <m/>
    <m/>
    <n v="1"/>
    <m/>
    <m/>
    <s v="FP"/>
    <s v="CP"/>
    <s v="SP"/>
    <s v="MOULD"/>
    <x v="3"/>
    <x v="1"/>
    <n v="1"/>
    <x v="4"/>
  </r>
  <r>
    <n v="60"/>
    <x v="4"/>
    <x v="4"/>
    <x v="4"/>
    <x v="0"/>
    <s v="JACQUELINE POON"/>
    <n v="52"/>
    <s v="Contract: Quality Appendix"/>
    <s v="Supplier"/>
    <m/>
    <x v="29"/>
    <s v="Airmate_General Agreement_30Mar12.pdf"/>
    <s v=".pdf"/>
    <d v="2014-03-07T00:00:00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1"/>
    <x v="0"/>
    <x v="0"/>
    <m/>
    <n v="1"/>
    <m/>
    <n v="1"/>
    <m/>
    <m/>
    <s v="FP"/>
    <s v="CP"/>
    <s v="SP"/>
    <s v="MOULD"/>
    <x v="3"/>
    <x v="1"/>
    <n v="1"/>
    <x v="4"/>
  </r>
  <r>
    <n v="59"/>
    <x v="4"/>
    <x v="4"/>
    <x v="4"/>
    <x v="0"/>
    <s v="JACQUELINE POON"/>
    <n v="51"/>
    <s v="Contract: Supply Chain Appendix"/>
    <s v="Supplier"/>
    <m/>
    <x v="30"/>
    <s v="Airmate_General Agreement_30Mar12.pdf"/>
    <s v=".pdf"/>
    <d v="2014-03-07T00:00:00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1"/>
    <x v="0"/>
    <x v="0"/>
    <m/>
    <m/>
    <n v="1"/>
    <n v="1"/>
    <m/>
    <m/>
    <s v="FP"/>
    <s v="CP"/>
    <s v="SP"/>
    <s v="MOULD"/>
    <x v="3"/>
    <x v="1"/>
    <n v="1"/>
    <x v="4"/>
  </r>
  <r>
    <n v="577"/>
    <x v="4"/>
    <x v="4"/>
    <x v="4"/>
    <x v="0"/>
    <s v="JACQUELINE POON"/>
    <n v="560"/>
    <s v="Declaration letter of group organization"/>
    <s v="Supplier"/>
    <m/>
    <x v="31"/>
    <s v="Airmate_General Agreement_30Mar12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n v="1"/>
    <m/>
    <s v="FP"/>
    <s v="CP"/>
    <s v="SP"/>
    <s v="MOULD"/>
    <x v="3"/>
    <x v="1"/>
    <n v="1"/>
    <x v="4"/>
  </r>
  <r>
    <n v="76"/>
    <x v="4"/>
    <x v="4"/>
    <x v="4"/>
    <x v="0"/>
    <s v="JACQUELINE POON"/>
    <n v="68"/>
    <s v="Environmental Declaration"/>
    <s v="Supplier"/>
    <m/>
    <x v="30"/>
    <s v="Airmate_General Agreement_30Mar12.pdf"/>
    <s v=".pdf"/>
    <d v="2014-03-07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s v="CP"/>
    <s v="SP"/>
    <s v="MOULD"/>
    <x v="3"/>
    <x v="1"/>
    <n v="1"/>
    <x v="4"/>
  </r>
  <r>
    <n v="61"/>
    <x v="4"/>
    <x v="4"/>
    <x v="4"/>
    <x v="0"/>
    <s v="JACQUELINE POON"/>
    <n v="53"/>
    <s v="Exclusivity (EA)"/>
    <s v="Supplier"/>
    <m/>
    <x v="31"/>
    <s v="Airmate_Exclusivity_Baby Humidifier 7067_18Apr12.pdf"/>
    <s v=".pdf"/>
    <d v="2014-03-07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s v="CP"/>
    <s v="SP"/>
    <s v="MOULD"/>
    <x v="3"/>
    <x v="1"/>
    <n v="1"/>
    <x v="4"/>
  </r>
  <r>
    <n v="64"/>
    <x v="4"/>
    <x v="4"/>
    <x v="4"/>
    <x v="0"/>
    <s v="JACQUELINE POON"/>
    <n v="56"/>
    <s v="ISO 14001"/>
    <s v="Supplier"/>
    <d v="2014-04-10T00:00:00"/>
    <x v="32"/>
    <s v="Airmate_ISO14001(Eng)_2011-2014.pdf"/>
    <s v=".pdf"/>
    <d v="2014-03-07T00:00:00"/>
    <s v="as\afok"/>
    <s v="English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s v="CP"/>
    <s v="SP"/>
    <s v="MOULD"/>
    <x v="3"/>
    <x v="1"/>
    <n v="1"/>
    <x v="4"/>
  </r>
  <r>
    <n v="65"/>
    <x v="4"/>
    <x v="4"/>
    <x v="4"/>
    <x v="0"/>
    <s v="JACQUELINE POON"/>
    <n v="57"/>
    <s v="ISO 14001"/>
    <s v="Supplier"/>
    <d v="2014-04-10T00:00:00"/>
    <x v="32"/>
    <s v="Airmate_ISO14001(Chi)_2011-2014.pdf"/>
    <s v=".pdf"/>
    <d v="2014-03-07T00:00:00"/>
    <s v="as\afok"/>
    <s v="Chinese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s v="CP"/>
    <s v="SP"/>
    <s v="MOULD"/>
    <x v="3"/>
    <x v="1"/>
    <n v="1"/>
    <x v="4"/>
  </r>
  <r>
    <n v="62"/>
    <x v="4"/>
    <x v="4"/>
    <x v="4"/>
    <x v="0"/>
    <s v="JACQUELINE POON"/>
    <n v="54"/>
    <s v="ISO 9001"/>
    <s v="Supplier"/>
    <d v="2014-04-10T00:00:00"/>
    <x v="32"/>
    <s v="Airmate_ISO9001(Eng)_2011-2014.pdf"/>
    <s v=".pdf"/>
    <d v="2014-03-07T00:00:00"/>
    <s v="as\afok"/>
    <s v="English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s v="CP"/>
    <s v="SP"/>
    <s v="MOULD"/>
    <x v="3"/>
    <x v="1"/>
    <n v="1"/>
    <x v="4"/>
  </r>
  <r>
    <n v="63"/>
    <x v="4"/>
    <x v="4"/>
    <x v="4"/>
    <x v="0"/>
    <s v="JACQUELINE POON"/>
    <n v="55"/>
    <s v="ISO 9001"/>
    <s v="Supplier"/>
    <d v="2014-04-10T00:00:00"/>
    <x v="32"/>
    <s v="Airmate_ISO9001(Chi)_2011-2014.pdf"/>
    <s v=".pdf"/>
    <d v="2014-03-07T00:00:00"/>
    <s v="as\afok"/>
    <s v="Chinese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s v="CP"/>
    <s v="SP"/>
    <s v="MOULD"/>
    <x v="3"/>
    <x v="1"/>
    <n v="1"/>
    <x v="4"/>
  </r>
  <r>
    <n v="66"/>
    <x v="4"/>
    <x v="4"/>
    <x v="4"/>
    <x v="0"/>
    <s v="JACQUELINE POON"/>
    <n v="58"/>
    <s v="LOC (Letter of Confidentiality)"/>
    <s v="Supplier"/>
    <m/>
    <x v="33"/>
    <s v="Airmate_LOC_21Feb12.pdf"/>
    <s v=".pdf"/>
    <d v="2014-03-07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s v="CP"/>
    <s v="SP"/>
    <s v="MOULD"/>
    <x v="3"/>
    <x v="1"/>
    <n v="1"/>
    <x v="4"/>
  </r>
  <r>
    <n v="71"/>
    <x v="4"/>
    <x v="4"/>
    <x v="4"/>
    <x v="0"/>
    <s v="JACQUELINE POON"/>
    <n v="63"/>
    <s v="NDA (Non Disclosure Agreement)"/>
    <s v="Supplier"/>
    <m/>
    <x v="34"/>
    <s v="Non Disclosure agreement _Airmate  JUL2013.pdf"/>
    <s v=".pdf"/>
    <d v="2014-03-07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s v="CP"/>
    <s v="SP"/>
    <s v="MOULD"/>
    <x v="3"/>
    <x v="1"/>
    <n v="1"/>
    <x v="4"/>
  </r>
  <r>
    <n v="67"/>
    <x v="4"/>
    <x v="4"/>
    <x v="4"/>
    <x v="0"/>
    <s v="JACQUELINE POON"/>
    <n v="59"/>
    <s v="Responsible Purchasing Charter"/>
    <s v="Supplier"/>
    <m/>
    <x v="35"/>
    <s v="Airmate_Responsible Purchasing Charter_15Aug12.pdf"/>
    <s v=".pdf"/>
    <d v="2014-03-07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s v="CP"/>
    <s v="SP"/>
    <s v="MOULD"/>
    <x v="3"/>
    <x v="1"/>
    <n v="1"/>
    <x v="4"/>
  </r>
  <r>
    <n v="72"/>
    <x v="4"/>
    <x v="4"/>
    <x v="4"/>
    <x v="0"/>
    <s v="JACQUELINE POON"/>
    <n v="64"/>
    <s v="SEF"/>
    <s v="Supplier"/>
    <m/>
    <x v="36"/>
    <s v="SEF_Airmate_12Nov12.xlsx"/>
    <s v=".xlsx"/>
    <d v="2014-03-07T00:00:00"/>
    <s v="as\afok"/>
    <m/>
    <s v="2012"/>
    <x v="0"/>
    <x v="0"/>
    <x v="0"/>
    <x v="0"/>
    <m/>
    <m/>
    <m/>
    <m/>
    <n v="76"/>
    <m/>
    <m/>
    <m/>
    <m/>
    <m/>
    <m/>
    <m/>
    <m/>
    <m/>
    <m/>
    <m/>
    <s v="FP panel Top 15"/>
    <x v="1"/>
    <x v="1"/>
    <x v="0"/>
    <x v="0"/>
    <m/>
    <m/>
    <m/>
    <n v="1"/>
    <m/>
    <m/>
    <s v="FP"/>
    <s v="CP"/>
    <s v="SP"/>
    <s v="MOULD"/>
    <x v="3"/>
    <x v="1"/>
    <n v="1"/>
    <x v="4"/>
  </r>
  <r>
    <n v="68"/>
    <x v="4"/>
    <x v="4"/>
    <x v="4"/>
    <x v="0"/>
    <s v="JACQUELINE POON"/>
    <n v="60"/>
    <s v="SIF"/>
    <s v="Supplier"/>
    <m/>
    <x v="37"/>
    <s v="Airmate_SIF2012_1Mar12.xls"/>
    <s v=".xls"/>
    <d v="2014-03-07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s v="CP"/>
    <s v="SP"/>
    <s v="MOULD"/>
    <x v="3"/>
    <x v="1"/>
    <n v="1"/>
    <x v="4"/>
  </r>
  <r>
    <n v="69"/>
    <x v="4"/>
    <x v="4"/>
    <x v="4"/>
    <x v="0"/>
    <s v="JACQUELINE POON"/>
    <n v="61"/>
    <s v="SIF"/>
    <s v="Supplier"/>
    <m/>
    <x v="38"/>
    <s v="Airmate_SIF2013.xls"/>
    <s v=".xls"/>
    <d v="2014-03-07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s v="CP"/>
    <s v="SP"/>
    <s v="MOULD"/>
    <x v="3"/>
    <x v="1"/>
    <n v="1"/>
    <x v="4"/>
  </r>
  <r>
    <n v="70"/>
    <x v="4"/>
    <x v="4"/>
    <x v="4"/>
    <x v="0"/>
    <s v="JACQUELINE POON"/>
    <n v="62"/>
    <s v="SPR"/>
    <s v="Supplier"/>
    <m/>
    <x v="39"/>
    <s v="Airmate_SPR Presentation_20Jul12.pptx"/>
    <s v=".pptx"/>
    <d v="2014-03-07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s v="CP"/>
    <s v="SP"/>
    <s v="MOULD"/>
    <x v="3"/>
    <x v="1"/>
    <n v="1"/>
    <x v="4"/>
  </r>
  <r>
    <n v="486"/>
    <x v="5"/>
    <x v="5"/>
    <x v="5"/>
    <x v="1"/>
    <s v="DOUGLAS LAM"/>
    <n v="472"/>
    <s v="Contract: General Contract"/>
    <s v="Supplier"/>
    <m/>
    <x v="40"/>
    <s v="Airtek FHA00016 ind.09 20091222.pdf"/>
    <s v=".pdf"/>
    <d v="2014-03-17T00:00:00"/>
    <s v="as\afok"/>
    <m/>
    <s v=" FHA00016 ind.09"/>
    <x v="5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n v="1"/>
    <m/>
    <m/>
    <n v="0"/>
    <m/>
    <n v="1"/>
    <s v="FP"/>
    <m/>
    <s v="SP"/>
    <s v="MOULD"/>
    <x v="4"/>
    <x v="1"/>
    <n v="1"/>
    <x v="5"/>
  </r>
  <r>
    <n v="481"/>
    <x v="5"/>
    <x v="5"/>
    <x v="5"/>
    <x v="1"/>
    <s v="DOUGLAS LAM"/>
    <n v="467"/>
    <s v="ISO 14001"/>
    <s v="Supplier"/>
    <d v="2012-07-17T00:00:00"/>
    <x v="41"/>
    <s v="Airtek_ISO14001_20Apr2010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s v="MOULD"/>
    <x v="4"/>
    <x v="1"/>
    <n v="1"/>
    <x v="5"/>
  </r>
  <r>
    <n v="480"/>
    <x v="5"/>
    <x v="5"/>
    <x v="5"/>
    <x v="1"/>
    <s v="DOUGLAS LAM"/>
    <n v="466"/>
    <s v="ISO 14001"/>
    <s v="Supplier"/>
    <d v="2015-07-17T00:00:00"/>
    <x v="41"/>
    <s v="Airtek_ISO14001_effective to17Jul2015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s v="MOULD"/>
    <x v="4"/>
    <x v="1"/>
    <n v="1"/>
    <x v="5"/>
  </r>
  <r>
    <n v="479"/>
    <x v="5"/>
    <x v="5"/>
    <x v="5"/>
    <x v="1"/>
    <s v="DOUGLAS LAM"/>
    <n v="465"/>
    <s v="ISO 9001"/>
    <s v="Supplier"/>
    <d v="2015-06-25T00:00:00"/>
    <x v="42"/>
    <s v="Airtek_ISO9001_effective to 25Jun2015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s v="MOULD"/>
    <x v="4"/>
    <x v="1"/>
    <n v="1"/>
    <x v="5"/>
  </r>
  <r>
    <n v="476"/>
    <x v="5"/>
    <x v="5"/>
    <x v="5"/>
    <x v="1"/>
    <s v="DOUGLAS LAM"/>
    <n v="462"/>
    <s v="LOC (Letter of Confidentiality)"/>
    <s v="Supplier"/>
    <m/>
    <x v="43"/>
    <s v="Airtek_LOC_21Jan2014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s v="MOULD"/>
    <x v="4"/>
    <x v="1"/>
    <n v="1"/>
    <x v="5"/>
  </r>
  <r>
    <n v="483"/>
    <x v="5"/>
    <x v="5"/>
    <x v="5"/>
    <x v="1"/>
    <s v="DOUGLAS LAM"/>
    <n v="469"/>
    <s v="Responsible Purchasing Charter"/>
    <s v="Supplier"/>
    <m/>
    <x v="35"/>
    <s v="Airtek_Responsible Purchasing Charter_15Aug2012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s v="MOULD"/>
    <x v="4"/>
    <x v="1"/>
    <n v="1"/>
    <x v="5"/>
  </r>
  <r>
    <n v="485"/>
    <x v="5"/>
    <x v="5"/>
    <x v="5"/>
    <x v="1"/>
    <s v="DOUGLAS LAM"/>
    <n v="471"/>
    <s v="SEF"/>
    <s v="Supplier"/>
    <m/>
    <x v="44"/>
    <s v="SEF_Airtek_2012May.xlsx"/>
    <s v=".xlsx"/>
    <d v="2014-03-17T00:00:00"/>
    <s v="as\afok"/>
    <m/>
    <s v="2012"/>
    <x v="0"/>
    <x v="0"/>
    <x v="0"/>
    <x v="0"/>
    <m/>
    <m/>
    <m/>
    <m/>
    <n v="83"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s v="MOULD"/>
    <x v="4"/>
    <x v="1"/>
    <n v="1"/>
    <x v="5"/>
  </r>
  <r>
    <n v="482"/>
    <x v="5"/>
    <x v="5"/>
    <x v="5"/>
    <x v="1"/>
    <s v="DOUGLAS LAM"/>
    <n v="468"/>
    <s v="SIF"/>
    <s v="Supplier"/>
    <m/>
    <x v="45"/>
    <s v="Airtek_SIF_4Sep2012.xlsx"/>
    <s v=".xlsx"/>
    <d v="2014-03-17T00:00:00"/>
    <s v="as\afok"/>
    <m/>
    <s v="2012"/>
    <x v="0"/>
    <x v="0"/>
    <x v="0"/>
    <x v="0"/>
    <m/>
    <m/>
    <m/>
    <m/>
    <m/>
    <n v="2012"/>
    <n v="250000000"/>
    <n v="250000000"/>
    <n v="210000000"/>
    <n v="200000000"/>
    <n v="190000000"/>
    <n v="15"/>
    <n v="15"/>
    <n v="15"/>
    <n v="15"/>
    <n v="10"/>
    <s v="FP panel Top 15"/>
    <x v="1"/>
    <x v="1"/>
    <x v="0"/>
    <x v="0"/>
    <m/>
    <m/>
    <m/>
    <n v="0"/>
    <m/>
    <m/>
    <s v="FP"/>
    <m/>
    <s v="SP"/>
    <s v="MOULD"/>
    <x v="4"/>
    <x v="1"/>
    <n v="1"/>
    <x v="5"/>
  </r>
  <r>
    <n v="477"/>
    <x v="5"/>
    <x v="5"/>
    <x v="5"/>
    <x v="1"/>
    <s v="DOUGLAS LAM"/>
    <n v="463"/>
    <s v="SIF"/>
    <s v="Supplier"/>
    <m/>
    <x v="46"/>
    <s v="Airtek_SIF_Jan 2014.xlsx"/>
    <s v=".xlsx"/>
    <d v="2014-03-17T00:00:00"/>
    <s v="as\afok"/>
    <m/>
    <s v="2014"/>
    <x v="0"/>
    <x v="0"/>
    <x v="0"/>
    <x v="0"/>
    <m/>
    <m/>
    <m/>
    <m/>
    <m/>
    <n v="2014"/>
    <n v="250000000"/>
    <n v="230000000"/>
    <n v="250000000"/>
    <n v="210000000"/>
    <n v="200000000"/>
    <n v="15"/>
    <n v="12"/>
    <n v="15"/>
    <n v="15"/>
    <n v="15"/>
    <s v="FP panel Top 15"/>
    <x v="1"/>
    <x v="1"/>
    <x v="0"/>
    <x v="0"/>
    <m/>
    <m/>
    <m/>
    <n v="0"/>
    <m/>
    <m/>
    <s v="FP"/>
    <m/>
    <s v="SP"/>
    <s v="MOULD"/>
    <x v="4"/>
    <x v="1"/>
    <n v="1"/>
    <x v="5"/>
  </r>
  <r>
    <n v="484"/>
    <x v="5"/>
    <x v="5"/>
    <x v="5"/>
    <x v="1"/>
    <s v="DOUGLAS LAM"/>
    <n v="470"/>
    <s v="SPR"/>
    <s v="Supplier"/>
    <m/>
    <x v="47"/>
    <s v="SPR 201207 AIRTEK.ppt"/>
    <s v=".ppt"/>
    <d v="2014-03-17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s v="MOULD"/>
    <x v="4"/>
    <x v="1"/>
    <n v="1"/>
    <x v="5"/>
  </r>
  <r>
    <n v="478"/>
    <x v="5"/>
    <x v="5"/>
    <x v="5"/>
    <x v="1"/>
    <s v="DOUGLAS LAM"/>
    <n v="464"/>
    <s v="SPR"/>
    <s v="Supplier"/>
    <m/>
    <x v="9"/>
    <s v="SPR 2013 AIRTEK.pptx"/>
    <s v=".pptx"/>
    <d v="2014-03-17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s v="MOULD"/>
    <x v="4"/>
    <x v="1"/>
    <n v="1"/>
    <x v="5"/>
  </r>
  <r>
    <n v="40"/>
    <x v="6"/>
    <x v="6"/>
    <x v="6"/>
    <x v="3"/>
    <s v="JIMMY HO"/>
    <n v="34"/>
    <s v="Contract: General Contract"/>
    <s v="Supplier"/>
    <d v="2015-12-31T00:00:00"/>
    <x v="48"/>
    <s v="ALLAN_GENERAL AGREEMENT ind.11 2012-06-15 (except appendix 7).pdf"/>
    <s v=".pdf"/>
    <d v="2014-03-04T00:00:00"/>
    <s v="as\afok"/>
    <m/>
    <s v="FHA00016 ind.11"/>
    <x v="4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n v="1"/>
    <m/>
    <m/>
    <n v="0"/>
    <m/>
    <m/>
    <s v="FP"/>
    <m/>
    <s v="SP"/>
    <s v="MOULD"/>
    <x v="5"/>
    <x v="1"/>
    <n v="1"/>
    <x v="6"/>
  </r>
  <r>
    <n v="42"/>
    <x v="7"/>
    <x v="7"/>
    <x v="6"/>
    <x v="3"/>
    <s v="JIMMY HO"/>
    <n v="34"/>
    <s v="Contract: General Contract"/>
    <s v="Supplier"/>
    <d v="2015-12-31T00:00:00"/>
    <x v="48"/>
    <s v="ALLAN_GENERAL AGREEMENT ind.11 2012-06-15 (except appendix 7).pdf"/>
    <s v=".pdf"/>
    <d v="2014-03-04T00:00:00"/>
    <s v="as\afok"/>
    <m/>
    <s v="FHA00016 ind.11"/>
    <x v="4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n v="1"/>
    <m/>
    <m/>
    <n v="0"/>
    <m/>
    <m/>
    <s v="FP"/>
    <m/>
    <s v="SP"/>
    <m/>
    <x v="6"/>
    <x v="1"/>
    <n v="1"/>
    <x v="6"/>
  </r>
  <r>
    <n v="41"/>
    <x v="8"/>
    <x v="8"/>
    <x v="6"/>
    <x v="3"/>
    <s v="JIMMY HO"/>
    <n v="34"/>
    <s v="Contract: General Contract"/>
    <s v="Supplier"/>
    <d v="2015-12-31T00:00:00"/>
    <x v="48"/>
    <s v="ALLAN_GENERAL AGREEMENT ind.11 2012-06-15 (except appendix 7).pdf"/>
    <s v=".pdf"/>
    <d v="2014-03-04T00:00:00"/>
    <s v="as\afok"/>
    <m/>
    <s v="FHA00016 ind.11"/>
    <x v="4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n v="1"/>
    <m/>
    <m/>
    <n v="0"/>
    <m/>
    <m/>
    <s v="FP"/>
    <s v="CP"/>
    <s v="SP"/>
    <s v="MOULD"/>
    <x v="7"/>
    <x v="1"/>
    <n v="1"/>
    <x v="7"/>
  </r>
  <r>
    <n v="572"/>
    <x v="6"/>
    <x v="6"/>
    <x v="6"/>
    <x v="3"/>
    <s v="JIMMY HO"/>
    <n v="557"/>
    <s v="Declaration letter of group organization"/>
    <s v="Supplier"/>
    <m/>
    <x v="49"/>
    <s v="ALLAN_GENERAL AGREEMENT ind.11 2012-06-15 (except appendix 7)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s v="MOULD"/>
    <x v="5"/>
    <x v="1"/>
    <n v="1"/>
    <x v="6"/>
  </r>
  <r>
    <n v="574"/>
    <x v="7"/>
    <x v="7"/>
    <x v="6"/>
    <x v="3"/>
    <s v="JIMMY HO"/>
    <n v="557"/>
    <s v="Declaration letter of group organization"/>
    <s v="Supplier"/>
    <m/>
    <x v="49"/>
    <s v="ALLAN_GENERAL AGREEMENT ind.11 2012-06-15 (except appendix 7)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n v="1"/>
    <s v="FP"/>
    <m/>
    <s v="SP"/>
    <m/>
    <x v="6"/>
    <x v="1"/>
    <n v="1"/>
    <x v="6"/>
  </r>
  <r>
    <n v="573"/>
    <x v="8"/>
    <x v="8"/>
    <x v="6"/>
    <x v="3"/>
    <s v="JIMMY HO"/>
    <n v="557"/>
    <s v="Declaration letter of group organization"/>
    <s v="Supplier"/>
    <m/>
    <x v="49"/>
    <s v="ALLAN_GENERAL AGREEMENT ind.11 2012-06-15 (except appendix 7)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m/>
    <s v="FP"/>
    <s v="CP"/>
    <s v="SP"/>
    <s v="MOULD"/>
    <x v="7"/>
    <x v="1"/>
    <n v="1"/>
    <x v="7"/>
  </r>
  <r>
    <n v="492"/>
    <x v="9"/>
    <x v="9"/>
    <x v="7"/>
    <x v="1"/>
    <s v="MAY LEE"/>
    <n v="478"/>
    <s v="Environmental Declaration"/>
    <s v="Supplier"/>
    <m/>
    <x v="50"/>
    <s v="Ally_Env_Declaration_25Jun2010.pdf"/>
    <s v=".pdf"/>
    <d v="2014-03-17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x v="2"/>
    <x v="0"/>
    <m/>
    <x v="8"/>
  </r>
  <r>
    <n v="489"/>
    <x v="9"/>
    <x v="9"/>
    <x v="7"/>
    <x v="1"/>
    <s v="MAY LEE"/>
    <n v="475"/>
    <s v="Responsible Purchasing Charter"/>
    <s v="Supplier"/>
    <m/>
    <x v="51"/>
    <s v="Ally_Responsible_Purchasing_Charter_03Aug12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x v="2"/>
    <x v="0"/>
    <m/>
    <x v="8"/>
  </r>
  <r>
    <n v="488"/>
    <x v="9"/>
    <x v="9"/>
    <x v="7"/>
    <x v="1"/>
    <s v="MAY LEE"/>
    <n v="474"/>
    <s v="SEF"/>
    <s v="Supplier"/>
    <m/>
    <x v="52"/>
    <s v="Ally_SEF_2012-2.xlsx"/>
    <s v=".xlsx"/>
    <d v="2014-03-17T00:00:00"/>
    <s v="as\afok"/>
    <m/>
    <s v="2012"/>
    <x v="0"/>
    <x v="0"/>
    <x v="0"/>
    <x v="0"/>
    <m/>
    <m/>
    <m/>
    <m/>
    <n v="69"/>
    <m/>
    <m/>
    <m/>
    <m/>
    <m/>
    <m/>
    <m/>
    <m/>
    <m/>
    <m/>
    <m/>
    <m/>
    <x v="0"/>
    <x v="0"/>
    <x v="0"/>
    <x v="0"/>
    <m/>
    <m/>
    <m/>
    <m/>
    <m/>
    <m/>
    <m/>
    <s v="CP"/>
    <m/>
    <m/>
    <x v="2"/>
    <x v="0"/>
    <m/>
    <x v="8"/>
  </r>
  <r>
    <n v="491"/>
    <x v="9"/>
    <x v="9"/>
    <x v="7"/>
    <x v="1"/>
    <s v="MAY LEE"/>
    <n v="477"/>
    <s v="SEF"/>
    <s v="Supplier"/>
    <m/>
    <x v="53"/>
    <s v="Ally_SEF_2012-1.xlsx"/>
    <s v=".xlsx"/>
    <d v="2014-03-17T00:00:00"/>
    <s v="as\afok"/>
    <m/>
    <s v="2012"/>
    <x v="0"/>
    <x v="0"/>
    <x v="0"/>
    <x v="0"/>
    <m/>
    <m/>
    <m/>
    <m/>
    <n v="69"/>
    <m/>
    <m/>
    <m/>
    <m/>
    <m/>
    <m/>
    <m/>
    <m/>
    <m/>
    <m/>
    <m/>
    <m/>
    <x v="0"/>
    <x v="0"/>
    <x v="0"/>
    <x v="0"/>
    <m/>
    <m/>
    <m/>
    <m/>
    <m/>
    <m/>
    <m/>
    <s v="CP"/>
    <m/>
    <m/>
    <x v="2"/>
    <x v="0"/>
    <m/>
    <x v="8"/>
  </r>
  <r>
    <n v="487"/>
    <x v="9"/>
    <x v="9"/>
    <x v="7"/>
    <x v="1"/>
    <s v="MAY LEE"/>
    <n v="473"/>
    <s v="SIF"/>
    <s v="Supplier"/>
    <m/>
    <x v="54"/>
    <s v="Ally_SIF 2013.xls"/>
    <s v=".xls"/>
    <d v="2014-03-17T00:00:00"/>
    <s v="as\afok"/>
    <m/>
    <s v="2013"/>
    <x v="0"/>
    <x v="0"/>
    <x v="0"/>
    <x v="0"/>
    <m/>
    <m/>
    <m/>
    <m/>
    <m/>
    <n v="2013"/>
    <n v="2000000"/>
    <n v="1800000"/>
    <n v="2200000"/>
    <n v="1500000"/>
    <n v="1500000"/>
    <m/>
    <m/>
    <n v="1"/>
    <m/>
    <m/>
    <m/>
    <x v="0"/>
    <x v="0"/>
    <x v="0"/>
    <x v="0"/>
    <m/>
    <m/>
    <m/>
    <m/>
    <m/>
    <m/>
    <m/>
    <s v="CP"/>
    <m/>
    <m/>
    <x v="2"/>
    <x v="0"/>
    <m/>
    <x v="8"/>
  </r>
  <r>
    <n v="490"/>
    <x v="9"/>
    <x v="9"/>
    <x v="7"/>
    <x v="1"/>
    <s v="MAY LEE"/>
    <n v="476"/>
    <s v="SIF"/>
    <s v="Supplier"/>
    <m/>
    <x v="55"/>
    <s v="Ally_SIF2012_6Jun12.xls"/>
    <s v=".xls"/>
    <d v="2014-03-17T00:00:00"/>
    <s v="as\afok"/>
    <m/>
    <s v="2012"/>
    <x v="0"/>
    <x v="0"/>
    <x v="0"/>
    <x v="0"/>
    <m/>
    <m/>
    <m/>
    <m/>
    <m/>
    <n v="2012"/>
    <n v="1500000"/>
    <n v="2000000"/>
    <n v="1800000"/>
    <n v="1500000"/>
    <n v="1500000"/>
    <m/>
    <n v="15.4"/>
    <n v="1"/>
    <n v="0"/>
    <m/>
    <m/>
    <x v="0"/>
    <x v="0"/>
    <x v="0"/>
    <x v="0"/>
    <m/>
    <m/>
    <m/>
    <m/>
    <m/>
    <m/>
    <m/>
    <s v="CP"/>
    <m/>
    <m/>
    <x v="2"/>
    <x v="0"/>
    <m/>
    <x v="8"/>
  </r>
  <r>
    <n v="498"/>
    <x v="10"/>
    <x v="10"/>
    <x v="8"/>
    <x v="1"/>
    <s v="DOUGLAS LAM"/>
    <n v="484"/>
    <s v="Contract: General Contract"/>
    <s v="Supplier"/>
    <m/>
    <x v="56"/>
    <s v="Alpha_Purchase_Agreement_2009.pdf"/>
    <s v=".pdf"/>
    <d v="2014-03-17T00:00:00"/>
    <s v="as\afok"/>
    <m/>
    <s v="V5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x v="2"/>
    <x v="1"/>
    <m/>
    <x v="9"/>
  </r>
  <r>
    <n v="499"/>
    <x v="10"/>
    <x v="10"/>
    <x v="8"/>
    <x v="1"/>
    <s v="DOUGLAS LAM"/>
    <n v="485"/>
    <s v="Contract: Quality Appendix"/>
    <s v="Supplier"/>
    <m/>
    <x v="57"/>
    <s v="Alpha_Purchase_Agreement_2009.pdf"/>
    <s v=".pdf"/>
    <d v="2014-03-17T00:00:00"/>
    <s v="as\afok"/>
    <m/>
    <m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x v="2"/>
    <x v="1"/>
    <m/>
    <x v="9"/>
  </r>
  <r>
    <n v="500"/>
    <x v="10"/>
    <x v="10"/>
    <x v="8"/>
    <x v="1"/>
    <s v="DOUGLAS LAM"/>
    <n v="486"/>
    <s v="Contract: Supply Chain Appendix"/>
    <s v="Supplier"/>
    <m/>
    <x v="58"/>
    <s v="Alpha_Purchase_Agreement_2009.pdf"/>
    <s v=".pdf"/>
    <d v="2014-03-17T00:00:00"/>
    <s v="as\afok"/>
    <m/>
    <m/>
    <x v="0"/>
    <x v="1"/>
    <x v="1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x v="2"/>
    <x v="1"/>
    <m/>
    <x v="9"/>
  </r>
  <r>
    <n v="501"/>
    <x v="10"/>
    <x v="10"/>
    <x v="8"/>
    <x v="1"/>
    <s v="DOUGLAS LAM"/>
    <n v="487"/>
    <s v="Environmental Declaration"/>
    <s v="Supplier"/>
    <m/>
    <x v="59"/>
    <s v="Alpha_Env_Declaration_27Mar2010.xls"/>
    <s v=".xls"/>
    <d v="2014-03-17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n v="1"/>
    <m/>
    <m/>
    <s v="CP"/>
    <m/>
    <m/>
    <x v="2"/>
    <x v="1"/>
    <m/>
    <x v="9"/>
  </r>
  <r>
    <n v="496"/>
    <x v="10"/>
    <x v="10"/>
    <x v="8"/>
    <x v="1"/>
    <s v="DOUGLAS LAM"/>
    <n v="482"/>
    <s v="Responsible Purchasing Charter"/>
    <s v="Supplier"/>
    <m/>
    <x v="60"/>
    <s v="Alpha_Responsible_Purchasing_Charter_20Aug12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9"/>
  </r>
  <r>
    <n v="493"/>
    <x v="10"/>
    <x v="10"/>
    <x v="8"/>
    <x v="1"/>
    <s v="DOUGLAS LAM"/>
    <n v="479"/>
    <s v="SEF"/>
    <s v="Supplier"/>
    <m/>
    <x v="9"/>
    <s v="Alpha SEF 2013 -Manufacturer-20130601-78.xlsx"/>
    <s v=".xlsx"/>
    <d v="2014-03-17T00:00:00"/>
    <s v="as\afok"/>
    <m/>
    <s v="2013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9"/>
  </r>
  <r>
    <n v="497"/>
    <x v="10"/>
    <x v="10"/>
    <x v="8"/>
    <x v="1"/>
    <s v="DOUGLAS LAM"/>
    <n v="483"/>
    <s v="SEF"/>
    <s v="Supplier"/>
    <m/>
    <x v="10"/>
    <s v="Alpha_SEF_2012.xlsx"/>
    <s v=".xlsx"/>
    <d v="2014-03-17T00:00:00"/>
    <s v="as\afok"/>
    <m/>
    <s v="2012"/>
    <x v="0"/>
    <x v="0"/>
    <x v="0"/>
    <x v="0"/>
    <m/>
    <m/>
    <m/>
    <m/>
    <n v="75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9"/>
  </r>
  <r>
    <n v="494"/>
    <x v="10"/>
    <x v="10"/>
    <x v="8"/>
    <x v="1"/>
    <s v="DOUGLAS LAM"/>
    <n v="480"/>
    <s v="SIF"/>
    <s v="Supplier"/>
    <m/>
    <x v="54"/>
    <s v="Alpha_SIF2013.xlsx"/>
    <s v=".xlsx"/>
    <d v="2014-03-17T00:00:00"/>
    <s v="as\afok"/>
    <m/>
    <s v="2013"/>
    <x v="0"/>
    <x v="0"/>
    <x v="0"/>
    <x v="0"/>
    <m/>
    <m/>
    <m/>
    <m/>
    <m/>
    <n v="2013"/>
    <n v="330000000"/>
    <n v="320000000"/>
    <n v="320000000"/>
    <n v="33000000"/>
    <n v="28000000"/>
    <n v="5"/>
    <n v="8"/>
    <n v="7"/>
    <n v="10"/>
    <n v="8"/>
    <s v="CP Panel"/>
    <x v="0"/>
    <x v="0"/>
    <x v="1"/>
    <x v="1"/>
    <m/>
    <m/>
    <m/>
    <n v="1"/>
    <m/>
    <m/>
    <m/>
    <s v="CP"/>
    <m/>
    <m/>
    <x v="2"/>
    <x v="1"/>
    <m/>
    <x v="9"/>
  </r>
  <r>
    <n v="495"/>
    <x v="10"/>
    <x v="10"/>
    <x v="8"/>
    <x v="1"/>
    <s v="DOUGLAS LAM"/>
    <n v="481"/>
    <s v="SPR"/>
    <s v="Supplier"/>
    <m/>
    <x v="61"/>
    <s v="ALPHA_SPR 2012.pptx"/>
    <s v=".pptx"/>
    <d v="2014-03-17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9"/>
  </r>
  <r>
    <n v="503"/>
    <x v="11"/>
    <x v="11"/>
    <x v="9"/>
    <x v="4"/>
    <s v="ERIC KWOK"/>
    <n v="489"/>
    <s v="Environmental Declaration"/>
    <s v="Supplier"/>
    <m/>
    <x v="62"/>
    <s v="Altrust_Env_Declaration_23mar2010.xls"/>
    <s v=".xls"/>
    <d v="2014-03-18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504"/>
    <x v="11"/>
    <x v="11"/>
    <x v="9"/>
    <x v="4"/>
    <s v="ERIC KWOK"/>
    <n v="490"/>
    <s v="Responsible Purchasing Charter"/>
    <s v="Supplier"/>
    <m/>
    <x v="8"/>
    <s v="APT_Responsible_Purchasing_Charter_08Aug12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505"/>
    <x v="11"/>
    <x v="11"/>
    <x v="9"/>
    <x v="4"/>
    <s v="ERIC KWOK"/>
    <n v="491"/>
    <s v="SEF"/>
    <s v="Supplier"/>
    <m/>
    <x v="63"/>
    <s v="APT_SEF_May2011_R1.xlsx"/>
    <s v=".xlsx"/>
    <d v="2014-03-18T00:00:00"/>
    <s v="as\afok"/>
    <m/>
    <s v="2011"/>
    <x v="0"/>
    <x v="0"/>
    <x v="0"/>
    <x v="0"/>
    <m/>
    <m/>
    <m/>
    <m/>
    <n v="83"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507"/>
    <x v="11"/>
    <x v="11"/>
    <x v="9"/>
    <x v="4"/>
    <s v="ERIC KWOK"/>
    <n v="493"/>
    <s v="SEF"/>
    <s v="Supplier"/>
    <m/>
    <x v="64"/>
    <s v="APT_SEF_2012_R1.xlsx"/>
    <s v=".xlsx"/>
    <d v="2014-03-18T00:00:00"/>
    <s v="as\afok"/>
    <m/>
    <s v="2012"/>
    <x v="0"/>
    <x v="0"/>
    <x v="0"/>
    <x v="0"/>
    <m/>
    <m/>
    <m/>
    <m/>
    <n v="83"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506"/>
    <x v="11"/>
    <x v="11"/>
    <x v="9"/>
    <x v="4"/>
    <s v="ERIC KWOK"/>
    <n v="492"/>
    <s v="SIF"/>
    <s v="Supplier"/>
    <m/>
    <x v="65"/>
    <s v="APT_SIF2012_18Jul12.xlsx"/>
    <s v=".xlsx"/>
    <d v="2014-03-18T00:00:00"/>
    <s v="as\afok"/>
    <m/>
    <s v="2012"/>
    <x v="0"/>
    <x v="0"/>
    <x v="0"/>
    <x v="0"/>
    <m/>
    <m/>
    <m/>
    <m/>
    <m/>
    <n v="2014"/>
    <m/>
    <n v="25846314.809999999"/>
    <n v="25866216.539999999"/>
    <n v="20894464.079999998"/>
    <n v="26915365.800000001"/>
    <m/>
    <n v="4.33"/>
    <n v="1.76"/>
    <n v="2.75"/>
    <n v="0.28999999999999998"/>
    <m/>
    <x v="0"/>
    <x v="0"/>
    <x v="0"/>
    <x v="0"/>
    <m/>
    <m/>
    <m/>
    <n v="0"/>
    <m/>
    <m/>
    <m/>
    <m/>
    <m/>
    <s v="MOULD"/>
    <x v="8"/>
    <x v="1"/>
    <m/>
    <x v="3"/>
  </r>
  <r>
    <n v="502"/>
    <x v="11"/>
    <x v="11"/>
    <x v="9"/>
    <x v="4"/>
    <s v="ERIC KWOK"/>
    <n v="488"/>
    <s v="SIF"/>
    <s v="Supplier"/>
    <m/>
    <x v="25"/>
    <s v="APT_SIF2013.xlsx"/>
    <s v=".xlsx"/>
    <d v="2014-03-18T00:00:00"/>
    <s v="as\afok"/>
    <m/>
    <s v="2013"/>
    <x v="0"/>
    <x v="0"/>
    <x v="0"/>
    <x v="0"/>
    <m/>
    <m/>
    <m/>
    <m/>
    <m/>
    <n v="2013"/>
    <n v="25000000"/>
    <n v="22000000"/>
    <n v="27000000"/>
    <n v="26000000"/>
    <n v="23000000"/>
    <n v="5"/>
    <n v="5"/>
    <n v="5"/>
    <n v="5"/>
    <n v="7"/>
    <m/>
    <x v="0"/>
    <x v="0"/>
    <x v="0"/>
    <x v="0"/>
    <m/>
    <m/>
    <m/>
    <n v="0"/>
    <m/>
    <m/>
    <m/>
    <m/>
    <m/>
    <s v="MOULD"/>
    <x v="8"/>
    <x v="1"/>
    <m/>
    <x v="3"/>
  </r>
  <r>
    <n v="509"/>
    <x v="11"/>
    <x v="11"/>
    <x v="9"/>
    <x v="4"/>
    <s v="ERIC KWOK"/>
    <n v="495"/>
    <s v="SPR"/>
    <s v="Supplier"/>
    <m/>
    <x v="66"/>
    <s v="SPR_APT June 2011.ppt"/>
    <s v=".ppt"/>
    <d v="2014-03-18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m/>
    <m/>
    <s v="MOULD"/>
    <x v="8"/>
    <x v="1"/>
    <m/>
    <x v="3"/>
  </r>
  <r>
    <n v="508"/>
    <x v="11"/>
    <x v="11"/>
    <x v="9"/>
    <x v="4"/>
    <s v="ERIC KWOK"/>
    <n v="494"/>
    <s v="SPR"/>
    <s v="Supplier"/>
    <m/>
    <x v="67"/>
    <s v="SPR_APT_May2012.ppt"/>
    <s v=".ppt"/>
    <d v="2014-03-18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510"/>
    <x v="12"/>
    <x v="12"/>
    <x v="10"/>
    <x v="5"/>
    <s v="JOHN YAN"/>
    <n v="496"/>
    <s v="Environmental Declaration"/>
    <s v="Supplier"/>
    <m/>
    <x v="68"/>
    <s v="Angu_Env_Declaration_30May2010.xls"/>
    <s v=".xls"/>
    <d v="2014-03-18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x v="2"/>
    <x v="0"/>
    <m/>
    <x v="8"/>
  </r>
  <r>
    <n v="513"/>
    <x v="12"/>
    <x v="12"/>
    <x v="10"/>
    <x v="5"/>
    <s v="JOHN YAN"/>
    <n v="499"/>
    <s v="Responsible Purchasing Charter"/>
    <s v="Supplier"/>
    <m/>
    <x v="69"/>
    <s v="ANGU_Responsible Purchaser Charter_9Aug2012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x v="2"/>
    <x v="0"/>
    <m/>
    <x v="8"/>
  </r>
  <r>
    <n v="511"/>
    <x v="12"/>
    <x v="12"/>
    <x v="10"/>
    <x v="5"/>
    <s v="JOHN YAN"/>
    <n v="497"/>
    <s v="SEF"/>
    <s v="Supplier"/>
    <m/>
    <x v="70"/>
    <s v="Angu Supplier Evaluation 201112.xlsx"/>
    <s v=".xlsx"/>
    <d v="2014-03-18T00:00:00"/>
    <s v="as\afok"/>
    <m/>
    <s v="2011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m/>
    <m/>
    <m/>
    <m/>
    <s v="CP"/>
    <m/>
    <m/>
    <x v="2"/>
    <x v="0"/>
    <m/>
    <x v="8"/>
  </r>
  <r>
    <n v="512"/>
    <x v="12"/>
    <x v="12"/>
    <x v="10"/>
    <x v="5"/>
    <s v="JOHN YAN"/>
    <n v="498"/>
    <s v="SEF"/>
    <s v="Supplier"/>
    <m/>
    <x v="71"/>
    <s v="Angu_SupplierEvaluation_201104.xlsx"/>
    <s v=".xlsx"/>
    <d v="2014-03-18T00:00:00"/>
    <s v="as\afok"/>
    <m/>
    <s v="2011"/>
    <x v="0"/>
    <x v="0"/>
    <x v="0"/>
    <x v="0"/>
    <m/>
    <m/>
    <m/>
    <m/>
    <n v="72"/>
    <m/>
    <m/>
    <m/>
    <m/>
    <m/>
    <m/>
    <m/>
    <m/>
    <m/>
    <m/>
    <m/>
    <m/>
    <x v="0"/>
    <x v="0"/>
    <x v="0"/>
    <x v="0"/>
    <m/>
    <m/>
    <m/>
    <m/>
    <m/>
    <m/>
    <m/>
    <s v="CP"/>
    <m/>
    <m/>
    <x v="2"/>
    <x v="0"/>
    <m/>
    <x v="8"/>
  </r>
  <r>
    <n v="514"/>
    <x v="12"/>
    <x v="12"/>
    <x v="10"/>
    <x v="5"/>
    <s v="JOHN YAN"/>
    <n v="500"/>
    <s v="SIF"/>
    <s v="Supplier"/>
    <m/>
    <x v="48"/>
    <s v="ANGU_SIF_21Apr2012.xls"/>
    <s v=".xls"/>
    <d v="2014-03-18T00:00:00"/>
    <s v="as\afok"/>
    <m/>
    <s v="2012"/>
    <x v="0"/>
    <x v="0"/>
    <x v="0"/>
    <x v="0"/>
    <m/>
    <m/>
    <m/>
    <m/>
    <m/>
    <n v="2012"/>
    <n v="62000000"/>
    <n v="58000000"/>
    <n v="56000000"/>
    <n v="46000000"/>
    <n v="40000000"/>
    <m/>
    <m/>
    <m/>
    <m/>
    <m/>
    <m/>
    <x v="0"/>
    <x v="0"/>
    <x v="0"/>
    <x v="0"/>
    <m/>
    <m/>
    <m/>
    <m/>
    <m/>
    <m/>
    <m/>
    <s v="CP"/>
    <m/>
    <m/>
    <x v="2"/>
    <x v="0"/>
    <m/>
    <x v="8"/>
  </r>
  <r>
    <n v="526"/>
    <x v="13"/>
    <x v="13"/>
    <x v="11"/>
    <x v="4"/>
    <s v="WILLIAM TSANG"/>
    <n v="512"/>
    <s v="Contract: General Contract"/>
    <s v="Supplier"/>
    <m/>
    <x v="72"/>
    <s v="Anlian_Agreement_Revised_Sep2012.pdf"/>
    <s v=".pdf"/>
    <d v="2014-03-18T00:00:00"/>
    <s v="as\afok"/>
    <m/>
    <s v="V7"/>
    <x v="2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0"/>
  </r>
  <r>
    <n v="515"/>
    <x v="13"/>
    <x v="13"/>
    <x v="11"/>
    <x v="4"/>
    <s v="WILLIAM TSANG"/>
    <n v="501"/>
    <s v="Contract: General Contract"/>
    <s v="Supplier"/>
    <m/>
    <x v="73"/>
    <s v="Anlian_Agreement_V8_Nov2013.pdf"/>
    <s v=".pdf"/>
    <d v="2014-03-18T00:00:00"/>
    <s v="as\afok"/>
    <m/>
    <s v="V8"/>
    <x v="1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0"/>
  </r>
  <r>
    <n v="525"/>
    <x v="13"/>
    <x v="13"/>
    <x v="11"/>
    <x v="4"/>
    <s v="WILLIAM TSANG"/>
    <n v="511"/>
    <s v="Contract: General Contract"/>
    <s v="Supplier"/>
    <m/>
    <x v="47"/>
    <s v="Anlian_Agreement_Jul2012.pdf"/>
    <s v=".pdf"/>
    <d v="2014-03-18T00:00:00"/>
    <s v="as\afok"/>
    <m/>
    <s v="V7"/>
    <x v="2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0"/>
  </r>
  <r>
    <n v="517"/>
    <x v="13"/>
    <x v="13"/>
    <x v="11"/>
    <x v="4"/>
    <s v="WILLIAM TSANG"/>
    <n v="503"/>
    <s v="Contract: Quality Appendix"/>
    <s v="Supplier"/>
    <m/>
    <x v="73"/>
    <s v="Anlian_Agreement_V8_Nov2013.pdf"/>
    <s v=".pdf"/>
    <d v="2014-03-18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0"/>
  </r>
  <r>
    <n v="518"/>
    <x v="13"/>
    <x v="13"/>
    <x v="11"/>
    <x v="4"/>
    <s v="WILLIAM TSANG"/>
    <n v="504"/>
    <s v="Contract: Supply Chain Appendix"/>
    <s v="Supplier"/>
    <m/>
    <x v="73"/>
    <s v="Anlian_Agreement_V8_Nov2013.pdf"/>
    <s v=".pdf"/>
    <d v="2014-03-18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0"/>
  </r>
  <r>
    <n v="519"/>
    <x v="13"/>
    <x v="13"/>
    <x v="11"/>
    <x v="4"/>
    <s v="WILLIAM TSANG"/>
    <n v="505"/>
    <s v="Contract: Supply Chain Appendix"/>
    <s v="Supplier"/>
    <m/>
    <x v="74"/>
    <s v="Anlian_Supply Chain Appendix V.10_08Aug13.pdf"/>
    <s v=".pdf"/>
    <d v="2014-03-18T00:00:00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0"/>
  </r>
  <r>
    <n v="568"/>
    <x v="13"/>
    <x v="13"/>
    <x v="11"/>
    <x v="4"/>
    <s v="WILLIAM TSANG"/>
    <n v="553"/>
    <s v="Declaration letter of group organization"/>
    <s v="Supplier"/>
    <m/>
    <x v="73"/>
    <s v="Anlian_Agreement_V8_Nov2013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x v="2"/>
    <x v="1"/>
    <m/>
    <x v="0"/>
  </r>
  <r>
    <n v="516"/>
    <x v="13"/>
    <x v="13"/>
    <x v="11"/>
    <x v="4"/>
    <s v="WILLIAM TSANG"/>
    <n v="502"/>
    <s v="Environmental Declaration"/>
    <s v="Supplier"/>
    <m/>
    <x v="73"/>
    <s v="Anlian_Agreement_V8_Nov2013.pdf"/>
    <s v=".pdf"/>
    <d v="2014-03-18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0"/>
  </r>
  <r>
    <n v="524"/>
    <x v="13"/>
    <x v="13"/>
    <x v="11"/>
    <x v="4"/>
    <s v="WILLIAM TSANG"/>
    <n v="510"/>
    <s v="Responsible Purchasing Charter"/>
    <s v="Supplier"/>
    <m/>
    <x v="19"/>
    <s v="Anlian_Responsible_Purchasing_Charter_07Aug12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0"/>
  </r>
  <r>
    <n v="527"/>
    <x v="13"/>
    <x v="13"/>
    <x v="11"/>
    <x v="4"/>
    <s v="WILLIAM TSANG"/>
    <n v="513"/>
    <s v="SEF"/>
    <s v="Supplier"/>
    <m/>
    <x v="75"/>
    <s v="ANLIAN_Supplier_Evaluation_May_2012.xlsx"/>
    <s v=".xlsx"/>
    <d v="2014-03-18T00:00:00"/>
    <s v="as\afok"/>
    <m/>
    <s v="2012"/>
    <x v="0"/>
    <x v="0"/>
    <x v="0"/>
    <x v="0"/>
    <m/>
    <m/>
    <m/>
    <m/>
    <n v="68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0"/>
  </r>
  <r>
    <n v="523"/>
    <x v="13"/>
    <x v="13"/>
    <x v="11"/>
    <x v="4"/>
    <s v="WILLIAM TSANG"/>
    <n v="509"/>
    <s v="SEF"/>
    <s v="Supplier"/>
    <m/>
    <x v="76"/>
    <s v="ANLIAN Supplier Evaluation Dec 2012.xlsx"/>
    <s v=".xlsx"/>
    <d v="2014-03-18T00:00:00"/>
    <s v="as\afok"/>
    <m/>
    <s v="2012"/>
    <x v="0"/>
    <x v="0"/>
    <x v="0"/>
    <x v="0"/>
    <m/>
    <m/>
    <m/>
    <m/>
    <n v="79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0"/>
  </r>
  <r>
    <n v="528"/>
    <x v="13"/>
    <x v="13"/>
    <x v="11"/>
    <x v="4"/>
    <s v="WILLIAM TSANG"/>
    <n v="514"/>
    <s v="SIF"/>
    <s v="Supplier"/>
    <m/>
    <x v="48"/>
    <s v="Anlian_SIF2012_20APR12.xls"/>
    <s v=".xls"/>
    <d v="2014-03-18T00:00:00"/>
    <s v="as\afok"/>
    <m/>
    <s v="2012"/>
    <x v="0"/>
    <x v="0"/>
    <x v="0"/>
    <x v="0"/>
    <m/>
    <m/>
    <m/>
    <m/>
    <m/>
    <n v="2012"/>
    <n v="10545420"/>
    <n v="10760633"/>
    <n v="8747602"/>
    <n v="6659955"/>
    <n v="7493766"/>
    <n v="4"/>
    <n v="4"/>
    <n v="10"/>
    <n v="6"/>
    <n v="15"/>
    <s v="CP Panel"/>
    <x v="0"/>
    <x v="0"/>
    <x v="1"/>
    <x v="3"/>
    <m/>
    <m/>
    <m/>
    <n v="1"/>
    <m/>
    <m/>
    <m/>
    <s v="CP"/>
    <m/>
    <m/>
    <x v="2"/>
    <x v="1"/>
    <m/>
    <x v="0"/>
  </r>
  <r>
    <n v="521"/>
    <x v="13"/>
    <x v="13"/>
    <x v="11"/>
    <x v="4"/>
    <s v="WILLIAM TSANG"/>
    <n v="507"/>
    <s v="SIF"/>
    <s v="Supplier"/>
    <m/>
    <x v="77"/>
    <s v="Anlian_SIF2013.xls"/>
    <s v=".xls"/>
    <d v="2014-03-18T00:00:00"/>
    <s v="as\afok"/>
    <m/>
    <s v="2013"/>
    <x v="0"/>
    <x v="0"/>
    <x v="0"/>
    <x v="0"/>
    <m/>
    <m/>
    <m/>
    <m/>
    <m/>
    <n v="2013"/>
    <n v="13000000"/>
    <n v="11910413"/>
    <n v="10760633"/>
    <n v="8747602"/>
    <n v="6659955"/>
    <n v="6"/>
    <n v="7"/>
    <n v="4"/>
    <n v="10"/>
    <n v="6"/>
    <s v="CP Panel"/>
    <x v="0"/>
    <x v="0"/>
    <x v="1"/>
    <x v="3"/>
    <m/>
    <m/>
    <m/>
    <n v="1"/>
    <m/>
    <m/>
    <m/>
    <s v="CP"/>
    <m/>
    <m/>
    <x v="2"/>
    <x v="1"/>
    <m/>
    <x v="0"/>
  </r>
  <r>
    <n v="520"/>
    <x v="13"/>
    <x v="13"/>
    <x v="11"/>
    <x v="4"/>
    <s v="WILLIAM TSANG"/>
    <n v="506"/>
    <s v="Social Audit"/>
    <s v="Supplier"/>
    <m/>
    <x v="78"/>
    <s v="XIAMEN ANLIAN_Grade Critical Letter 2013.pdf"/>
    <s v=".pdf"/>
    <d v="2014-03-18T00:00:00"/>
    <s v="as\afok"/>
    <s v="Social Audit Letter"/>
    <m/>
    <x v="0"/>
    <x v="0"/>
    <x v="0"/>
    <x v="0"/>
    <m/>
    <s v="SEB Asia"/>
    <s v="Initial"/>
    <s v="Critical"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0"/>
  </r>
  <r>
    <n v="522"/>
    <x v="13"/>
    <x v="13"/>
    <x v="11"/>
    <x v="4"/>
    <s v="WILLIAM TSANG"/>
    <n v="508"/>
    <s v="SPR"/>
    <s v="Supplier"/>
    <m/>
    <x v="79"/>
    <s v="ANLIAN Performance Review 20121220.ppt"/>
    <s v=".ppt"/>
    <d v="2014-03-18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0"/>
  </r>
  <r>
    <n v="543"/>
    <x v="14"/>
    <x v="14"/>
    <x v="12"/>
    <x v="0"/>
    <s v="FELICITY YU"/>
    <n v="529"/>
    <s v="Environmental Declaration"/>
    <s v="Supplier"/>
    <m/>
    <x v="80"/>
    <s v="Art_Fair_Env_Declaration_29Mar2010.xls"/>
    <s v=".xls"/>
    <d v="2014-03-18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x v="9"/>
    <x v="2"/>
    <m/>
    <x v="10"/>
  </r>
  <r>
    <n v="541"/>
    <x v="14"/>
    <x v="14"/>
    <x v="12"/>
    <x v="0"/>
    <s v="FELICITY YU"/>
    <n v="527"/>
    <s v="Responsible Purchasing Charter"/>
    <s v="Supplier"/>
    <m/>
    <x v="81"/>
    <s v="Art_Fair_Responsible Purchasing Charter_26Sep12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x v="9"/>
    <x v="2"/>
    <m/>
    <x v="10"/>
  </r>
  <r>
    <n v="539"/>
    <x v="14"/>
    <x v="14"/>
    <x v="12"/>
    <x v="0"/>
    <s v="FELICITY YU"/>
    <n v="525"/>
    <s v="SEF"/>
    <s v="Supplier"/>
    <m/>
    <x v="82"/>
    <s v="SEF_Artfair_20120830.xlsx"/>
    <s v=".xlsx"/>
    <d v="2014-03-18T00:00:00"/>
    <s v="as\afok"/>
    <m/>
    <s v="2012"/>
    <x v="0"/>
    <x v="0"/>
    <x v="0"/>
    <x v="0"/>
    <m/>
    <m/>
    <m/>
    <m/>
    <n v="85"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x v="9"/>
    <x v="2"/>
    <m/>
    <x v="10"/>
  </r>
  <r>
    <n v="542"/>
    <x v="14"/>
    <x v="14"/>
    <x v="12"/>
    <x v="0"/>
    <s v="FELICITY YU"/>
    <n v="528"/>
    <s v="SIF"/>
    <s v="Supplier"/>
    <m/>
    <x v="83"/>
    <s v="Art_Fair_SIF2012 _27Feb12.xls"/>
    <s v=".xls"/>
    <d v="2014-03-18T00:00:00"/>
    <s v="as\afok"/>
    <m/>
    <s v="2012"/>
    <x v="0"/>
    <x v="0"/>
    <x v="0"/>
    <x v="0"/>
    <m/>
    <m/>
    <m/>
    <m/>
    <m/>
    <n v="2012"/>
    <n v="3300000"/>
    <n v="2900000"/>
    <n v="3000000"/>
    <n v="2900000"/>
    <n v="2580000"/>
    <m/>
    <n v="0.6"/>
    <n v="2.1"/>
    <n v="0.8"/>
    <m/>
    <m/>
    <x v="0"/>
    <x v="0"/>
    <x v="0"/>
    <x v="0"/>
    <m/>
    <m/>
    <m/>
    <m/>
    <m/>
    <m/>
    <s v="FP"/>
    <m/>
    <s v="SP"/>
    <m/>
    <x v="9"/>
    <x v="2"/>
    <m/>
    <x v="10"/>
  </r>
  <r>
    <n v="540"/>
    <x v="14"/>
    <x v="14"/>
    <x v="12"/>
    <x v="0"/>
    <s v="FELICITY YU"/>
    <n v="526"/>
    <s v="SPR"/>
    <s v="Supplier"/>
    <m/>
    <x v="65"/>
    <s v="Artfair_SPR_2012.pptx"/>
    <s v=".pptx"/>
    <d v="2014-03-18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x v="9"/>
    <x v="2"/>
    <m/>
    <x v="10"/>
  </r>
  <r>
    <n v="548"/>
    <x v="15"/>
    <x v="15"/>
    <x v="13"/>
    <x v="0"/>
    <s v="SINNY CHAN"/>
    <n v="533"/>
    <s v="ISO 14001"/>
    <s v="Supplier"/>
    <d v="2010-06-19T00:00:00"/>
    <x v="84"/>
    <s v="ASD_ISO14001_2010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m/>
    <x v="0"/>
    <x v="1"/>
    <m/>
    <x v="0"/>
  </r>
  <r>
    <n v="547"/>
    <x v="15"/>
    <x v="15"/>
    <x v="13"/>
    <x v="0"/>
    <s v="SINNY CHAN"/>
    <n v="532"/>
    <s v="LOC (Letter of Confidentiality)"/>
    <s v="Supplier"/>
    <m/>
    <x v="85"/>
    <s v="Hubei_ASD_LOC_15Jun2010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m/>
    <x v="0"/>
    <x v="1"/>
    <m/>
    <x v="0"/>
  </r>
  <r>
    <n v="545"/>
    <x v="16"/>
    <x v="16"/>
    <x v="13"/>
    <x v="0"/>
    <s v="SINNY CHAN"/>
    <n v="530"/>
    <s v="SEF"/>
    <s v="Supplier"/>
    <m/>
    <x v="86"/>
    <s v="SEF 2011 -  ASD V3.XLSX"/>
    <s v=".xlsx"/>
    <d v="2014-03-18T00:00:00"/>
    <s v="as\afok"/>
    <m/>
    <s v="2011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x v="10"/>
    <x v="0"/>
    <m/>
    <x v="0"/>
  </r>
  <r>
    <n v="549"/>
    <x v="15"/>
    <x v="15"/>
    <x v="13"/>
    <x v="0"/>
    <s v="SINNY CHAN"/>
    <n v="534"/>
    <s v="SIF"/>
    <s v="Supplier"/>
    <m/>
    <x v="7"/>
    <s v="ASD_SIF_2010.xlsx"/>
    <s v=".xlsx"/>
    <d v="2014-03-18T00:00:00"/>
    <s v="as\afok"/>
    <m/>
    <s v="2010"/>
    <x v="0"/>
    <x v="0"/>
    <x v="0"/>
    <x v="0"/>
    <m/>
    <m/>
    <m/>
    <m/>
    <m/>
    <n v="2010"/>
    <n v="300000000"/>
    <n v="260000000"/>
    <n v="260000000"/>
    <m/>
    <m/>
    <m/>
    <n v="3.75"/>
    <m/>
    <m/>
    <m/>
    <m/>
    <x v="0"/>
    <x v="0"/>
    <x v="0"/>
    <x v="0"/>
    <m/>
    <m/>
    <m/>
    <n v="0"/>
    <m/>
    <n v="1"/>
    <s v="FP"/>
    <m/>
    <m/>
    <m/>
    <x v="0"/>
    <x v="1"/>
    <m/>
    <x v="0"/>
  </r>
  <r>
    <n v="546"/>
    <x v="16"/>
    <x v="16"/>
    <x v="13"/>
    <x v="0"/>
    <s v="SINNY CHAN"/>
    <n v="531"/>
    <s v="SPR"/>
    <s v="Supplier"/>
    <m/>
    <x v="87"/>
    <s v="SPR - ASD 2011 11-06-10.ppt"/>
    <s v=".ppt"/>
    <d v="2014-03-18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x v="10"/>
    <x v="0"/>
    <m/>
    <x v="0"/>
  </r>
  <r>
    <n v="967"/>
    <x v="17"/>
    <x v="17"/>
    <x v="14"/>
    <x v="1"/>
    <s v="EVA LAI"/>
    <n v="945"/>
    <s v="Responsible Purchasing Charter"/>
    <s v="Supplier"/>
    <m/>
    <x v="19"/>
    <s v="Asia_Bright_Responsible_Purchasing_Charter_07Aug12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4"/>
  </r>
  <r>
    <n v="965"/>
    <x v="17"/>
    <x v="17"/>
    <x v="14"/>
    <x v="1"/>
    <s v="EVA LAI"/>
    <n v="943"/>
    <s v="SEF"/>
    <s v="Supplier"/>
    <m/>
    <x v="88"/>
    <s v="Asia Bright_SEF_2013-1.xls"/>
    <s v=".xls"/>
    <d v="2014-03-24T00:00:00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4"/>
  </r>
  <r>
    <n v="966"/>
    <x v="17"/>
    <x v="17"/>
    <x v="14"/>
    <x v="1"/>
    <s v="EVA LAI"/>
    <n v="944"/>
    <s v="SEF"/>
    <s v="Supplier"/>
    <m/>
    <x v="89"/>
    <s v="Asia Bright_SEF_2012.xlsx"/>
    <s v=".xlsx"/>
    <d v="2014-03-24T00:00:00"/>
    <s v="as\afok"/>
    <m/>
    <s v="2012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4"/>
  </r>
  <r>
    <n v="964"/>
    <x v="17"/>
    <x v="17"/>
    <x v="14"/>
    <x v="1"/>
    <s v="EVA LAI"/>
    <n v="942"/>
    <s v="SIF"/>
    <s v="Supplier"/>
    <m/>
    <x v="90"/>
    <s v="Aisa_Bright_SIF2013.xlsx"/>
    <s v=".xlsx"/>
    <d v="2014-03-24T00:00:00"/>
    <s v="as\afok"/>
    <m/>
    <s v="2013"/>
    <x v="0"/>
    <x v="0"/>
    <x v="0"/>
    <x v="0"/>
    <m/>
    <m/>
    <m/>
    <m/>
    <m/>
    <n v="2013"/>
    <n v="12410000"/>
    <n v="10990000"/>
    <n v="6140400"/>
    <n v="5418000"/>
    <n v="3852800"/>
    <n v="1"/>
    <n v="1"/>
    <m/>
    <m/>
    <m/>
    <m/>
    <x v="0"/>
    <x v="0"/>
    <x v="0"/>
    <x v="0"/>
    <m/>
    <m/>
    <m/>
    <n v="0"/>
    <m/>
    <m/>
    <m/>
    <s v="CP"/>
    <m/>
    <m/>
    <x v="2"/>
    <x v="1"/>
    <m/>
    <x v="4"/>
  </r>
  <r>
    <n v="550"/>
    <x v="18"/>
    <x v="18"/>
    <x v="15"/>
    <x v="5"/>
    <s v="JASMINE YANG"/>
    <n v="535"/>
    <s v="Responsible Purchasing Charter"/>
    <s v="Supplier"/>
    <m/>
    <x v="69"/>
    <s v="Athos_Responsible Purchaser Charter_9Aug2012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x v="11"/>
    <x v="3"/>
    <m/>
    <x v="3"/>
  </r>
  <r>
    <n v="551"/>
    <x v="18"/>
    <x v="18"/>
    <x v="15"/>
    <x v="5"/>
    <s v="JASMINE YANG"/>
    <n v="536"/>
    <s v="SIF"/>
    <s v="Supplier"/>
    <m/>
    <x v="31"/>
    <s v="ATHOS_SIF_18Apr2012.xls"/>
    <s v=".xls"/>
    <d v="2014-03-18T00:00:00"/>
    <s v="as\afok"/>
    <m/>
    <s v="2012"/>
    <x v="0"/>
    <x v="0"/>
    <x v="0"/>
    <x v="0"/>
    <m/>
    <m/>
    <m/>
    <m/>
    <m/>
    <n v="2012"/>
    <n v="9000000"/>
    <n v="8000000"/>
    <n v="7820000"/>
    <n v="8760000"/>
    <n v="4400000"/>
    <m/>
    <m/>
    <n v="0.02"/>
    <n v="0"/>
    <n v="0"/>
    <m/>
    <x v="0"/>
    <x v="0"/>
    <x v="0"/>
    <x v="0"/>
    <m/>
    <m/>
    <m/>
    <m/>
    <m/>
    <m/>
    <m/>
    <m/>
    <m/>
    <m/>
    <x v="11"/>
    <x v="3"/>
    <m/>
    <x v="3"/>
  </r>
  <r>
    <n v="804"/>
    <x v="19"/>
    <x v="19"/>
    <x v="16"/>
    <x v="1"/>
    <s v="DOUGLAS LAM"/>
    <n v="782"/>
    <s v="Environmental Declaration"/>
    <s v="Supplier"/>
    <m/>
    <x v="91"/>
    <s v="AuOne_Env_Declaration_08_Mar_2010.pdf"/>
    <s v=".pdf"/>
    <d v="2014-03-21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11"/>
  </r>
  <r>
    <n v="802"/>
    <x v="19"/>
    <x v="19"/>
    <x v="16"/>
    <x v="1"/>
    <s v="DOUGLAS LAM"/>
    <n v="780"/>
    <s v="ISO 14001"/>
    <s v="Supplier"/>
    <d v="2012-03-25T00:00:00"/>
    <x v="92"/>
    <s v="AuOne_ISO14001_25_Mar_2012.jpg"/>
    <s v=".jpg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11"/>
  </r>
  <r>
    <n v="803"/>
    <x v="19"/>
    <x v="19"/>
    <x v="16"/>
    <x v="1"/>
    <s v="DOUGLAS LAM"/>
    <n v="781"/>
    <s v="Responsible Purchasing Charter"/>
    <s v="Supplier"/>
    <m/>
    <x v="93"/>
    <s v="Auone_Responsible Purchasing Charter_05sept2012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11"/>
  </r>
  <r>
    <n v="806"/>
    <x v="19"/>
    <x v="19"/>
    <x v="16"/>
    <x v="1"/>
    <s v="DOUGLAS LAM"/>
    <n v="784"/>
    <s v="SEF"/>
    <s v="Supplier"/>
    <m/>
    <x v="10"/>
    <s v="Auone_SEF_2012.xlsx"/>
    <s v=".xlsx"/>
    <d v="2014-03-21T00:00:00"/>
    <s v="as\afok"/>
    <m/>
    <s v="2012"/>
    <x v="0"/>
    <x v="0"/>
    <x v="0"/>
    <x v="0"/>
    <m/>
    <m/>
    <m/>
    <m/>
    <n v="79"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11"/>
  </r>
  <r>
    <n v="801"/>
    <x v="19"/>
    <x v="19"/>
    <x v="16"/>
    <x v="1"/>
    <s v="DOUGLAS LAM"/>
    <n v="779"/>
    <s v="SIF"/>
    <s v="Supplier"/>
    <m/>
    <x v="94"/>
    <s v="Auone_SIF 2013(REVISED13.08.2013).xls"/>
    <s v=".xls"/>
    <d v="2014-03-21T00:00:00"/>
    <s v="as\afok"/>
    <m/>
    <s v="2013"/>
    <x v="0"/>
    <x v="0"/>
    <x v="0"/>
    <x v="0"/>
    <m/>
    <m/>
    <m/>
    <m/>
    <m/>
    <n v="2013"/>
    <n v="30000000"/>
    <n v="26600000"/>
    <n v="28000000"/>
    <n v="28000000"/>
    <n v="28000000"/>
    <m/>
    <n v="0.32"/>
    <n v="0.216"/>
    <n v="0.26500000000000001"/>
    <n v="6.0000000000000001E-3"/>
    <m/>
    <x v="0"/>
    <x v="0"/>
    <x v="0"/>
    <x v="0"/>
    <m/>
    <m/>
    <m/>
    <n v="0"/>
    <m/>
    <m/>
    <m/>
    <s v="CP"/>
    <m/>
    <m/>
    <x v="2"/>
    <x v="1"/>
    <m/>
    <x v="11"/>
  </r>
  <r>
    <n v="805"/>
    <x v="19"/>
    <x v="19"/>
    <x v="16"/>
    <x v="1"/>
    <s v="DOUGLAS LAM"/>
    <n v="783"/>
    <s v="SIF"/>
    <s v="Supplier"/>
    <m/>
    <x v="95"/>
    <s v="Auone_SIF 2013.xls"/>
    <s v=".xls"/>
    <d v="2014-03-21T00:00:00"/>
    <s v="as\afok"/>
    <m/>
    <s v="2013"/>
    <x v="0"/>
    <x v="0"/>
    <x v="0"/>
    <x v="0"/>
    <m/>
    <m/>
    <m/>
    <m/>
    <m/>
    <n v="2013"/>
    <m/>
    <n v="85065.41"/>
    <n v="60406.9"/>
    <n v="74258.460000000006"/>
    <n v="1673.84"/>
    <m/>
    <m/>
    <m/>
    <m/>
    <m/>
    <m/>
    <x v="0"/>
    <x v="0"/>
    <x v="0"/>
    <x v="0"/>
    <m/>
    <m/>
    <m/>
    <n v="0"/>
    <m/>
    <m/>
    <m/>
    <s v="CP"/>
    <m/>
    <m/>
    <x v="2"/>
    <x v="1"/>
    <m/>
    <x v="11"/>
  </r>
  <r>
    <n v="1657"/>
    <x v="20"/>
    <x v="20"/>
    <x v="17"/>
    <x v="5"/>
    <s v="JOHN YAN"/>
    <n v="1618"/>
    <s v="Responsible Purchasing Charter"/>
    <s v="Supplier"/>
    <m/>
    <x v="96"/>
    <s v="AWECO_Responsible Purchasing Charter_7Dec2012.pdf"/>
    <s v=".pdf"/>
    <d v="2014-04-0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12"/>
  </r>
  <r>
    <n v="2292"/>
    <x v="21"/>
    <x v="21"/>
    <x v="18"/>
    <x v="1"/>
    <s v="MAY LEE"/>
    <n v="2233"/>
    <s v="Contract: General Contract"/>
    <s v="Supplier"/>
    <m/>
    <x v="97"/>
    <s v="Baoli_General Agreement_V7.pdf"/>
    <s v=".pdf"/>
    <d v="2014-04-16T00:00:00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13"/>
  </r>
  <r>
    <n v="2289"/>
    <x v="21"/>
    <x v="21"/>
    <x v="18"/>
    <x v="1"/>
    <s v="MAY LEE"/>
    <n v="2230"/>
    <s v="Contract: General Contract"/>
    <s v="Supplier"/>
    <m/>
    <x v="98"/>
    <s v="Baoli_Purchase_Agreement_2008.pdf"/>
    <s v=".pdf"/>
    <d v="2014-04-16T00:00:00"/>
    <s v="as\afok"/>
    <m/>
    <s v="V5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13"/>
  </r>
  <r>
    <n v="2295"/>
    <x v="21"/>
    <x v="21"/>
    <x v="18"/>
    <x v="1"/>
    <s v="MAY LEE"/>
    <n v="2236"/>
    <s v="Contract: Quality Appendix"/>
    <s v="Supplier"/>
    <m/>
    <x v="97"/>
    <s v="Baoli_General Agreement_V7.pdf"/>
    <s v=".pdf"/>
    <d v="2014-04-16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13"/>
  </r>
  <r>
    <n v="2290"/>
    <x v="21"/>
    <x v="21"/>
    <x v="18"/>
    <x v="1"/>
    <s v="MAY LEE"/>
    <n v="2231"/>
    <s v="Contract: Quality Appendix"/>
    <s v="Supplier"/>
    <m/>
    <x v="99"/>
    <s v="Baoli_Purchase_Agreement_2008.pdf"/>
    <s v=".pdf"/>
    <d v="2014-04-16T00:00:00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13"/>
  </r>
  <r>
    <n v="2305"/>
    <x v="21"/>
    <x v="21"/>
    <x v="18"/>
    <x v="1"/>
    <s v="MAY LEE"/>
    <n v="2246"/>
    <s v="Contract: Supply Chain Appendix"/>
    <s v="Supplier"/>
    <m/>
    <x v="100"/>
    <s v="Baoli_SupplyChainAppendix_V10-31-Oct-2013.pdf"/>
    <s v=".pdf"/>
    <d v="2014-04-16T00:00:00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n v="1"/>
    <m/>
    <m/>
    <s v="CP"/>
    <m/>
    <m/>
    <x v="2"/>
    <x v="1"/>
    <m/>
    <x v="13"/>
  </r>
  <r>
    <n v="2294"/>
    <x v="21"/>
    <x v="21"/>
    <x v="18"/>
    <x v="1"/>
    <s v="MAY LEE"/>
    <n v="2235"/>
    <s v="Contract: Supply Chain Appendix"/>
    <s v="Supplier"/>
    <m/>
    <x v="97"/>
    <s v="Baoli_General Agreement_V7.pdf"/>
    <s v=".pdf"/>
    <d v="2014-04-16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13"/>
  </r>
  <r>
    <n v="2296"/>
    <x v="21"/>
    <x v="21"/>
    <x v="18"/>
    <x v="1"/>
    <s v="MAY LEE"/>
    <n v="2237"/>
    <s v="Declaration letter of group organization"/>
    <s v="Supplier"/>
    <m/>
    <x v="97"/>
    <s v="Baoli_General Agreement_V7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3"/>
  </r>
  <r>
    <n v="2303"/>
    <x v="21"/>
    <x v="21"/>
    <x v="18"/>
    <x v="1"/>
    <s v="MAY LEE"/>
    <n v="2244"/>
    <s v="Environmental Declaration"/>
    <s v="Supplier"/>
    <m/>
    <x v="101"/>
    <s v="Baoli_Env_Declaration_18May2010.xlsx"/>
    <s v=".xlsx"/>
    <d v="2014-04-16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3"/>
  </r>
  <r>
    <n v="2293"/>
    <x v="21"/>
    <x v="21"/>
    <x v="18"/>
    <x v="1"/>
    <s v="MAY LEE"/>
    <n v="2234"/>
    <s v="Environmental Declaration"/>
    <s v="Supplier"/>
    <m/>
    <x v="97"/>
    <s v="Baoli_General Agreement_V7.pdf"/>
    <s v=".pdf"/>
    <d v="2014-04-16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3"/>
  </r>
  <r>
    <n v="2291"/>
    <x v="21"/>
    <x v="21"/>
    <x v="18"/>
    <x v="1"/>
    <s v="MAY LEE"/>
    <n v="2232"/>
    <s v="LOC (Letter of Confidentiality)"/>
    <s v="Supplier"/>
    <m/>
    <x v="102"/>
    <s v="LOC_Baoli_2011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3"/>
  </r>
  <r>
    <n v="2302"/>
    <x v="21"/>
    <x v="21"/>
    <x v="18"/>
    <x v="1"/>
    <s v="MAY LEE"/>
    <n v="2243"/>
    <s v="Responsible Purchasing Charter"/>
    <s v="Supplier"/>
    <m/>
    <x v="103"/>
    <s v="Baoli_Responsible_Purchasing_Charter_06Aug12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3"/>
  </r>
  <r>
    <n v="2297"/>
    <x v="21"/>
    <x v="21"/>
    <x v="18"/>
    <x v="1"/>
    <s v="MAY LEE"/>
    <n v="2238"/>
    <s v="SEF"/>
    <s v="Supplier"/>
    <m/>
    <x v="104"/>
    <s v="Baoli_SEF_2012.xlsx"/>
    <s v=".xlsx"/>
    <d v="2014-04-16T00:00:00"/>
    <s v="as\afok"/>
    <m/>
    <s v="2012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3"/>
  </r>
  <r>
    <n v="2299"/>
    <x v="21"/>
    <x v="21"/>
    <x v="18"/>
    <x v="1"/>
    <s v="MAY LEE"/>
    <n v="2240"/>
    <s v="SEF"/>
    <s v="Supplier"/>
    <m/>
    <x v="105"/>
    <s v="Baoli_SEF_2012-2.xlsx"/>
    <s v=".xlsx"/>
    <d v="2014-04-16T00:00:00"/>
    <s v="as\afok"/>
    <m/>
    <s v="2012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3"/>
  </r>
  <r>
    <n v="2298"/>
    <x v="21"/>
    <x v="21"/>
    <x v="18"/>
    <x v="1"/>
    <s v="MAY LEE"/>
    <n v="2239"/>
    <s v="SIF"/>
    <s v="Supplier"/>
    <m/>
    <x v="106"/>
    <s v="Baoli_SIF_2012_16May12.xlsx"/>
    <s v=".xlsx"/>
    <d v="2014-04-16T00:00:00"/>
    <s v="as\afok"/>
    <m/>
    <s v="2012"/>
    <x v="0"/>
    <x v="0"/>
    <x v="0"/>
    <x v="0"/>
    <m/>
    <m/>
    <m/>
    <m/>
    <m/>
    <n v="2012"/>
    <n v="7000000"/>
    <n v="6150000"/>
    <n v="6000000"/>
    <n v="5001200"/>
    <n v="6251500"/>
    <n v="25"/>
    <n v="25"/>
    <n v="30"/>
    <n v="35"/>
    <n v="40"/>
    <s v="CP Panel"/>
    <x v="0"/>
    <x v="0"/>
    <x v="1"/>
    <x v="3"/>
    <m/>
    <m/>
    <m/>
    <n v="1"/>
    <m/>
    <m/>
    <m/>
    <s v="CP"/>
    <m/>
    <m/>
    <x v="2"/>
    <x v="1"/>
    <m/>
    <x v="13"/>
  </r>
  <r>
    <n v="2304"/>
    <x v="21"/>
    <x v="21"/>
    <x v="18"/>
    <x v="1"/>
    <s v="MAY LEE"/>
    <n v="2245"/>
    <s v="SIF"/>
    <s v="Supplier"/>
    <m/>
    <x v="77"/>
    <s v="Baoli_SIF 2013.xls"/>
    <s v=".xls"/>
    <d v="2014-04-16T00:00:00"/>
    <s v="as\afok"/>
    <m/>
    <s v="2013"/>
    <x v="0"/>
    <x v="0"/>
    <x v="0"/>
    <x v="0"/>
    <m/>
    <m/>
    <m/>
    <m/>
    <m/>
    <n v="2013"/>
    <n v="6500000"/>
    <n v="6086000"/>
    <n v="6000000"/>
    <n v="5001200"/>
    <n v="6251500"/>
    <n v="15"/>
    <n v="15"/>
    <n v="30"/>
    <n v="35"/>
    <n v="40"/>
    <s v="CP Panel"/>
    <x v="0"/>
    <x v="0"/>
    <x v="1"/>
    <x v="3"/>
    <m/>
    <m/>
    <m/>
    <n v="1"/>
    <m/>
    <m/>
    <m/>
    <s v="CP"/>
    <m/>
    <m/>
    <x v="2"/>
    <x v="1"/>
    <m/>
    <x v="13"/>
  </r>
  <r>
    <n v="2301"/>
    <x v="21"/>
    <x v="21"/>
    <x v="18"/>
    <x v="1"/>
    <s v="MAY LEE"/>
    <n v="2242"/>
    <s v="SPR"/>
    <s v="Supplier"/>
    <m/>
    <x v="107"/>
    <s v="Baoli_SPR_OCT2012.ppt"/>
    <s v=".ppt"/>
    <d v="2014-04-16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3"/>
  </r>
  <r>
    <n v="2300"/>
    <x v="21"/>
    <x v="21"/>
    <x v="18"/>
    <x v="1"/>
    <s v="MAY LEE"/>
    <n v="2241"/>
    <s v="SPR"/>
    <s v="Supplier"/>
    <m/>
    <x v="107"/>
    <s v="BAOLI_SPR_DEC2012.ppt"/>
    <s v=".ppt"/>
    <d v="2014-04-16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3"/>
  </r>
  <r>
    <n v="1541"/>
    <x v="22"/>
    <x v="22"/>
    <x v="19"/>
    <x v="5"/>
    <s v="JASMINE YANG"/>
    <n v="1502"/>
    <s v="Contract: General Contract"/>
    <s v="Supplier"/>
    <m/>
    <x v="108"/>
    <s v="Yuda_Supply Agreement_8Oct12.pdf"/>
    <s v=".pdf"/>
    <d v="2014-04-03T00:00:00"/>
    <s v="as\afok"/>
    <m/>
    <s v="V7"/>
    <x v="6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n v="1"/>
    <m/>
    <m/>
    <n v="1"/>
    <m/>
    <m/>
    <m/>
    <s v="CP"/>
    <m/>
    <m/>
    <x v="2"/>
    <x v="1"/>
    <m/>
    <x v="2"/>
  </r>
  <r>
    <n v="1543"/>
    <x v="22"/>
    <x v="22"/>
    <x v="19"/>
    <x v="5"/>
    <s v="JASMINE YANG"/>
    <n v="1504"/>
    <s v="Contract: Quality Appendix"/>
    <s v="Supplier"/>
    <m/>
    <x v="109"/>
    <s v="Yuda_Supply Agreement_8Oct12.pdf"/>
    <s v=".pdf"/>
    <d v="2014-04-03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4"/>
    <m/>
    <n v="1"/>
    <m/>
    <n v="1"/>
    <m/>
    <m/>
    <m/>
    <s v="CP"/>
    <m/>
    <m/>
    <x v="2"/>
    <x v="1"/>
    <m/>
    <x v="2"/>
  </r>
  <r>
    <n v="1544"/>
    <x v="22"/>
    <x v="22"/>
    <x v="19"/>
    <x v="5"/>
    <s v="JASMINE YANG"/>
    <n v="1505"/>
    <s v="Declaration letter of group organization"/>
    <s v="Supplier"/>
    <m/>
    <x v="52"/>
    <s v="Yuda_Supply Agreement_8Oct12.pdf"/>
    <s v=".pdf"/>
    <d v="2014-04-03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x v="2"/>
    <x v="1"/>
    <m/>
    <x v="2"/>
  </r>
  <r>
    <n v="1542"/>
    <x v="22"/>
    <x v="22"/>
    <x v="19"/>
    <x v="5"/>
    <s v="JASMINE YANG"/>
    <n v="1503"/>
    <s v="Environmental Declaration"/>
    <s v="Supplier"/>
    <m/>
    <x v="108"/>
    <s v="Yuda_Supply Agreement_8Oct12.pdf"/>
    <s v=".pdf"/>
    <d v="2014-04-03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x v="2"/>
    <x v="1"/>
    <m/>
    <x v="2"/>
  </r>
  <r>
    <n v="1546"/>
    <x v="22"/>
    <x v="22"/>
    <x v="19"/>
    <x v="5"/>
    <s v="JASMINE YANG"/>
    <n v="1507"/>
    <s v="Environmental Declaration"/>
    <s v="Supplier"/>
    <m/>
    <x v="110"/>
    <s v="Yuda_Env_Declaration_31May2010.xls"/>
    <s v=".xls"/>
    <d v="2014-04-03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x v="2"/>
    <x v="1"/>
    <m/>
    <x v="2"/>
  </r>
  <r>
    <n v="1550"/>
    <x v="22"/>
    <x v="22"/>
    <x v="19"/>
    <x v="5"/>
    <s v="JASMINE YANG"/>
    <n v="1511"/>
    <s v="Responsible Purchasing Charter"/>
    <s v="Supplier"/>
    <m/>
    <x v="111"/>
    <s v="Bi gold_Responsible Purchasing Charter_20140228.pdf"/>
    <s v=".pdf"/>
    <d v="2014-04-03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n v="1"/>
    <m/>
    <m/>
    <s v="CP"/>
    <m/>
    <m/>
    <x v="2"/>
    <x v="1"/>
    <m/>
    <x v="2"/>
  </r>
  <r>
    <n v="1539"/>
    <x v="22"/>
    <x v="22"/>
    <x v="19"/>
    <x v="5"/>
    <s v="JASMINE YANG"/>
    <n v="1500"/>
    <s v="Responsible Purchasing Charter"/>
    <s v="Supplier"/>
    <m/>
    <x v="69"/>
    <s v="Bi gold_Responsible Purchasing Charter_20140228.pdf"/>
    <s v=".pdf"/>
    <d v="2014-04-03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x v="2"/>
    <x v="1"/>
    <m/>
    <x v="2"/>
  </r>
  <r>
    <n v="1538"/>
    <x v="22"/>
    <x v="22"/>
    <x v="19"/>
    <x v="5"/>
    <s v="JASMINE YANG"/>
    <n v="1499"/>
    <s v="SEF"/>
    <s v="Supplier"/>
    <m/>
    <x v="112"/>
    <s v="Yuda 2012 1st SEF.xlsx"/>
    <s v=".xlsx"/>
    <d v="2014-04-03T00:00:00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x v="2"/>
    <x v="1"/>
    <m/>
    <x v="2"/>
  </r>
  <r>
    <n v="1540"/>
    <x v="22"/>
    <x v="22"/>
    <x v="19"/>
    <x v="5"/>
    <s v="JASMINE YANG"/>
    <n v="1501"/>
    <s v="SIF"/>
    <s v="Supplier"/>
    <m/>
    <x v="113"/>
    <s v="BI-GOLD_SIF_17Dec2012.xlsx"/>
    <s v=".xlsx"/>
    <d v="2014-04-03T00:00:00"/>
    <s v="as\afok"/>
    <m/>
    <s v="2012"/>
    <x v="0"/>
    <x v="0"/>
    <x v="0"/>
    <x v="0"/>
    <m/>
    <m/>
    <m/>
    <m/>
    <m/>
    <n v="2012"/>
    <n v="26100000"/>
    <n v="17400000"/>
    <m/>
    <m/>
    <m/>
    <n v="8"/>
    <n v="5"/>
    <m/>
    <m/>
    <m/>
    <s v="CP Panel"/>
    <x v="0"/>
    <x v="0"/>
    <x v="1"/>
    <x v="4"/>
    <m/>
    <m/>
    <m/>
    <n v="1"/>
    <m/>
    <m/>
    <m/>
    <s v="CP"/>
    <m/>
    <m/>
    <x v="2"/>
    <x v="1"/>
    <m/>
    <x v="2"/>
  </r>
  <r>
    <n v="1549"/>
    <x v="22"/>
    <x v="22"/>
    <x v="19"/>
    <x v="5"/>
    <s v="JASMINE YANG"/>
    <n v="1510"/>
    <s v="SIF"/>
    <s v="Supplier"/>
    <m/>
    <x v="114"/>
    <s v="Bi gold_SIF_20140218.xlsx"/>
    <s v=".xlsx"/>
    <d v="2014-04-03T00:00:00"/>
    <s v="as\afok"/>
    <m/>
    <s v="2014"/>
    <x v="0"/>
    <x v="0"/>
    <x v="0"/>
    <x v="0"/>
    <m/>
    <m/>
    <m/>
    <m/>
    <m/>
    <n v="2014"/>
    <n v="32100000"/>
    <n v="29200000"/>
    <n v="26100000"/>
    <n v="17400000"/>
    <n v="15300000"/>
    <n v="15"/>
    <n v="13.2"/>
    <n v="8.5"/>
    <n v="7.4"/>
    <n v="4.4000000000000004"/>
    <s v="CP Panel"/>
    <x v="0"/>
    <x v="0"/>
    <x v="1"/>
    <x v="4"/>
    <m/>
    <m/>
    <m/>
    <n v="1"/>
    <m/>
    <m/>
    <m/>
    <s v="CP"/>
    <m/>
    <m/>
    <x v="2"/>
    <x v="1"/>
    <m/>
    <x v="2"/>
  </r>
  <r>
    <n v="1545"/>
    <x v="22"/>
    <x v="22"/>
    <x v="19"/>
    <x v="5"/>
    <s v="JASMINE YANG"/>
    <n v="1506"/>
    <s v="SPR"/>
    <s v="Supplier"/>
    <m/>
    <x v="115"/>
    <s v="SPR 2012 Yuda.pptx"/>
    <s v=".pptx"/>
    <d v="2014-04-03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x v="2"/>
    <x v="1"/>
    <m/>
    <x v="2"/>
  </r>
  <r>
    <n v="1548"/>
    <x v="22"/>
    <x v="22"/>
    <x v="19"/>
    <x v="5"/>
    <s v="JASMINE YANG"/>
    <n v="1509"/>
    <s v="SSR"/>
    <s v="Supplier"/>
    <m/>
    <x v="116"/>
    <s v="SSR 2013 JULY_BI-GLOD.pptx"/>
    <s v=".pptx"/>
    <d v="2014-04-03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x v="2"/>
    <x v="1"/>
    <m/>
    <x v="2"/>
  </r>
  <r>
    <n v="1547"/>
    <x v="22"/>
    <x v="22"/>
    <x v="19"/>
    <x v="5"/>
    <s v="JASMINE YANG"/>
    <n v="1508"/>
    <s v="SSR"/>
    <s v="Supplier"/>
    <m/>
    <x v="117"/>
    <s v="SSR 2013 Bi-gold.pptx"/>
    <s v=".pptx"/>
    <d v="2014-04-03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x v="2"/>
    <x v="1"/>
    <m/>
    <x v="2"/>
  </r>
  <r>
    <n v="556"/>
    <x v="23"/>
    <x v="23"/>
    <x v="20"/>
    <x v="1"/>
    <s v="DAVID LIM"/>
    <n v="541"/>
    <s v="Contract: General Contract"/>
    <s v="Supplier"/>
    <m/>
    <x v="118"/>
    <s v="BKZ_0.SupplyAgreementV8.pdf"/>
    <s v=".pdf"/>
    <d v="2014-03-18T00:00:00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6"/>
  </r>
  <r>
    <n v="562"/>
    <x v="24"/>
    <x v="24"/>
    <x v="20"/>
    <x v="1"/>
    <s v="DAVID LIM"/>
    <n v="547"/>
    <s v="Contract: General Contract"/>
    <s v="Supplier"/>
    <m/>
    <x v="119"/>
    <s v="BKZ_General Agreement_V7.pdf"/>
    <s v=".pdf"/>
    <d v="2014-03-18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6"/>
  </r>
  <r>
    <n v="554"/>
    <x v="23"/>
    <x v="23"/>
    <x v="20"/>
    <x v="1"/>
    <s v="DAVID LIM"/>
    <n v="539"/>
    <s v="Contract: Quality Appendix"/>
    <s v="Supplier"/>
    <m/>
    <x v="120"/>
    <s v="BKZ_4.QualityPolicy8Nov2013.pdf"/>
    <s v=".pdf"/>
    <d v="2014-03-18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6"/>
  </r>
  <r>
    <n v="564"/>
    <x v="24"/>
    <x v="24"/>
    <x v="20"/>
    <x v="1"/>
    <s v="DAVID LIM"/>
    <n v="549"/>
    <s v="Contract: Quality Appendix"/>
    <s v="Supplier"/>
    <m/>
    <x v="119"/>
    <s v="BKZ_General Agreement_V7.pdf"/>
    <s v=".pdf"/>
    <d v="2014-03-18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6"/>
  </r>
  <r>
    <n v="553"/>
    <x v="23"/>
    <x v="23"/>
    <x v="20"/>
    <x v="1"/>
    <s v="DAVID LIM"/>
    <n v="538"/>
    <s v="Contract: Supply Chain Appendix"/>
    <s v="Supplier"/>
    <m/>
    <x v="120"/>
    <s v="BKZ_5.SupplyChainAppendix_8Nov2013.pdf"/>
    <s v=".pdf"/>
    <d v="2014-03-18T00:00:00"/>
    <s v="as\afok"/>
    <m/>
    <m/>
    <x v="0"/>
    <x v="2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6"/>
  </r>
  <r>
    <n v="563"/>
    <x v="24"/>
    <x v="24"/>
    <x v="20"/>
    <x v="1"/>
    <s v="DAVID LIM"/>
    <n v="548"/>
    <s v="Contract: Supply Chain Appendix"/>
    <s v="Supplier"/>
    <m/>
    <x v="119"/>
    <s v="BKZ_General Agreement_V7.pdf"/>
    <s v=".pdf"/>
    <d v="2014-03-18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6"/>
  </r>
  <r>
    <n v="552"/>
    <x v="23"/>
    <x v="23"/>
    <x v="20"/>
    <x v="1"/>
    <s v="DAVID LIM"/>
    <n v="537"/>
    <s v="Declaration letter of group organization"/>
    <s v="Supplier"/>
    <m/>
    <x v="118"/>
    <s v="BKZ_6.DeclarationLetter_30May2013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6"/>
  </r>
  <r>
    <n v="566"/>
    <x v="24"/>
    <x v="24"/>
    <x v="20"/>
    <x v="1"/>
    <s v="DAVID LIM"/>
    <n v="551"/>
    <s v="Declaration letter of group organization"/>
    <s v="Supplier"/>
    <m/>
    <x v="121"/>
    <s v="BKZ_General Agreement_V7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6"/>
  </r>
  <r>
    <n v="555"/>
    <x v="23"/>
    <x v="23"/>
    <x v="20"/>
    <x v="1"/>
    <s v="DAVID LIM"/>
    <n v="540"/>
    <s v="Environmental Declaration"/>
    <s v="Supplier"/>
    <m/>
    <x v="122"/>
    <s v="BKZ_3.EnvironmentalDeclaration_9Sep2013.pdf"/>
    <s v=".pdf"/>
    <d v="2014-03-18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6"/>
  </r>
  <r>
    <n v="567"/>
    <x v="24"/>
    <x v="24"/>
    <x v="20"/>
    <x v="1"/>
    <s v="DAVID LIM"/>
    <n v="552"/>
    <s v="Environmental Declaration"/>
    <s v="Supplier"/>
    <m/>
    <x v="119"/>
    <s v="BKZ_General Agreement_V7.pdf"/>
    <s v=".pdf"/>
    <d v="2014-03-18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x v="2"/>
    <x v="1"/>
    <m/>
    <x v="6"/>
  </r>
  <r>
    <n v="558"/>
    <x v="24"/>
    <x v="24"/>
    <x v="20"/>
    <x v="1"/>
    <s v="DAVID LIM"/>
    <n v="543"/>
    <s v="Responsible Purchasing Charter"/>
    <s v="Supplier"/>
    <m/>
    <x v="69"/>
    <s v="BKZ_Responsible_Purchasing_Charter_09Aug12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6"/>
  </r>
  <r>
    <n v="561"/>
    <x v="24"/>
    <x v="24"/>
    <x v="20"/>
    <x v="1"/>
    <s v="DAVID LIM"/>
    <n v="546"/>
    <s v="SEF"/>
    <s v="Supplier"/>
    <m/>
    <x v="123"/>
    <s v="BKZ_SEF_2012.xls"/>
    <s v=".xls"/>
    <d v="2014-03-18T00:00:00"/>
    <s v="as\afok"/>
    <m/>
    <s v="2012"/>
    <x v="0"/>
    <x v="0"/>
    <x v="0"/>
    <x v="0"/>
    <m/>
    <m/>
    <m/>
    <m/>
    <n v="65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6"/>
  </r>
  <r>
    <n v="560"/>
    <x v="24"/>
    <x v="24"/>
    <x v="20"/>
    <x v="1"/>
    <s v="DAVID LIM"/>
    <n v="545"/>
    <s v="SEF"/>
    <s v="Supplier"/>
    <m/>
    <x v="107"/>
    <s v="BKZ_SEF 2012 Nov.xlsx"/>
    <s v=".xlsx"/>
    <d v="2014-03-18T00:00:00"/>
    <s v="as\afok"/>
    <m/>
    <s v="2012"/>
    <x v="0"/>
    <x v="0"/>
    <x v="0"/>
    <x v="0"/>
    <m/>
    <m/>
    <m/>
    <m/>
    <n v="67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6"/>
  </r>
  <r>
    <n v="557"/>
    <x v="24"/>
    <x v="24"/>
    <x v="20"/>
    <x v="1"/>
    <s v="DAVID LIM"/>
    <n v="542"/>
    <s v="SEF"/>
    <s v="Supplier"/>
    <m/>
    <x v="117"/>
    <s v="BKZ_SEF_2013-1.xlsx"/>
    <s v=".xlsx"/>
    <d v="2014-03-18T00:00:00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6"/>
  </r>
  <r>
    <n v="565"/>
    <x v="24"/>
    <x v="24"/>
    <x v="20"/>
    <x v="1"/>
    <s v="DAVID LIM"/>
    <n v="550"/>
    <s v="SIF"/>
    <s v="Supplier"/>
    <m/>
    <x v="65"/>
    <s v="BKZ_SIF_2010.xls"/>
    <s v=".xls"/>
    <d v="2014-03-18T00:00:00"/>
    <s v="as\afok"/>
    <m/>
    <s v="2010"/>
    <x v="0"/>
    <x v="0"/>
    <x v="0"/>
    <x v="0"/>
    <m/>
    <m/>
    <m/>
    <m/>
    <m/>
    <n v="2014"/>
    <n v="8800000"/>
    <m/>
    <n v="3700000"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6"/>
  </r>
  <r>
    <n v="559"/>
    <x v="24"/>
    <x v="24"/>
    <x v="20"/>
    <x v="1"/>
    <s v="DAVID LIM"/>
    <n v="544"/>
    <s v="SPR"/>
    <s v="Supplier"/>
    <m/>
    <x v="115"/>
    <s v="BKZ SPR_OCT2012.pptx"/>
    <s v=".pptx"/>
    <d v="2014-03-18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6"/>
  </r>
  <r>
    <n v="1208"/>
    <x v="25"/>
    <x v="25"/>
    <x v="21"/>
    <x v="2"/>
    <s v="GODFREY LI"/>
    <n v="1184"/>
    <s v="Contract: General Contract"/>
    <s v="Supplier"/>
    <m/>
    <x v="124"/>
    <s v="Blue Electro_General Agreement_ind.11_2012-07-06.pdf"/>
    <s v=".pdf"/>
    <d v="2014-03-26T00:00:00"/>
    <s v="as\afok"/>
    <m/>
    <s v="FHA 00 016 ind.11"/>
    <x v="7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11"/>
  </r>
  <r>
    <n v="1210"/>
    <x v="25"/>
    <x v="25"/>
    <x v="21"/>
    <x v="2"/>
    <s v="GODFREY LI"/>
    <n v="1186"/>
    <s v="Contract: Quality Appendix"/>
    <s v="Supplier"/>
    <m/>
    <x v="124"/>
    <s v="Blue Electro_General Agreement_ind.11_2012-07-06.pdf"/>
    <s v=".pdf"/>
    <d v="2014-03-26T00:00:00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x v="9"/>
    <x v="1"/>
    <m/>
    <x v="11"/>
  </r>
  <r>
    <n v="1209"/>
    <x v="25"/>
    <x v="25"/>
    <x v="21"/>
    <x v="2"/>
    <s v="GODFREY LI"/>
    <n v="1185"/>
    <s v="Contract: Supply Chain Appendix"/>
    <s v="Supplier"/>
    <m/>
    <x v="124"/>
    <s v="Blue Electro_General Agreement_ind.11_2012-07-06.pdf"/>
    <s v=".pdf"/>
    <d v="2014-03-26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x v="9"/>
    <x v="1"/>
    <m/>
    <x v="11"/>
  </r>
  <r>
    <n v="1211"/>
    <x v="25"/>
    <x v="25"/>
    <x v="21"/>
    <x v="2"/>
    <s v="GODFREY LI"/>
    <n v="1187"/>
    <s v="Declaration letter of group organization"/>
    <s v="Supplier"/>
    <m/>
    <x v="125"/>
    <s v="Blue Electro_General Agreement_ind.11_2012-07-06.pdf"/>
    <s v=".pdf"/>
    <d v="2014-03-2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1"/>
  </r>
  <r>
    <n v="1212"/>
    <x v="25"/>
    <x v="25"/>
    <x v="21"/>
    <x v="2"/>
    <s v="GODFREY LI"/>
    <n v="1188"/>
    <s v="Exclusivity (EA)"/>
    <s v="Supplier"/>
    <m/>
    <x v="126"/>
    <s v="BLUE ELECTRO_Exclusivity 932007.pdf"/>
    <s v=".pdf"/>
    <d v="2014-03-2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1"/>
  </r>
  <r>
    <n v="1213"/>
    <x v="25"/>
    <x v="25"/>
    <x v="21"/>
    <x v="2"/>
    <s v="GODFREY LI"/>
    <n v="1189"/>
    <s v="Responsible Purchasing Charter"/>
    <s v="Supplier"/>
    <m/>
    <x v="127"/>
    <s v="Blue Electro - Responsible Purchasing Charter (ENG).pdf"/>
    <s v=".pdf"/>
    <d v="2014-03-26T00:00:00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1"/>
  </r>
  <r>
    <n v="1214"/>
    <x v="25"/>
    <x v="25"/>
    <x v="21"/>
    <x v="2"/>
    <s v="GODFREY LI"/>
    <n v="1190"/>
    <s v="Responsible Purchasing Charter"/>
    <s v="Supplier"/>
    <m/>
    <x v="127"/>
    <s v="Blue Electro - Responsible Purchasing Charter (CH).pdf"/>
    <s v=".pdf"/>
    <d v="2014-03-26T00:00:00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1"/>
  </r>
  <r>
    <n v="1216"/>
    <x v="25"/>
    <x v="25"/>
    <x v="21"/>
    <x v="2"/>
    <s v="GODFREY LI"/>
    <n v="1192"/>
    <s v="SEF"/>
    <s v="Supplier"/>
    <m/>
    <x v="128"/>
    <s v="BE SEF 2011.xlsx"/>
    <s v=".xlsx"/>
    <d v="2014-03-27T00:00:00"/>
    <s v="as\afok"/>
    <m/>
    <s v="2011"/>
    <x v="0"/>
    <x v="0"/>
    <x v="0"/>
    <x v="0"/>
    <m/>
    <m/>
    <m/>
    <m/>
    <n v="49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1"/>
  </r>
  <r>
    <n v="1206"/>
    <x v="25"/>
    <x v="25"/>
    <x v="21"/>
    <x v="2"/>
    <s v="GODFREY LI"/>
    <n v="1182"/>
    <s v="SEF"/>
    <s v="Supplier"/>
    <m/>
    <x v="78"/>
    <s v="SEF 2013 - Blue Electro.xlsx"/>
    <s v=".xlsx"/>
    <d v="2014-03-26T00:00:00"/>
    <s v="as\afok"/>
    <m/>
    <s v="2013"/>
    <x v="0"/>
    <x v="0"/>
    <x v="0"/>
    <x v="0"/>
    <m/>
    <m/>
    <m/>
    <m/>
    <n v="39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1"/>
  </r>
  <r>
    <n v="1207"/>
    <x v="25"/>
    <x v="25"/>
    <x v="21"/>
    <x v="2"/>
    <s v="GODFREY LI"/>
    <n v="1183"/>
    <s v="SIF"/>
    <s v="Supplier"/>
    <m/>
    <x v="129"/>
    <s v="Blue Electro - SIF 2013.xlsx"/>
    <s v=".xlsx"/>
    <d v="2014-03-26T00:00:00"/>
    <s v="as\afok"/>
    <m/>
    <s v="2013"/>
    <x v="0"/>
    <x v="0"/>
    <x v="0"/>
    <x v="0"/>
    <m/>
    <m/>
    <m/>
    <m/>
    <m/>
    <n v="2013"/>
    <n v="10000000"/>
    <n v="10000000"/>
    <n v="10000000"/>
    <n v="15000000"/>
    <n v="9000000"/>
    <n v="2"/>
    <n v="2"/>
    <n v="2"/>
    <n v="2"/>
    <n v="2.8"/>
    <m/>
    <x v="0"/>
    <x v="0"/>
    <x v="0"/>
    <x v="0"/>
    <m/>
    <m/>
    <m/>
    <n v="1"/>
    <m/>
    <m/>
    <s v="FP"/>
    <m/>
    <s v="SP"/>
    <m/>
    <x v="9"/>
    <x v="1"/>
    <m/>
    <x v="11"/>
  </r>
  <r>
    <n v="1215"/>
    <x v="25"/>
    <x v="25"/>
    <x v="21"/>
    <x v="2"/>
    <s v="GODFREY LI"/>
    <n v="1191"/>
    <s v="SIF"/>
    <s v="Supplier"/>
    <m/>
    <x v="36"/>
    <s v="Blue Electro - SIF 2012.xls"/>
    <s v=".xls"/>
    <d v="2014-03-27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1"/>
  </r>
  <r>
    <n v="1217"/>
    <x v="25"/>
    <x v="25"/>
    <x v="21"/>
    <x v="2"/>
    <s v="GODFREY LI"/>
    <n v="1193"/>
    <s v="SPR"/>
    <s v="Supplier"/>
    <d v="2014-03-27T00:00:00"/>
    <x v="130"/>
    <s v="Blue Electrp_SPR_2008.xlsx"/>
    <s v=".xlsx"/>
    <d v="2014-03-27T00:00:00"/>
    <s v="as\afok"/>
    <m/>
    <s v="2008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x v="9"/>
    <x v="1"/>
    <m/>
    <x v="11"/>
  </r>
  <r>
    <n v="2141"/>
    <x v="26"/>
    <x v="26"/>
    <x v="22"/>
    <x v="4"/>
    <s v="WILLIAM TSANG"/>
    <n v="2084"/>
    <s v="Contract: General Contract"/>
    <s v="Supplier"/>
    <m/>
    <x v="131"/>
    <s v="SupplyAgreementV8_Camewould_6Feb2014.pdf"/>
    <s v=".pdf"/>
    <d v="2014-04-14T00:00:00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14"/>
  </r>
  <r>
    <n v="2148"/>
    <x v="26"/>
    <x v="26"/>
    <x v="22"/>
    <x v="4"/>
    <s v="WILLIAM TSANG"/>
    <n v="2091"/>
    <s v="Contract: General Contract"/>
    <s v="Supplier"/>
    <m/>
    <x v="132"/>
    <s v="Agreement_Camewould_Revised_Sep2012.pdf"/>
    <s v=".pdf"/>
    <d v="2014-04-14T00:00:00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14"/>
  </r>
  <r>
    <n v="2140"/>
    <x v="26"/>
    <x v="26"/>
    <x v="22"/>
    <x v="4"/>
    <s v="WILLIAM TSANG"/>
    <n v="2083"/>
    <s v="Contract: Quality Appendix"/>
    <s v="Supplier"/>
    <m/>
    <x v="131"/>
    <s v="QualityAppendix_Camewould_6Feb2014.pdf"/>
    <s v=".pdf"/>
    <d v="2014-04-14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14"/>
  </r>
  <r>
    <n v="2144"/>
    <x v="26"/>
    <x v="26"/>
    <x v="22"/>
    <x v="4"/>
    <s v="WILLIAM TSANG"/>
    <n v="2087"/>
    <s v="Contract: Supply Chain Appendix"/>
    <s v="Supplier"/>
    <m/>
    <x v="133"/>
    <s v="Supplier_chain_appendixV.10_Camewould_REVISED_01.08.2013.pdf"/>
    <s v=".pdf"/>
    <d v="2014-04-14T00:00:00"/>
    <s v="as\afok"/>
    <m/>
    <s v="V10"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14"/>
  </r>
  <r>
    <n v="2142"/>
    <x v="26"/>
    <x v="26"/>
    <x v="22"/>
    <x v="4"/>
    <s v="WILLIAM TSANG"/>
    <n v="2085"/>
    <s v="Contract: Supply Chain Appendix"/>
    <s v="Supplier"/>
    <m/>
    <x v="134"/>
    <s v="Supplier_chain_appendixV.10_Camewould_REVISED_01.08.2013.pdf"/>
    <s v=".pdf"/>
    <d v="2014-04-14T00:00:00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14"/>
  </r>
  <r>
    <n v="2139"/>
    <x v="26"/>
    <x v="26"/>
    <x v="22"/>
    <x v="4"/>
    <s v="WILLIAM TSANG"/>
    <n v="2082"/>
    <s v="Declaration letter of group organization"/>
    <s v="Supplier"/>
    <m/>
    <x v="135"/>
    <s v="LOC_Camewould_6Feb2014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4"/>
  </r>
  <r>
    <n v="2138"/>
    <x v="26"/>
    <x v="26"/>
    <x v="22"/>
    <x v="4"/>
    <s v="WILLIAM TSANG"/>
    <n v="2081"/>
    <s v="Environmental Declaration"/>
    <s v="Supplier"/>
    <m/>
    <x v="131"/>
    <s v="Environmental_Camewould_6Feb2014.pdf"/>
    <s v=".pdf"/>
    <d v="2014-04-14T00:00:00"/>
    <s v="as\afok"/>
    <m/>
    <s v="2014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4"/>
  </r>
  <r>
    <n v="2149"/>
    <x v="26"/>
    <x v="26"/>
    <x v="22"/>
    <x v="4"/>
    <s v="WILLIAM TSANG"/>
    <n v="2092"/>
    <s v="ISO 14001"/>
    <s v="Supplier"/>
    <d v="2014-04-14T00:00:00"/>
    <x v="136"/>
    <s v="Camewould_ISO14001-2004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4"/>
  </r>
  <r>
    <n v="2150"/>
    <x v="26"/>
    <x v="26"/>
    <x v="22"/>
    <x v="4"/>
    <s v="WILLIAM TSANG"/>
    <n v="2093"/>
    <s v="LOC (Letter of Confidentiality)"/>
    <s v="Supplier"/>
    <m/>
    <x v="18"/>
    <s v="LOC_Camewould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4"/>
  </r>
  <r>
    <n v="2147"/>
    <x v="26"/>
    <x v="26"/>
    <x v="22"/>
    <x v="4"/>
    <s v="WILLIAM TSANG"/>
    <n v="2090"/>
    <s v="Responsible Purchasing Charter"/>
    <s v="Supplier"/>
    <m/>
    <x v="19"/>
    <s v="Camewould_Responsible_Purchasing_Charter_07Aug12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4"/>
  </r>
  <r>
    <n v="2151"/>
    <x v="26"/>
    <x v="26"/>
    <x v="22"/>
    <x v="4"/>
    <s v="WILLIAM TSANG"/>
    <n v="2094"/>
    <s v="SEF"/>
    <s v="Supplier"/>
    <m/>
    <x v="137"/>
    <s v="CAMEWOULD_Supplier_Evaluation_May_2012.xlsx"/>
    <s v=".xlsx"/>
    <d v="2014-04-14T00:00:00"/>
    <s v="as\afok"/>
    <m/>
    <s v="2012"/>
    <x v="0"/>
    <x v="0"/>
    <x v="0"/>
    <x v="0"/>
    <m/>
    <m/>
    <m/>
    <m/>
    <n v="79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4"/>
  </r>
  <r>
    <n v="2145"/>
    <x v="26"/>
    <x v="26"/>
    <x v="22"/>
    <x v="4"/>
    <s v="WILLIAM TSANG"/>
    <n v="2088"/>
    <s v="SEF"/>
    <s v="Supplier"/>
    <m/>
    <x v="138"/>
    <s v="CAMEWOULD Supplier Evaluation Form Apr 2013.xlsx"/>
    <s v=".xlsx"/>
    <d v="2014-04-14T00:00:00"/>
    <s v="as\afok"/>
    <m/>
    <s v="2013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4"/>
  </r>
  <r>
    <n v="2143"/>
    <x v="26"/>
    <x v="26"/>
    <x v="22"/>
    <x v="4"/>
    <s v="WILLIAM TSANG"/>
    <n v="2086"/>
    <s v="SIF"/>
    <s v="Supplier"/>
    <m/>
    <x v="139"/>
    <s v="Camewould_SIF2013.xlsx"/>
    <s v=".xlsx"/>
    <d v="2014-04-14T00:00:00"/>
    <s v="as\afok"/>
    <m/>
    <s v="2013"/>
    <x v="0"/>
    <x v="0"/>
    <x v="0"/>
    <x v="0"/>
    <m/>
    <m/>
    <m/>
    <m/>
    <m/>
    <n v="2013"/>
    <n v="40000000"/>
    <n v="32570000"/>
    <n v="39935000"/>
    <n v="41105000"/>
    <n v="36600000"/>
    <m/>
    <n v="8.86"/>
    <n v="9.7799999999999994"/>
    <n v="9.24"/>
    <n v="6.78"/>
    <s v="CP Panel"/>
    <x v="0"/>
    <x v="0"/>
    <x v="1"/>
    <x v="3"/>
    <m/>
    <m/>
    <m/>
    <n v="1"/>
    <m/>
    <m/>
    <m/>
    <s v="CP"/>
    <m/>
    <m/>
    <x v="2"/>
    <x v="1"/>
    <m/>
    <x v="14"/>
  </r>
  <r>
    <n v="2152"/>
    <x v="26"/>
    <x v="26"/>
    <x v="22"/>
    <x v="4"/>
    <s v="WILLIAM TSANG"/>
    <n v="2095"/>
    <s v="SIF"/>
    <s v="Supplier"/>
    <m/>
    <x v="119"/>
    <s v="Camewould_SIF2012_23APR12.xlsx"/>
    <s v=".xlsx"/>
    <d v="2014-04-14T00:00:00"/>
    <s v="as\afok"/>
    <m/>
    <s v="2012"/>
    <x v="0"/>
    <x v="0"/>
    <x v="0"/>
    <x v="0"/>
    <m/>
    <m/>
    <m/>
    <m/>
    <m/>
    <n v="2012"/>
    <n v="41000000"/>
    <n v="40000000"/>
    <n v="40000000"/>
    <n v="36000000"/>
    <n v="41000000"/>
    <n v="20"/>
    <n v="18.23"/>
    <n v="13.22"/>
    <n v="15.27"/>
    <n v="15.77"/>
    <s v="CP Panel"/>
    <x v="0"/>
    <x v="0"/>
    <x v="1"/>
    <x v="3"/>
    <m/>
    <m/>
    <m/>
    <n v="1"/>
    <n v="1"/>
    <m/>
    <m/>
    <s v="CP"/>
    <m/>
    <m/>
    <x v="2"/>
    <x v="1"/>
    <m/>
    <x v="14"/>
  </r>
  <r>
    <n v="2146"/>
    <x v="26"/>
    <x v="26"/>
    <x v="22"/>
    <x v="4"/>
    <s v="WILLIAM TSANG"/>
    <n v="2089"/>
    <s v="SPR"/>
    <s v="Supplier"/>
    <m/>
    <x v="140"/>
    <s v="SPR Camewould 24 May 2013.pptx"/>
    <s v=".pptx"/>
    <d v="2014-04-14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4"/>
  </r>
  <r>
    <n v="2162"/>
    <x v="27"/>
    <x v="27"/>
    <x v="23"/>
    <x v="4"/>
    <s v="WILLIAM TSANG"/>
    <n v="2105"/>
    <s v="Contract: General Contract"/>
    <s v="Supplier"/>
    <m/>
    <x v="132"/>
    <s v="Agreement_CCI_Revised_Sep2012.pdf"/>
    <s v=".pdf"/>
    <d v="2014-04-14T00:00:00"/>
    <s v="as\afok"/>
    <m/>
    <m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15"/>
  </r>
  <r>
    <n v="2157"/>
    <x v="27"/>
    <x v="27"/>
    <x v="23"/>
    <x v="4"/>
    <s v="WILLIAM TSANG"/>
    <n v="2100"/>
    <s v="Contract: General Contract"/>
    <s v="Supplier"/>
    <m/>
    <x v="141"/>
    <s v="Agreement_CCI_MAR12.pdf"/>
    <s v=".pdf"/>
    <d v="2014-04-14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15"/>
  </r>
  <r>
    <n v="2168"/>
    <x v="27"/>
    <x v="27"/>
    <x v="23"/>
    <x v="4"/>
    <s v="WILLIAM TSANG"/>
    <n v="2111"/>
    <s v="Contract: General Contract"/>
    <s v="Supplier"/>
    <m/>
    <x v="109"/>
    <s v="CCI_SupplyAgreementV8_2013.pdf"/>
    <s v=".pdf"/>
    <d v="2014-04-14T00:00:00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n v="1"/>
    <m/>
    <m/>
    <s v="CP"/>
    <m/>
    <m/>
    <x v="2"/>
    <x v="1"/>
    <m/>
    <x v="15"/>
  </r>
  <r>
    <n v="2159"/>
    <x v="27"/>
    <x v="27"/>
    <x v="23"/>
    <x v="4"/>
    <s v="WILLIAM TSANG"/>
    <n v="2102"/>
    <s v="Contract: Quality Appendix"/>
    <s v="Supplier"/>
    <m/>
    <x v="141"/>
    <s v="Agreement_CCI_MAR12.pdf"/>
    <s v=".pdf"/>
    <d v="2014-04-14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15"/>
  </r>
  <r>
    <n v="2160"/>
    <x v="27"/>
    <x v="27"/>
    <x v="23"/>
    <x v="4"/>
    <s v="WILLIAM TSANG"/>
    <n v="2103"/>
    <s v="Contract: Supply Chain Appendix"/>
    <s v="Supplier"/>
    <m/>
    <x v="141"/>
    <s v="Agreement_CCI_MAR12.pdf"/>
    <s v=".pdf"/>
    <d v="2014-04-14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15"/>
  </r>
  <r>
    <n v="2167"/>
    <x v="27"/>
    <x v="27"/>
    <x v="23"/>
    <x v="4"/>
    <s v="WILLIAM TSANG"/>
    <n v="2110"/>
    <s v="Contract: Supply Chain Appendix"/>
    <s v="Supplier"/>
    <m/>
    <x v="142"/>
    <s v="CCI_SupplyChainAppendix_V10-Oct-2013.pdf"/>
    <s v=".pdf"/>
    <d v="2014-04-14T00:00:00"/>
    <s v="as\afok"/>
    <m/>
    <s v="V10"/>
    <x v="0"/>
    <x v="5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15"/>
  </r>
  <r>
    <n v="2161"/>
    <x v="27"/>
    <x v="27"/>
    <x v="23"/>
    <x v="4"/>
    <s v="WILLIAM TSANG"/>
    <n v="2104"/>
    <s v="Declaration letter of group organization"/>
    <s v="Supplier"/>
    <m/>
    <x v="143"/>
    <s v="Agreement_CCI_MAR12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5"/>
  </r>
  <r>
    <n v="2158"/>
    <x v="27"/>
    <x v="27"/>
    <x v="23"/>
    <x v="4"/>
    <s v="WILLIAM TSANG"/>
    <n v="2101"/>
    <s v="Environmental Declaration"/>
    <s v="Supplier"/>
    <m/>
    <x v="141"/>
    <s v="Agreement_CCI_MAR12.pdf"/>
    <s v=".pdf"/>
    <d v="2014-04-14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5"/>
  </r>
  <r>
    <n v="2163"/>
    <x v="27"/>
    <x v="27"/>
    <x v="23"/>
    <x v="4"/>
    <s v="WILLIAM TSANG"/>
    <n v="2106"/>
    <s v="ISO 9001"/>
    <s v="Supplier"/>
    <d v="2013-06-18T00:00:00"/>
    <x v="144"/>
    <s v="CCI_ISO9001_19Jun2010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5"/>
  </r>
  <r>
    <n v="2155"/>
    <x v="27"/>
    <x v="27"/>
    <x v="23"/>
    <x v="4"/>
    <s v="WILLIAM TSANG"/>
    <n v="2098"/>
    <s v="LOC (Letter of Confidentiality)"/>
    <s v="Supplier"/>
    <m/>
    <x v="145"/>
    <s v="Letter of Confidentiality - CCI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5"/>
  </r>
  <r>
    <n v="2164"/>
    <x v="27"/>
    <x v="27"/>
    <x v="23"/>
    <x v="4"/>
    <s v="WILLIAM TSANG"/>
    <n v="2107"/>
    <s v="Responsible Purchasing Charter"/>
    <s v="Supplier"/>
    <m/>
    <x v="8"/>
    <s v="CCI_Responsible_Purchasing_Charter_08Aug12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5"/>
  </r>
  <r>
    <n v="2154"/>
    <x v="27"/>
    <x v="27"/>
    <x v="23"/>
    <x v="4"/>
    <s v="WILLIAM TSANG"/>
    <n v="2097"/>
    <s v="SEF"/>
    <s v="Supplier"/>
    <m/>
    <x v="146"/>
    <s v="CCI_Supplier_Evaluation_May_2012.xlsx"/>
    <s v=".xlsx"/>
    <d v="2014-04-14T00:00:00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5"/>
  </r>
  <r>
    <n v="2165"/>
    <x v="27"/>
    <x v="27"/>
    <x v="23"/>
    <x v="4"/>
    <s v="WILLIAM TSANG"/>
    <n v="2108"/>
    <s v="SIF"/>
    <s v="Supplier"/>
    <m/>
    <x v="147"/>
    <s v="CCI_SIF2013.xlsx"/>
    <s v=".xlsx"/>
    <d v="2014-04-14T00:00:00"/>
    <s v="as\afok"/>
    <m/>
    <s v="2013"/>
    <x v="0"/>
    <x v="0"/>
    <x v="0"/>
    <x v="0"/>
    <m/>
    <m/>
    <m/>
    <m/>
    <m/>
    <n v="2013"/>
    <n v="22000000"/>
    <n v="21500000"/>
    <n v="22000000"/>
    <n v="20100000"/>
    <n v="17600000"/>
    <n v="12.3"/>
    <n v="12.1"/>
    <n v="12.3"/>
    <n v="11.1"/>
    <n v="9.3000000000000007"/>
    <s v="CP Panel"/>
    <x v="0"/>
    <x v="0"/>
    <x v="1"/>
    <x v="3"/>
    <m/>
    <m/>
    <m/>
    <n v="1"/>
    <m/>
    <m/>
    <m/>
    <s v="CP"/>
    <m/>
    <m/>
    <x v="2"/>
    <x v="1"/>
    <m/>
    <x v="15"/>
  </r>
  <r>
    <n v="2153"/>
    <x v="27"/>
    <x v="27"/>
    <x v="23"/>
    <x v="4"/>
    <s v="WILLIAM TSANG"/>
    <n v="2096"/>
    <s v="SIF"/>
    <s v="Supplier"/>
    <m/>
    <x v="48"/>
    <s v="CCI_SIF2012_20APR12.xlsx"/>
    <s v=".xlsx"/>
    <d v="2014-04-14T00:00:00"/>
    <s v="as\afok"/>
    <m/>
    <s v="2012"/>
    <x v="0"/>
    <x v="0"/>
    <x v="0"/>
    <x v="0"/>
    <m/>
    <m/>
    <m/>
    <m/>
    <m/>
    <n v="2012"/>
    <n v="41500000"/>
    <n v="22000000"/>
    <n v="20100000"/>
    <n v="17600000"/>
    <n v="15100000"/>
    <n v="12.55"/>
    <n v="11.1"/>
    <n v="9.3000000000000007"/>
    <n v="7.4"/>
    <n v="7.3"/>
    <s v="CP Panel"/>
    <x v="0"/>
    <x v="0"/>
    <x v="1"/>
    <x v="3"/>
    <m/>
    <m/>
    <m/>
    <n v="1"/>
    <m/>
    <m/>
    <m/>
    <s v="CP"/>
    <m/>
    <m/>
    <x v="2"/>
    <x v="1"/>
    <m/>
    <x v="15"/>
  </r>
  <r>
    <n v="2156"/>
    <x v="27"/>
    <x v="27"/>
    <x v="23"/>
    <x v="4"/>
    <s v="WILLIAM TSANG"/>
    <n v="2099"/>
    <s v="SPR"/>
    <s v="Supplier"/>
    <m/>
    <x v="146"/>
    <s v="CCI_SPR_08May12.pptx"/>
    <s v=".pptx"/>
    <d v="2014-04-14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5"/>
  </r>
  <r>
    <n v="2166"/>
    <x v="27"/>
    <x v="27"/>
    <x v="23"/>
    <x v="4"/>
    <s v="WILLIAM TSANG"/>
    <n v="2109"/>
    <s v="SPR"/>
    <s v="Supplier"/>
    <m/>
    <x v="148"/>
    <s v="SPR_CCI_20131024.pptx"/>
    <s v=".pptx"/>
    <d v="2014-04-14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5"/>
  </r>
  <r>
    <n v="972"/>
    <x v="28"/>
    <x v="28"/>
    <x v="24"/>
    <x v="1"/>
    <s v="EVA LAI"/>
    <n v="949"/>
    <s v="Contract: General Contract"/>
    <s v="Supplier"/>
    <m/>
    <x v="149"/>
    <s v="Chaus_General Agreement_V7.pdf"/>
    <s v=".pdf"/>
    <d v="2014-03-24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16"/>
  </r>
  <r>
    <n v="975"/>
    <x v="28"/>
    <x v="28"/>
    <x v="24"/>
    <x v="1"/>
    <s v="EVA LAI"/>
    <n v="952"/>
    <s v="Contract: Quality Appendix"/>
    <s v="Supplier"/>
    <m/>
    <x v="150"/>
    <s v="Chaus_General Agreement_V7.pdf"/>
    <s v=".pdf"/>
    <d v="2014-03-24T00:00:00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16"/>
  </r>
  <r>
    <n v="974"/>
    <x v="28"/>
    <x v="28"/>
    <x v="24"/>
    <x v="1"/>
    <s v="EVA LAI"/>
    <n v="951"/>
    <s v="Contract: Supply Chain Appendix"/>
    <s v="Supplier"/>
    <m/>
    <x v="149"/>
    <s v="Chaus_General Agreement_V7.pdf"/>
    <s v=".pdf"/>
    <d v="2014-03-24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16"/>
  </r>
  <r>
    <n v="976"/>
    <x v="28"/>
    <x v="28"/>
    <x v="24"/>
    <x v="1"/>
    <s v="EVA LAI"/>
    <n v="953"/>
    <s v="Declaration letter of group organization"/>
    <s v="Supplier"/>
    <m/>
    <x v="151"/>
    <s v="Chaus_General Agreement_V7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6"/>
  </r>
  <r>
    <n v="973"/>
    <x v="28"/>
    <x v="28"/>
    <x v="24"/>
    <x v="1"/>
    <s v="EVA LAI"/>
    <n v="950"/>
    <s v="Environmental Declaration"/>
    <s v="Supplier"/>
    <m/>
    <x v="149"/>
    <s v="Chaus_General Agreement_V7.pdf"/>
    <s v=".pdf"/>
    <d v="2014-03-24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6"/>
  </r>
  <r>
    <n v="983"/>
    <x v="28"/>
    <x v="28"/>
    <x v="24"/>
    <x v="1"/>
    <s v="EVA LAI"/>
    <n v="960"/>
    <s v="ISO 14001"/>
    <s v="Supplier"/>
    <d v="2012-11-26T00:00:00"/>
    <x v="152"/>
    <s v="Chaus_ISO14001_2012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6"/>
  </r>
  <r>
    <n v="977"/>
    <x v="28"/>
    <x v="28"/>
    <x v="24"/>
    <x v="1"/>
    <s v="EVA LAI"/>
    <n v="954"/>
    <s v="ISO 14001"/>
    <s v="Supplier"/>
    <d v="2012-11-26T00:00:00"/>
    <x v="152"/>
    <s v="Chau's_IS14001_16Dec2012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6"/>
  </r>
  <r>
    <n v="984"/>
    <x v="28"/>
    <x v="28"/>
    <x v="24"/>
    <x v="1"/>
    <s v="EVA LAI"/>
    <n v="961"/>
    <s v="LOC (Letter of Confidentiality)"/>
    <s v="Supplier"/>
    <m/>
    <x v="153"/>
    <s v="LOC_CHAU'S_2011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x v="2"/>
    <x v="1"/>
    <m/>
    <x v="16"/>
  </r>
  <r>
    <n v="979"/>
    <x v="28"/>
    <x v="28"/>
    <x v="24"/>
    <x v="1"/>
    <s v="EVA LAI"/>
    <n v="956"/>
    <s v="Responsible Purchasing Charter"/>
    <s v="Supplier"/>
    <m/>
    <x v="154"/>
    <s v="Chaus_Responsible Purchasing Charter_17Aug12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6"/>
  </r>
  <r>
    <n v="981"/>
    <x v="28"/>
    <x v="28"/>
    <x v="24"/>
    <x v="1"/>
    <s v="EVA LAI"/>
    <n v="958"/>
    <s v="SEF"/>
    <s v="Supplier"/>
    <m/>
    <x v="123"/>
    <s v="Chaus_SEF_2012.xls"/>
    <s v=".xls"/>
    <d v="2014-03-24T00:00:00"/>
    <s v="as\afok"/>
    <m/>
    <s v="2012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6"/>
  </r>
  <r>
    <n v="970"/>
    <x v="28"/>
    <x v="28"/>
    <x v="24"/>
    <x v="1"/>
    <s v="EVA LAI"/>
    <n v="947"/>
    <s v="SEF"/>
    <s v="Supplier"/>
    <m/>
    <x v="155"/>
    <s v="Chaus_SEF_2013-1.xls"/>
    <s v=".xls"/>
    <d v="2014-03-24T00:00:00"/>
    <s v="as\afok"/>
    <m/>
    <s v="2013"/>
    <x v="0"/>
    <x v="0"/>
    <x v="0"/>
    <x v="0"/>
    <m/>
    <m/>
    <m/>
    <m/>
    <n v="91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6"/>
  </r>
  <r>
    <n v="982"/>
    <x v="28"/>
    <x v="28"/>
    <x v="24"/>
    <x v="1"/>
    <s v="EVA LAI"/>
    <n v="959"/>
    <s v="SIF"/>
    <s v="Supplier"/>
    <m/>
    <x v="156"/>
    <s v="Chau's_SIF2012_2Mar12.xls"/>
    <s v=".xls"/>
    <d v="2014-03-24T00:00:00"/>
    <s v="as\afok"/>
    <m/>
    <s v="2012"/>
    <x v="0"/>
    <x v="0"/>
    <x v="0"/>
    <x v="0"/>
    <m/>
    <m/>
    <m/>
    <m/>
    <m/>
    <n v="2011"/>
    <n v="82000000"/>
    <n v="91000000"/>
    <n v="181000000"/>
    <n v="147000000"/>
    <n v="450000000"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6"/>
  </r>
  <r>
    <n v="971"/>
    <x v="28"/>
    <x v="28"/>
    <x v="24"/>
    <x v="1"/>
    <s v="EVA LAI"/>
    <n v="948"/>
    <s v="SIF"/>
    <s v="Supplier"/>
    <m/>
    <x v="157"/>
    <s v="Chaus_SIF 2013.xls"/>
    <s v=".xls"/>
    <d v="2014-03-24T00:00:00"/>
    <s v="as\afok"/>
    <m/>
    <s v="2013"/>
    <x v="0"/>
    <x v="0"/>
    <x v="0"/>
    <x v="0"/>
    <m/>
    <m/>
    <m/>
    <m/>
    <m/>
    <n v="2013"/>
    <n v="85000000"/>
    <n v="82000000"/>
    <n v="91000000"/>
    <n v="181000000"/>
    <n v="147000000"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6"/>
  </r>
  <r>
    <n v="978"/>
    <x v="28"/>
    <x v="28"/>
    <x v="24"/>
    <x v="1"/>
    <s v="EVA LAI"/>
    <n v="955"/>
    <s v="SPR"/>
    <s v="Supplier"/>
    <m/>
    <x v="132"/>
    <s v="Chaus_SPR_SSept 2012.pptx"/>
    <s v=".pptx"/>
    <d v="2014-03-24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6"/>
  </r>
  <r>
    <n v="969"/>
    <x v="28"/>
    <x v="28"/>
    <x v="24"/>
    <x v="1"/>
    <s v="EVA LAI"/>
    <n v="946"/>
    <s v="SPR"/>
    <s v="Supplier"/>
    <m/>
    <x v="158"/>
    <s v="Chaus_SPR_2013_05.pptx"/>
    <s v=".pptx"/>
    <d v="2014-03-24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6"/>
  </r>
  <r>
    <n v="980"/>
    <x v="28"/>
    <x v="28"/>
    <x v="24"/>
    <x v="1"/>
    <s v="EVA LAI"/>
    <n v="957"/>
    <s v="SPR"/>
    <s v="Supplier"/>
    <m/>
    <x v="132"/>
    <s v="Chaus_SPR_Sept 2012 (revised).pptx"/>
    <s v=".pptx"/>
    <d v="2014-03-24T00:00:00"/>
    <s v="as\afok"/>
    <s v="Revised"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6"/>
  </r>
  <r>
    <n v="1985"/>
    <x v="29"/>
    <x v="29"/>
    <x v="25"/>
    <x v="4"/>
    <s v="RICKY LAM"/>
    <n v="1936"/>
    <s v="Contract: Supply Chain Appendix"/>
    <s v="Supplier"/>
    <m/>
    <x v="159"/>
    <s v="SupplyChain_Appendix_V10_Cheuk_Kit_19Aug2013.pdf"/>
    <s v=".pdf"/>
    <d v="2014-04-10T00:00:00"/>
    <s v="as\afok"/>
    <m/>
    <s v="V10"/>
    <x v="0"/>
    <x v="5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0"/>
    <m/>
    <n v="1"/>
    <m/>
    <s v="CP"/>
    <m/>
    <m/>
    <x v="2"/>
    <x v="1"/>
    <m/>
    <x v="6"/>
  </r>
  <r>
    <n v="1978"/>
    <x v="29"/>
    <x v="29"/>
    <x v="25"/>
    <x v="4"/>
    <s v="RICKY LAM"/>
    <n v="1929"/>
    <s v="ISO 9001"/>
    <s v="Supplier"/>
    <d v="2012-08-09T00:00:00"/>
    <x v="160"/>
    <s v="Mingjie Plastic_ISO_9001.jpg"/>
    <s v=".jpg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"/>
  </r>
  <r>
    <n v="1977"/>
    <x v="29"/>
    <x v="29"/>
    <x v="25"/>
    <x v="4"/>
    <s v="RICKY LAM"/>
    <n v="1928"/>
    <s v="LOC (Letter of Confidentiality)"/>
    <s v="Product / Project"/>
    <m/>
    <x v="161"/>
    <s v="LOC_Cheuk_Kit(project Nara).pdf"/>
    <s v=".pdf"/>
    <d v="2014-04-10T00:00:00"/>
    <s v="as\afok"/>
    <m/>
    <m/>
    <x v="0"/>
    <x v="0"/>
    <x v="0"/>
    <x v="0"/>
    <s v="Nara"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"/>
  </r>
  <r>
    <n v="1976"/>
    <x v="29"/>
    <x v="29"/>
    <x v="25"/>
    <x v="4"/>
    <s v="RICKY LAM"/>
    <n v="1927"/>
    <s v="LOC (Letter of Confidentiality)"/>
    <s v="Supplier"/>
    <m/>
    <x v="162"/>
    <s v="LOC_Cheuk kit Industrial (HK) Limited.jpg"/>
    <s v=".jpg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"/>
  </r>
  <r>
    <n v="1982"/>
    <x v="29"/>
    <x v="29"/>
    <x v="25"/>
    <x v="4"/>
    <s v="RICKY LAM"/>
    <n v="1933"/>
    <s v="Responsible Purchasing Charter"/>
    <s v="Supplier"/>
    <m/>
    <x v="19"/>
    <s v="Mingjie_Responsible_Purchasing_Charter_07Aug12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"/>
  </r>
  <r>
    <n v="1984"/>
    <x v="29"/>
    <x v="29"/>
    <x v="25"/>
    <x v="4"/>
    <s v="RICKY LAM"/>
    <n v="1935"/>
    <s v="Responsible Purchasing Charter"/>
    <s v="Supplier"/>
    <m/>
    <x v="163"/>
    <s v="Cheuk_Kit_Responsible_Purchasing_Charter_27Feb13.tif"/>
    <s v=".ti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"/>
  </r>
  <r>
    <n v="1981"/>
    <x v="29"/>
    <x v="29"/>
    <x v="25"/>
    <x v="4"/>
    <s v="RICKY LAM"/>
    <n v="1932"/>
    <s v="SEF"/>
    <s v="Supplier"/>
    <m/>
    <x v="47"/>
    <s v="Mingjie_SEF_July12-82.xlsx"/>
    <s v=".xlsx"/>
    <d v="2014-04-10T00:00:00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"/>
  </r>
  <r>
    <n v="1983"/>
    <x v="29"/>
    <x v="29"/>
    <x v="25"/>
    <x v="4"/>
    <s v="RICKY LAM"/>
    <n v="1934"/>
    <s v="SIF"/>
    <s v="Supplier"/>
    <m/>
    <x v="164"/>
    <s v="Mingjie_SIF2013.xls"/>
    <s v=".xls"/>
    <d v="2014-04-10T00:00:00"/>
    <s v="as\afok"/>
    <m/>
    <s v="2013"/>
    <x v="0"/>
    <x v="0"/>
    <x v="0"/>
    <x v="0"/>
    <m/>
    <m/>
    <m/>
    <m/>
    <m/>
    <n v="2013"/>
    <n v="8500000"/>
    <n v="7800000"/>
    <n v="7500000"/>
    <n v="7500000"/>
    <n v="7200000"/>
    <n v="10"/>
    <n v="0"/>
    <n v="0"/>
    <n v="0"/>
    <n v="0"/>
    <s v="CP Panel"/>
    <x v="0"/>
    <x v="0"/>
    <x v="1"/>
    <x v="3"/>
    <m/>
    <m/>
    <m/>
    <n v="0"/>
    <m/>
    <m/>
    <m/>
    <s v="CP"/>
    <m/>
    <m/>
    <x v="2"/>
    <x v="1"/>
    <m/>
    <x v="6"/>
  </r>
  <r>
    <n v="1979"/>
    <x v="29"/>
    <x v="29"/>
    <x v="25"/>
    <x v="4"/>
    <s v="RICKY LAM"/>
    <n v="1930"/>
    <s v="SIF"/>
    <s v="Supplier"/>
    <m/>
    <x v="165"/>
    <s v="MingJie_SIF2012_17Apr12.xls"/>
    <s v=".xls"/>
    <d v="2014-04-10T00:00:00"/>
    <s v="as\afok"/>
    <m/>
    <s v="2012"/>
    <x v="0"/>
    <x v="0"/>
    <x v="0"/>
    <x v="0"/>
    <m/>
    <m/>
    <m/>
    <m/>
    <m/>
    <n v="2012"/>
    <n v="8500000"/>
    <n v="7800000"/>
    <n v="7500000"/>
    <n v="7500000"/>
    <n v="7200000"/>
    <n v="10"/>
    <n v="0"/>
    <n v="0"/>
    <n v="0"/>
    <n v="0"/>
    <s v="CP Panel"/>
    <x v="0"/>
    <x v="0"/>
    <x v="1"/>
    <x v="3"/>
    <m/>
    <m/>
    <m/>
    <n v="0"/>
    <m/>
    <m/>
    <m/>
    <s v="CP"/>
    <m/>
    <m/>
    <x v="2"/>
    <x v="1"/>
    <m/>
    <x v="6"/>
  </r>
  <r>
    <n v="1980"/>
    <x v="29"/>
    <x v="29"/>
    <x v="25"/>
    <x v="4"/>
    <s v="RICKY LAM"/>
    <n v="1931"/>
    <s v="SPR"/>
    <s v="Supplier"/>
    <m/>
    <x v="47"/>
    <s v="Mingjie_SPR_July2012.pptx"/>
    <s v=".pptx"/>
    <d v="2014-04-10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"/>
  </r>
  <r>
    <n v="986"/>
    <x v="30"/>
    <x v="30"/>
    <x v="26"/>
    <x v="1"/>
    <s v="EVA LAI"/>
    <n v="963"/>
    <s v="Contract: General Contract"/>
    <s v="Supplier"/>
    <m/>
    <x v="166"/>
    <s v="Chi_Fung_General Agreement_V7.pdf"/>
    <s v=".pdf"/>
    <d v="2014-03-24T00:00:00"/>
    <s v="as\afok"/>
    <m/>
    <s v="V7"/>
    <x v="7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x v="2"/>
    <x v="1"/>
    <m/>
    <x v="8"/>
  </r>
  <r>
    <n v="988"/>
    <x v="30"/>
    <x v="30"/>
    <x v="26"/>
    <x v="1"/>
    <s v="EVA LAI"/>
    <n v="965"/>
    <s v="Contract: Quality Appendix"/>
    <s v="Supplier"/>
    <m/>
    <x v="167"/>
    <s v="Chi_Fung_General Agreement_V7.pdf"/>
    <s v=".pdf"/>
    <d v="2014-03-24T00:00:00"/>
    <s v="as\afok"/>
    <m/>
    <s v="V4"/>
    <x v="0"/>
    <x v="0"/>
    <x v="0"/>
    <x v="1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x v="2"/>
    <x v="1"/>
    <m/>
    <x v="8"/>
  </r>
  <r>
    <n v="989"/>
    <x v="30"/>
    <x v="30"/>
    <x v="26"/>
    <x v="1"/>
    <s v="EVA LAI"/>
    <n v="966"/>
    <s v="Contract: Supply Chain Appendix"/>
    <s v="Supplier"/>
    <m/>
    <x v="72"/>
    <s v="Chi_Fung_General Agreement_V7.pdf"/>
    <s v=".pdf"/>
    <d v="2014-03-24T00:00:00"/>
    <s v="as\afok"/>
    <m/>
    <m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x v="2"/>
    <x v="1"/>
    <m/>
    <x v="8"/>
  </r>
  <r>
    <n v="990"/>
    <x v="30"/>
    <x v="30"/>
    <x v="26"/>
    <x v="1"/>
    <s v="EVA LAI"/>
    <n v="967"/>
    <s v="Declaration letter of group organization"/>
    <s v="Supplier"/>
    <m/>
    <x v="82"/>
    <s v="Chi_Fung_General Agreement_V7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8"/>
  </r>
  <r>
    <n v="987"/>
    <x v="30"/>
    <x v="30"/>
    <x v="26"/>
    <x v="1"/>
    <s v="EVA LAI"/>
    <n v="964"/>
    <s v="Environmental Declaration"/>
    <s v="Supplier"/>
    <m/>
    <x v="166"/>
    <s v="Chi_Fung_General Agreement_V7.pdf"/>
    <s v=".pdf"/>
    <d v="2014-03-24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8"/>
  </r>
  <r>
    <n v="992"/>
    <x v="30"/>
    <x v="30"/>
    <x v="26"/>
    <x v="1"/>
    <s v="EVA LAI"/>
    <n v="969"/>
    <s v="Responsible Purchasing Charter"/>
    <s v="Supplier"/>
    <m/>
    <x v="35"/>
    <s v="Chi_Fung_Responsible_Purchasing_Charter_15Aug12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8"/>
  </r>
  <r>
    <n v="991"/>
    <x v="30"/>
    <x v="30"/>
    <x v="26"/>
    <x v="1"/>
    <s v="EVA LAI"/>
    <n v="968"/>
    <s v="SEF"/>
    <s v="Supplier"/>
    <m/>
    <x v="89"/>
    <s v="Chi Fung_SEF_2012-2.xlsx"/>
    <s v=".xlsx"/>
    <d v="2014-03-24T00:00:00"/>
    <s v="as\afok"/>
    <m/>
    <s v="2012"/>
    <x v="0"/>
    <x v="0"/>
    <x v="0"/>
    <x v="0"/>
    <m/>
    <m/>
    <m/>
    <m/>
    <n v="82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8"/>
  </r>
  <r>
    <n v="994"/>
    <x v="30"/>
    <x v="30"/>
    <x v="26"/>
    <x v="1"/>
    <s v="EVA LAI"/>
    <n v="971"/>
    <s v="SEF"/>
    <s v="Supplier"/>
    <m/>
    <x v="30"/>
    <s v="Chi Fung_SEF_2012.xlsx"/>
    <s v=".xlsx"/>
    <d v="2014-03-24T00:00:00"/>
    <s v="as\afok"/>
    <m/>
    <s v="2012"/>
    <x v="0"/>
    <x v="0"/>
    <x v="0"/>
    <x v="0"/>
    <m/>
    <m/>
    <m/>
    <m/>
    <n v="81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8"/>
  </r>
  <r>
    <n v="985"/>
    <x v="30"/>
    <x v="30"/>
    <x v="26"/>
    <x v="1"/>
    <s v="EVA LAI"/>
    <n v="962"/>
    <s v="SEF"/>
    <s v="Supplier"/>
    <m/>
    <x v="168"/>
    <s v="Chi Fung_SEF_2013-1.xlsx"/>
    <s v=".xlsx"/>
    <d v="2014-03-24T00:00:00"/>
    <s v="as\afok"/>
    <m/>
    <s v="2013"/>
    <x v="0"/>
    <x v="0"/>
    <x v="0"/>
    <x v="0"/>
    <m/>
    <m/>
    <m/>
    <m/>
    <n v="83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8"/>
  </r>
  <r>
    <n v="995"/>
    <x v="30"/>
    <x v="30"/>
    <x v="26"/>
    <x v="1"/>
    <s v="EVA LAI"/>
    <n v="972"/>
    <s v="SIF"/>
    <s v="Supplier"/>
    <m/>
    <x v="169"/>
    <s v="Chi Fung_SIF2012_2Mar12.xls"/>
    <s v=".xls"/>
    <d v="2014-03-24T00:00:00"/>
    <s v="as\afok"/>
    <m/>
    <s v="2012"/>
    <x v="0"/>
    <x v="0"/>
    <x v="0"/>
    <x v="0"/>
    <m/>
    <m/>
    <m/>
    <m/>
    <m/>
    <n v="2012"/>
    <m/>
    <m/>
    <m/>
    <m/>
    <m/>
    <m/>
    <n v="0.7"/>
    <n v="0.8"/>
    <n v="0.7"/>
    <n v="0.6"/>
    <m/>
    <x v="0"/>
    <x v="0"/>
    <x v="0"/>
    <x v="0"/>
    <m/>
    <m/>
    <m/>
    <n v="1"/>
    <n v="1"/>
    <m/>
    <m/>
    <s v="CP"/>
    <m/>
    <m/>
    <x v="2"/>
    <x v="1"/>
    <m/>
    <x v="8"/>
  </r>
  <r>
    <n v="993"/>
    <x v="30"/>
    <x v="30"/>
    <x v="26"/>
    <x v="1"/>
    <s v="EVA LAI"/>
    <n v="970"/>
    <s v="SIF"/>
    <s v="Supplier"/>
    <m/>
    <x v="170"/>
    <s v="Chi_Fung_SIF 2013.xls"/>
    <s v=".xls"/>
    <d v="2014-03-24T00:00:00"/>
    <s v="as\afok"/>
    <m/>
    <s v="2013"/>
    <x v="0"/>
    <x v="0"/>
    <x v="0"/>
    <x v="0"/>
    <m/>
    <m/>
    <m/>
    <m/>
    <m/>
    <n v="2013"/>
    <m/>
    <n v="26000000"/>
    <n v="20000000"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8"/>
  </r>
  <r>
    <n v="812"/>
    <x v="31"/>
    <x v="31"/>
    <x v="27"/>
    <x v="1"/>
    <s v="DOUGLAS LAM"/>
    <n v="790"/>
    <s v="ISO 14001"/>
    <s v="Supplier"/>
    <d v="2010-08-06T00:00:00"/>
    <x v="171"/>
    <s v="CCL_ISO14001_20May2010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0"/>
    <m/>
    <m/>
    <m/>
    <s v="CP"/>
    <m/>
    <m/>
    <x v="2"/>
    <x v="1"/>
    <m/>
    <x v="6"/>
  </r>
  <r>
    <n v="811"/>
    <x v="31"/>
    <x v="31"/>
    <x v="27"/>
    <x v="1"/>
    <s v="DOUGLAS LAM"/>
    <n v="789"/>
    <s v="Responsible Purchasing Charter"/>
    <s v="Supplier"/>
    <m/>
    <x v="93"/>
    <s v="ChiaPhua_Responsible Purchasing Charter_05sept2012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0"/>
    <m/>
    <m/>
    <m/>
    <s v="CP"/>
    <m/>
    <m/>
    <x v="2"/>
    <x v="1"/>
    <m/>
    <x v="6"/>
  </r>
  <r>
    <n v="813"/>
    <x v="31"/>
    <x v="31"/>
    <x v="27"/>
    <x v="1"/>
    <s v="DOUGLAS LAM"/>
    <n v="791"/>
    <s v="SEF"/>
    <s v="Supplier"/>
    <m/>
    <x v="10"/>
    <s v="CCL_SEF_2012.xlsx"/>
    <s v=".xlsx"/>
    <d v="2014-03-21T00:00:00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5"/>
    <m/>
    <m/>
    <m/>
    <n v="0"/>
    <m/>
    <n v="1"/>
    <m/>
    <s v="CP"/>
    <m/>
    <m/>
    <x v="2"/>
    <x v="1"/>
    <m/>
    <x v="6"/>
  </r>
  <r>
    <n v="808"/>
    <x v="31"/>
    <x v="31"/>
    <x v="27"/>
    <x v="1"/>
    <s v="DOUGLAS LAM"/>
    <n v="786"/>
    <s v="SEF"/>
    <s v="Supplier"/>
    <m/>
    <x v="9"/>
    <s v="CCL SEF 2013- Designer-20130601-94.xlsx"/>
    <s v=".xlsx"/>
    <d v="2014-03-21T00:00:00"/>
    <s v="as\afok"/>
    <m/>
    <s v="2013"/>
    <x v="0"/>
    <x v="0"/>
    <x v="0"/>
    <x v="0"/>
    <m/>
    <m/>
    <m/>
    <m/>
    <n v="70"/>
    <m/>
    <m/>
    <m/>
    <m/>
    <m/>
    <m/>
    <m/>
    <m/>
    <m/>
    <m/>
    <m/>
    <s v="CP Panel"/>
    <x v="0"/>
    <x v="0"/>
    <x v="1"/>
    <x v="5"/>
    <m/>
    <m/>
    <m/>
    <n v="0"/>
    <m/>
    <m/>
    <m/>
    <s v="CP"/>
    <m/>
    <m/>
    <x v="2"/>
    <x v="1"/>
    <m/>
    <x v="6"/>
  </r>
  <r>
    <n v="809"/>
    <x v="31"/>
    <x v="31"/>
    <x v="27"/>
    <x v="1"/>
    <s v="DOUGLAS LAM"/>
    <n v="787"/>
    <s v="SIF"/>
    <s v="Supplier"/>
    <m/>
    <x v="172"/>
    <s v="CCL_SIF 2013.xlsx"/>
    <s v=".xlsx"/>
    <d v="2014-03-21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0"/>
    <m/>
    <m/>
    <m/>
    <s v="CP"/>
    <m/>
    <m/>
    <x v="2"/>
    <x v="1"/>
    <m/>
    <x v="6"/>
  </r>
  <r>
    <n v="810"/>
    <x v="31"/>
    <x v="31"/>
    <x v="27"/>
    <x v="1"/>
    <s v="DOUGLAS LAM"/>
    <n v="788"/>
    <s v="SPR"/>
    <s v="Supplier"/>
    <m/>
    <x v="107"/>
    <s v="CCL_SPR_2012.pptx"/>
    <s v=".pptx"/>
    <d v="2014-03-21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0"/>
    <m/>
    <m/>
    <m/>
    <s v="CP"/>
    <m/>
    <m/>
    <x v="2"/>
    <x v="1"/>
    <m/>
    <x v="6"/>
  </r>
  <r>
    <n v="807"/>
    <x v="31"/>
    <x v="31"/>
    <x v="27"/>
    <x v="1"/>
    <s v="DOUGLAS LAM"/>
    <n v="785"/>
    <s v="SPR"/>
    <s v="Supplier"/>
    <m/>
    <x v="13"/>
    <s v="CCL_SPR_2013.pptx"/>
    <s v=".pptx"/>
    <d v="2014-03-21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0"/>
    <m/>
    <m/>
    <m/>
    <s v="CP"/>
    <m/>
    <m/>
    <x v="2"/>
    <x v="1"/>
    <m/>
    <x v="6"/>
  </r>
  <r>
    <n v="2173"/>
    <x v="32"/>
    <x v="32"/>
    <x v="28"/>
    <x v="4"/>
    <s v="WILLIAM TSANG"/>
    <n v="2116"/>
    <s v="Contract: General Contract"/>
    <s v="Supplier"/>
    <m/>
    <x v="31"/>
    <s v="Agreement_Ching Ming_APR12.pdf"/>
    <s v=".pdf"/>
    <d v="2014-04-14T00:00:00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17"/>
  </r>
  <r>
    <n v="2178"/>
    <x v="32"/>
    <x v="32"/>
    <x v="28"/>
    <x v="4"/>
    <s v="WILLIAM TSANG"/>
    <n v="2121"/>
    <s v="Contract: General Contract"/>
    <s v="Supplier"/>
    <m/>
    <x v="173"/>
    <s v="Agreement_Ching Ming_Revised_Oct2012.pdf"/>
    <s v=".pdf"/>
    <d v="2014-04-14T00:00:00"/>
    <s v="as\afok"/>
    <m/>
    <m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17"/>
  </r>
  <r>
    <n v="2175"/>
    <x v="32"/>
    <x v="32"/>
    <x v="28"/>
    <x v="4"/>
    <s v="WILLIAM TSANG"/>
    <n v="2118"/>
    <s v="Contract: Quality Appendix"/>
    <s v="Supplier"/>
    <m/>
    <x v="31"/>
    <s v="Agreement_Ching Ming_APR12.pdf"/>
    <s v=".pdf"/>
    <d v="2014-04-14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17"/>
  </r>
  <r>
    <n v="2176"/>
    <x v="32"/>
    <x v="32"/>
    <x v="28"/>
    <x v="4"/>
    <s v="WILLIAM TSANG"/>
    <n v="2119"/>
    <s v="Contract: Supply Chain Appendix"/>
    <s v="Supplier"/>
    <m/>
    <x v="31"/>
    <s v="Agreement_Ching Ming_APR12.pdf"/>
    <s v=".pdf"/>
    <d v="2014-04-14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17"/>
  </r>
  <r>
    <n v="2183"/>
    <x v="32"/>
    <x v="32"/>
    <x v="28"/>
    <x v="4"/>
    <s v="WILLIAM TSANG"/>
    <n v="2126"/>
    <s v="Contract: Supply Chain Appendix"/>
    <s v="Supplier"/>
    <m/>
    <x v="174"/>
    <s v="Supply_chain_appendixV.10_ChingMing_16Aug13.pdf"/>
    <s v=".pdf"/>
    <d v="2014-04-14T00:00:00"/>
    <s v="as\afok"/>
    <m/>
    <m/>
    <x v="0"/>
    <x v="5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n v="1"/>
    <m/>
    <m/>
    <s v="CP"/>
    <m/>
    <m/>
    <x v="2"/>
    <x v="1"/>
    <m/>
    <x v="17"/>
  </r>
  <r>
    <n v="2177"/>
    <x v="32"/>
    <x v="32"/>
    <x v="28"/>
    <x v="4"/>
    <s v="WILLIAM TSANG"/>
    <n v="2120"/>
    <s v="Declaration letter of group organization"/>
    <s v="Supplier"/>
    <m/>
    <x v="175"/>
    <s v="Agreement_Ching Ming_APR12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7"/>
  </r>
  <r>
    <n v="2174"/>
    <x v="32"/>
    <x v="32"/>
    <x v="28"/>
    <x v="4"/>
    <s v="WILLIAM TSANG"/>
    <n v="2117"/>
    <s v="Environmental Declaration"/>
    <s v="Supplier"/>
    <m/>
    <x v="31"/>
    <s v="Agreement_Ching Ming_APR12.pdf"/>
    <s v=".pdf"/>
    <d v="2014-04-14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7"/>
  </r>
  <r>
    <n v="2179"/>
    <x v="32"/>
    <x v="32"/>
    <x v="28"/>
    <x v="4"/>
    <s v="WILLIAM TSANG"/>
    <n v="2122"/>
    <s v="ISO 14001"/>
    <s v="Supplier"/>
    <d v="2011-03-30T00:00:00"/>
    <x v="176"/>
    <s v="Ching_Ming_ISO1400_2011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7"/>
  </r>
  <r>
    <n v="2169"/>
    <x v="32"/>
    <x v="32"/>
    <x v="28"/>
    <x v="4"/>
    <s v="WILLIAM TSANG"/>
    <n v="2112"/>
    <s v="LOC (Letter of Confidentiality)"/>
    <s v="Supplier"/>
    <m/>
    <x v="177"/>
    <s v="LOC_Ching_Ming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7"/>
  </r>
  <r>
    <n v="2171"/>
    <x v="32"/>
    <x v="32"/>
    <x v="28"/>
    <x v="4"/>
    <s v="WILLIAM TSANG"/>
    <n v="2114"/>
    <s v="LOC (Letter of Confidentiality)"/>
    <s v="Product / Project"/>
    <m/>
    <x v="178"/>
    <s v="LOC_Ching_Ming(Nara_Project).pdf"/>
    <s v=".pdf"/>
    <d v="2014-04-14T00:00:00"/>
    <s v="as\afok"/>
    <m/>
    <m/>
    <x v="0"/>
    <x v="0"/>
    <x v="0"/>
    <x v="0"/>
    <s v="Nara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7"/>
  </r>
  <r>
    <n v="2180"/>
    <x v="32"/>
    <x v="32"/>
    <x v="28"/>
    <x v="4"/>
    <s v="WILLIAM TSANG"/>
    <n v="2123"/>
    <s v="Responsible Purchasing Charter"/>
    <s v="Supplier"/>
    <m/>
    <x v="8"/>
    <s v="Ching_Ming_Responsible_Purchasing_Charter_07Aug12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7"/>
  </r>
  <r>
    <n v="2172"/>
    <x v="32"/>
    <x v="32"/>
    <x v="28"/>
    <x v="4"/>
    <s v="WILLIAM TSANG"/>
    <n v="2115"/>
    <s v="SEF"/>
    <s v="Supplier"/>
    <m/>
    <x v="137"/>
    <s v="CHING_MING_Supplier_Evaluation_May_2012.xlsx"/>
    <s v=".xlsx"/>
    <d v="2014-04-14T00:00:00"/>
    <s v="as\afok"/>
    <m/>
    <s v="2012"/>
    <x v="0"/>
    <x v="0"/>
    <x v="0"/>
    <x v="0"/>
    <m/>
    <m/>
    <m/>
    <m/>
    <n v="74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7"/>
  </r>
  <r>
    <n v="2182"/>
    <x v="32"/>
    <x v="32"/>
    <x v="28"/>
    <x v="4"/>
    <s v="WILLIAM TSANG"/>
    <n v="2125"/>
    <s v="SEF"/>
    <s v="Supplier"/>
    <m/>
    <x v="179"/>
    <s v="CHING MING Supplier Evaluation Form Apr 2013.xlsx"/>
    <s v=".xlsx"/>
    <d v="2014-04-14T00:00:00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17"/>
  </r>
  <r>
    <n v="2170"/>
    <x v="32"/>
    <x v="32"/>
    <x v="28"/>
    <x v="4"/>
    <s v="WILLIAM TSANG"/>
    <n v="2113"/>
    <s v="SIF"/>
    <s v="Supplier"/>
    <m/>
    <x v="180"/>
    <s v="Ching Ming_SIF2012_16Apr12.xlsx"/>
    <s v=".xlsx"/>
    <d v="2014-04-14T00:00:00"/>
    <s v="as\afok"/>
    <m/>
    <s v="2012"/>
    <x v="0"/>
    <x v="0"/>
    <x v="0"/>
    <x v="0"/>
    <m/>
    <m/>
    <m/>
    <m/>
    <m/>
    <n v="2012"/>
    <n v="96000000"/>
    <n v="88000000"/>
    <n v="80000000"/>
    <n v="70000000"/>
    <n v="65000000"/>
    <n v="0"/>
    <n v="0.34"/>
    <n v="0"/>
    <n v="0"/>
    <n v="0"/>
    <s v="CP Panel"/>
    <x v="0"/>
    <x v="0"/>
    <x v="1"/>
    <x v="3"/>
    <m/>
    <m/>
    <m/>
    <n v="1"/>
    <m/>
    <m/>
    <m/>
    <s v="CP"/>
    <m/>
    <m/>
    <x v="2"/>
    <x v="1"/>
    <m/>
    <x v="17"/>
  </r>
  <r>
    <n v="2181"/>
    <x v="32"/>
    <x v="32"/>
    <x v="28"/>
    <x v="4"/>
    <s v="WILLIAM TSANG"/>
    <n v="2124"/>
    <s v="SIF"/>
    <s v="Supplier"/>
    <m/>
    <x v="25"/>
    <s v="Ching Ming_SIF2013.xlsx"/>
    <s v=".xlsx"/>
    <d v="2014-04-14T00:00:00"/>
    <s v="as\afok"/>
    <m/>
    <s v="2013"/>
    <x v="0"/>
    <x v="0"/>
    <x v="0"/>
    <x v="0"/>
    <m/>
    <m/>
    <m/>
    <m/>
    <m/>
    <n v="2013"/>
    <n v="105000000"/>
    <n v="95000000"/>
    <n v="88000000"/>
    <n v="80000000"/>
    <n v="70000000"/>
    <n v="0"/>
    <n v="0.41"/>
    <n v="0.34"/>
    <n v="0"/>
    <n v="0"/>
    <s v="CP Panel"/>
    <x v="0"/>
    <x v="0"/>
    <x v="1"/>
    <x v="3"/>
    <m/>
    <m/>
    <m/>
    <n v="1"/>
    <m/>
    <m/>
    <m/>
    <s v="CP"/>
    <m/>
    <m/>
    <x v="2"/>
    <x v="1"/>
    <m/>
    <x v="17"/>
  </r>
  <r>
    <n v="2309"/>
    <x v="33"/>
    <x v="33"/>
    <x v="29"/>
    <x v="1"/>
    <s v="MAY LEE"/>
    <n v="2250"/>
    <s v="Contract: General Contract"/>
    <s v="Supplier"/>
    <m/>
    <x v="181"/>
    <s v="ChungFu_General Agreement_V7.pdf"/>
    <s v=".pdf"/>
    <d v="2014-04-16T00:00:00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x v="2"/>
    <x v="1"/>
    <m/>
    <x v="18"/>
  </r>
  <r>
    <n v="2312"/>
    <x v="33"/>
    <x v="33"/>
    <x v="29"/>
    <x v="1"/>
    <s v="MAY LEE"/>
    <n v="2253"/>
    <s v="Contract: Quality Appendix"/>
    <s v="Supplier"/>
    <m/>
    <x v="181"/>
    <s v="ChungFu_General Agreement_V7.pdf"/>
    <s v=".pdf"/>
    <d v="2014-04-16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x v="2"/>
    <x v="1"/>
    <m/>
    <x v="18"/>
  </r>
  <r>
    <n v="2311"/>
    <x v="33"/>
    <x v="33"/>
    <x v="29"/>
    <x v="1"/>
    <s v="MAY LEE"/>
    <n v="2252"/>
    <s v="Contract: Supply Chain Appendix"/>
    <s v="Supplier"/>
    <m/>
    <x v="181"/>
    <s v="ChungFu_General Agreement_V7.pdf"/>
    <s v=".pdf"/>
    <d v="2014-04-16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x v="2"/>
    <x v="1"/>
    <m/>
    <x v="18"/>
  </r>
  <r>
    <n v="2313"/>
    <x v="33"/>
    <x v="33"/>
    <x v="29"/>
    <x v="1"/>
    <s v="MAY LEE"/>
    <n v="2254"/>
    <s v="Declaration letter of group organization"/>
    <s v="Supplier"/>
    <m/>
    <x v="182"/>
    <s v="ChungFu_General Agreement_V7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8"/>
  </r>
  <r>
    <n v="2310"/>
    <x v="33"/>
    <x v="33"/>
    <x v="29"/>
    <x v="1"/>
    <s v="MAY LEE"/>
    <n v="2251"/>
    <s v="Environmental Declaration"/>
    <s v="Supplier"/>
    <m/>
    <x v="181"/>
    <s v="ChungFu_General Agreement_V7.pdf"/>
    <s v=".pdf"/>
    <d v="2014-04-16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8"/>
  </r>
  <r>
    <n v="2308"/>
    <x v="33"/>
    <x v="33"/>
    <x v="29"/>
    <x v="1"/>
    <s v="MAY LEE"/>
    <n v="2249"/>
    <s v="Responsible Purchasing Charter"/>
    <s v="Supplier"/>
    <m/>
    <x v="69"/>
    <s v="Chung_Fu_Responsible_Purchasing_Charter_09Aug12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8"/>
  </r>
  <r>
    <n v="2314"/>
    <x v="33"/>
    <x v="33"/>
    <x v="29"/>
    <x v="1"/>
    <s v="MAY LEE"/>
    <n v="2255"/>
    <s v="SEF"/>
    <s v="Supplier"/>
    <m/>
    <x v="183"/>
    <s v="Chung Fu_SEF_2012.xlsx"/>
    <s v=".xlsx"/>
    <d v="2014-04-16T00:00:00"/>
    <s v="as\afok"/>
    <m/>
    <s v="2012"/>
    <x v="0"/>
    <x v="0"/>
    <x v="0"/>
    <x v="0"/>
    <m/>
    <m/>
    <m/>
    <m/>
    <n v="72"/>
    <m/>
    <m/>
    <m/>
    <m/>
    <m/>
    <m/>
    <m/>
    <m/>
    <m/>
    <m/>
    <m/>
    <s v="CP Panel"/>
    <x v="0"/>
    <x v="0"/>
    <x v="1"/>
    <x v="1"/>
    <m/>
    <m/>
    <m/>
    <n v="1"/>
    <n v="1"/>
    <m/>
    <m/>
    <s v="CP"/>
    <m/>
    <m/>
    <x v="2"/>
    <x v="1"/>
    <m/>
    <x v="18"/>
  </r>
  <r>
    <n v="2307"/>
    <x v="33"/>
    <x v="33"/>
    <x v="29"/>
    <x v="1"/>
    <s v="MAY LEE"/>
    <n v="2248"/>
    <s v="SEF"/>
    <s v="Supplier"/>
    <m/>
    <x v="52"/>
    <s v="Chung Fu_SEF_2012-2.xlsx"/>
    <s v=".xlsx"/>
    <d v="2014-04-16T00:00:00"/>
    <s v="as\afok"/>
    <m/>
    <s v="2012"/>
    <x v="0"/>
    <x v="0"/>
    <x v="0"/>
    <x v="0"/>
    <m/>
    <m/>
    <m/>
    <m/>
    <n v="71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8"/>
  </r>
  <r>
    <n v="2306"/>
    <x v="33"/>
    <x v="33"/>
    <x v="29"/>
    <x v="1"/>
    <s v="MAY LEE"/>
    <n v="2247"/>
    <s v="SIF"/>
    <s v="Supplier"/>
    <m/>
    <x v="11"/>
    <s v="Chung Fu_SIF 2013.xlsx"/>
    <s v=".xlsx"/>
    <d v="2014-04-16T00:00:00"/>
    <s v="as\afok"/>
    <m/>
    <s v="2013"/>
    <x v="0"/>
    <x v="0"/>
    <x v="0"/>
    <x v="0"/>
    <m/>
    <m/>
    <m/>
    <m/>
    <m/>
    <n v="2013"/>
    <n v="1300000"/>
    <n v="1300000"/>
    <n v="1200000"/>
    <n v="1400000"/>
    <n v="1200000"/>
    <n v="15"/>
    <n v="13.4"/>
    <n v="14.4"/>
    <n v="14"/>
    <n v="17.8"/>
    <s v="CP Panel"/>
    <x v="0"/>
    <x v="0"/>
    <x v="1"/>
    <x v="1"/>
    <m/>
    <m/>
    <m/>
    <n v="1"/>
    <m/>
    <m/>
    <m/>
    <s v="CP"/>
    <m/>
    <m/>
    <x v="2"/>
    <x v="1"/>
    <m/>
    <x v="18"/>
  </r>
  <r>
    <n v="677"/>
    <x v="34"/>
    <x v="34"/>
    <x v="30"/>
    <x v="2"/>
    <s v="DENNIS LAM"/>
    <n v="660"/>
    <s v="Contract: General Contract"/>
    <s v="Supplier"/>
    <m/>
    <x v="184"/>
    <s v="Chung Mei_General Agreement_ind.10_2012-05-07.pdf"/>
    <s v=".pdf"/>
    <d v="2014-03-19T00:00:00"/>
    <s v="as\afok"/>
    <m/>
    <s v="FHA 00 016 ind.10"/>
    <x v="6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19"/>
  </r>
  <r>
    <n v="680"/>
    <x v="34"/>
    <x v="34"/>
    <x v="30"/>
    <x v="2"/>
    <s v="DENNIS LAM"/>
    <n v="663"/>
    <s v="Contract: Quality Appendix"/>
    <s v="Supplier"/>
    <m/>
    <x v="184"/>
    <s v="Chung Mei_General Agreement_ind.10_2012-05-07.pdf"/>
    <s v=".pdf"/>
    <d v="2014-03-19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x v="9"/>
    <x v="1"/>
    <m/>
    <x v="19"/>
  </r>
  <r>
    <n v="679"/>
    <x v="34"/>
    <x v="34"/>
    <x v="30"/>
    <x v="2"/>
    <s v="DENNIS LAM"/>
    <n v="662"/>
    <s v="Contract: Supply Chain Appendix"/>
    <s v="Supplier"/>
    <m/>
    <x v="184"/>
    <s v="Chung Mei_General Agreement_ind.10_2012-05-07.pdf"/>
    <s v=".pdf"/>
    <d v="2014-03-19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x v="9"/>
    <x v="1"/>
    <m/>
    <x v="19"/>
  </r>
  <r>
    <n v="681"/>
    <x v="34"/>
    <x v="34"/>
    <x v="30"/>
    <x v="2"/>
    <s v="DENNIS LAM"/>
    <n v="664"/>
    <s v="Declaration letter of group organization"/>
    <s v="Supplier"/>
    <m/>
    <x v="185"/>
    <s v="Chung Mei_General Agreement_ind.10_2012-05-07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9"/>
  </r>
  <r>
    <n v="678"/>
    <x v="34"/>
    <x v="34"/>
    <x v="30"/>
    <x v="2"/>
    <s v="DENNIS LAM"/>
    <n v="661"/>
    <s v="Environmental Declaration"/>
    <s v="Supplier"/>
    <m/>
    <x v="184"/>
    <s v="Chung Mei_General Agreement_ind.10_2012-05-07.pdf"/>
    <s v=".pdf"/>
    <d v="2014-03-19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9"/>
  </r>
  <r>
    <n v="675"/>
    <x v="34"/>
    <x v="34"/>
    <x v="30"/>
    <x v="2"/>
    <s v="DENNIS LAM"/>
    <n v="658"/>
    <s v="Environmental Declaration"/>
    <s v="Supplier"/>
    <m/>
    <x v="186"/>
    <s v="Chungmei_Env_Declaration_07Jun2010.xls"/>
    <s v=".xls"/>
    <d v="2014-03-19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9"/>
  </r>
  <r>
    <n v="676"/>
    <x v="34"/>
    <x v="34"/>
    <x v="30"/>
    <x v="2"/>
    <s v="DENNIS LAM"/>
    <n v="659"/>
    <s v="Exclusivity (EA)"/>
    <s v="Product / Project"/>
    <m/>
    <x v="184"/>
    <s v="Chung Mei_EA_Ice Cream maker_2012-05-07.pdf"/>
    <s v=".pdf"/>
    <d v="2014-03-19T00:00:00"/>
    <s v="as\afok"/>
    <m/>
    <m/>
    <x v="0"/>
    <x v="0"/>
    <x v="0"/>
    <x v="0"/>
    <s v="Ice Cream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9"/>
  </r>
  <r>
    <n v="674"/>
    <x v="34"/>
    <x v="34"/>
    <x v="30"/>
    <x v="2"/>
    <s v="DENNIS LAM"/>
    <n v="657"/>
    <s v="Exclusivity (EA)"/>
    <s v="Supplier"/>
    <m/>
    <x v="187"/>
    <s v="Exclusivity Summary - Chung Mei on 20130128.xlsx"/>
    <s v=".xlsx"/>
    <d v="2014-03-19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9"/>
  </r>
  <r>
    <n v="682"/>
    <x v="34"/>
    <x v="34"/>
    <x v="30"/>
    <x v="2"/>
    <s v="DENNIS LAM"/>
    <n v="665"/>
    <s v="Foodstuffs declaration"/>
    <s v="Supplier"/>
    <m/>
    <x v="188"/>
    <s v="Chung Mei FRD00069 ind.04 200906.pdf"/>
    <s v=".pdf"/>
    <d v="2014-03-19T00:00:00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9"/>
  </r>
  <r>
    <n v="672"/>
    <x v="34"/>
    <x v="34"/>
    <x v="30"/>
    <x v="2"/>
    <s v="DENNIS LAM"/>
    <n v="655"/>
    <s v="SEF"/>
    <s v="Supplier"/>
    <m/>
    <x v="189"/>
    <s v="SEF-Chung Mei 2013 Jun.xlsx"/>
    <s v=".xlsx"/>
    <d v="2014-03-19T00:00:00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9"/>
  </r>
  <r>
    <n v="673"/>
    <x v="34"/>
    <x v="34"/>
    <x v="30"/>
    <x v="2"/>
    <s v="DENNIS LAM"/>
    <n v="656"/>
    <s v="SIF"/>
    <s v="Supplier"/>
    <m/>
    <x v="190"/>
    <s v="Chung Mei - FHA6E502_EN - SIF 2013.xlsx"/>
    <s v=".xlsx"/>
    <d v="2014-03-19T00:00:00"/>
    <s v="as\afok"/>
    <m/>
    <s v="2013"/>
    <x v="0"/>
    <x v="0"/>
    <x v="0"/>
    <x v="0"/>
    <m/>
    <m/>
    <m/>
    <m/>
    <m/>
    <n v="2013"/>
    <n v="34500000"/>
    <n v="35100000"/>
    <n v="35200000"/>
    <n v="30199096"/>
    <n v="29209432"/>
    <n v="0.27"/>
    <n v="0.26"/>
    <n v="0.25"/>
    <n v="0.28999999999999998"/>
    <n v="0.3"/>
    <m/>
    <x v="0"/>
    <x v="0"/>
    <x v="0"/>
    <x v="0"/>
    <m/>
    <m/>
    <m/>
    <n v="1"/>
    <m/>
    <m/>
    <s v="FP"/>
    <m/>
    <s v="SP"/>
    <m/>
    <x v="9"/>
    <x v="1"/>
    <m/>
    <x v="19"/>
  </r>
  <r>
    <n v="683"/>
    <x v="34"/>
    <x v="34"/>
    <x v="30"/>
    <x v="2"/>
    <s v="DENNIS LAM"/>
    <n v="666"/>
    <s v="SPR"/>
    <s v="Supplier"/>
    <m/>
    <x v="191"/>
    <s v="Chung_Mei_SPR_2009.xlsx"/>
    <s v=".xlsx"/>
    <d v="2014-03-19T00:00:00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x v="9"/>
    <x v="1"/>
    <m/>
    <x v="19"/>
  </r>
  <r>
    <n v="2387"/>
    <x v="35"/>
    <x v="35"/>
    <x v="31"/>
    <x v="5"/>
    <s v="SHOT XU"/>
    <n v="2328"/>
    <s v="Exclusivity (EA)"/>
    <s v="Supplier"/>
    <m/>
    <x v="192"/>
    <s v="Chunju_Exclusivity Summary.xlsx"/>
    <s v=".xlsx"/>
    <d v="2014-04-17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5"/>
  </r>
  <r>
    <n v="2386"/>
    <x v="35"/>
    <x v="35"/>
    <x v="31"/>
    <x v="5"/>
    <s v="SHOT XU"/>
    <n v="2327"/>
    <s v="Exclusivity (EA)"/>
    <s v="Supplier"/>
    <m/>
    <x v="192"/>
    <s v="Chunju_Exclusivity Agreement_MS552501_18Jan2013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5"/>
  </r>
  <r>
    <n v="2385"/>
    <x v="35"/>
    <x v="35"/>
    <x v="31"/>
    <x v="5"/>
    <s v="SHOT XU"/>
    <n v="2326"/>
    <s v="IP (Intellectual Property)"/>
    <s v="Supplier"/>
    <m/>
    <x v="192"/>
    <s v="Chunju_IP_18Jan2013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5"/>
  </r>
  <r>
    <n v="2384"/>
    <x v="35"/>
    <x v="35"/>
    <x v="31"/>
    <x v="5"/>
    <s v="SHOT XU"/>
    <n v="2325"/>
    <s v="Responsible Purchasing Charter"/>
    <s v="Supplier"/>
    <m/>
    <x v="193"/>
    <s v="Chunju_Responsible Purchasing Charter_20140301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5"/>
  </r>
  <r>
    <n v="2383"/>
    <x v="35"/>
    <x v="35"/>
    <x v="31"/>
    <x v="5"/>
    <s v="SHOT XU"/>
    <n v="2324"/>
    <s v="SIF"/>
    <s v="Supplier"/>
    <m/>
    <x v="194"/>
    <s v="Chunju_SIF_20140217.xls"/>
    <s v=".xls"/>
    <d v="2014-04-17T00:00:00"/>
    <s v="as\afok"/>
    <m/>
    <m/>
    <x v="0"/>
    <x v="0"/>
    <x v="0"/>
    <x v="0"/>
    <m/>
    <m/>
    <m/>
    <m/>
    <m/>
    <n v="2014"/>
    <n v="250000000"/>
    <n v="160000000"/>
    <n v="98000000"/>
    <n v="96000000"/>
    <n v="86000000"/>
    <n v="0.5"/>
    <n v="0.2"/>
    <m/>
    <m/>
    <m/>
    <m/>
    <x v="0"/>
    <x v="0"/>
    <x v="0"/>
    <x v="0"/>
    <m/>
    <m/>
    <m/>
    <n v="0"/>
    <m/>
    <m/>
    <s v="FP"/>
    <m/>
    <s v="SP"/>
    <m/>
    <x v="9"/>
    <x v="1"/>
    <m/>
    <x v="5"/>
  </r>
  <r>
    <n v="2388"/>
    <x v="35"/>
    <x v="35"/>
    <x v="31"/>
    <x v="5"/>
    <s v="SHOT XU"/>
    <n v="2329"/>
    <s v="SIF"/>
    <s v="Supplier"/>
    <m/>
    <x v="195"/>
    <s v="CHUNJI_SIF_2012Sep12.xls"/>
    <s v=".xls"/>
    <d v="2014-04-17T00:00:00"/>
    <s v="as\afok"/>
    <m/>
    <s v="2012"/>
    <x v="0"/>
    <x v="0"/>
    <x v="0"/>
    <x v="0"/>
    <m/>
    <m/>
    <m/>
    <m/>
    <m/>
    <n v="2012"/>
    <n v="130000000"/>
    <n v="110000000"/>
    <n v="96000000"/>
    <n v="86000000"/>
    <n v="90000000"/>
    <m/>
    <m/>
    <m/>
    <m/>
    <m/>
    <m/>
    <x v="0"/>
    <x v="0"/>
    <x v="0"/>
    <x v="0"/>
    <m/>
    <m/>
    <m/>
    <n v="0"/>
    <m/>
    <n v="1"/>
    <s v="FP"/>
    <m/>
    <s v="SP"/>
    <m/>
    <x v="9"/>
    <x v="1"/>
    <m/>
    <x v="5"/>
  </r>
  <r>
    <n v="1665"/>
    <x v="36"/>
    <x v="36"/>
    <x v="32"/>
    <x v="5"/>
    <s v="JOHN YAN"/>
    <n v="1621"/>
    <s v="Contract: General Contract"/>
    <s v="Supplier"/>
    <m/>
    <x v="175"/>
    <s v="Cinderson_General Agreement_26Mar12(final).pdf"/>
    <s v=".pdf"/>
    <d v="2014-04-07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5"/>
  </r>
  <r>
    <n v="1662"/>
    <x v="36"/>
    <x v="36"/>
    <x v="32"/>
    <x v="5"/>
    <s v="JOHN YAN"/>
    <n v="1623"/>
    <s v="Contract: Quality Appendix"/>
    <s v="Supplier"/>
    <m/>
    <x v="196"/>
    <s v="Cinderson_General Agreement_26Mar12(final).pdf"/>
    <s v=".pdf"/>
    <d v="2014-04-07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5"/>
  </r>
  <r>
    <n v="1661"/>
    <x v="36"/>
    <x v="36"/>
    <x v="32"/>
    <x v="5"/>
    <s v="JOHN YAN"/>
    <n v="1622"/>
    <s v="Contract: Supply Chain Appendix"/>
    <s v="Supplier"/>
    <m/>
    <x v="175"/>
    <s v="Cinderson_General Agreement_26Mar12(final).pdf"/>
    <s v=".pdf"/>
    <d v="2014-04-07T00:00:00"/>
    <s v="as\afok"/>
    <m/>
    <m/>
    <x v="0"/>
    <x v="6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5"/>
  </r>
  <r>
    <n v="1663"/>
    <x v="36"/>
    <x v="36"/>
    <x v="32"/>
    <x v="5"/>
    <s v="JOHN YAN"/>
    <n v="1624"/>
    <s v="Declaration letter of group organization"/>
    <s v="Supplier"/>
    <m/>
    <x v="121"/>
    <s v="Cinderson_General Agreement_26Mar12(final).pdf"/>
    <s v=".pdf"/>
    <d v="2014-04-07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5"/>
  </r>
  <r>
    <n v="1659"/>
    <x v="36"/>
    <x v="36"/>
    <x v="32"/>
    <x v="5"/>
    <s v="JOHN YAN"/>
    <n v="1620"/>
    <s v="Environmental Declaration"/>
    <s v="Supplier"/>
    <m/>
    <x v="175"/>
    <s v="Cinderson_Env Declaration_26Mar2012.pdf"/>
    <s v=".pdf"/>
    <d v="2014-04-07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5"/>
  </r>
  <r>
    <n v="1664"/>
    <x v="36"/>
    <x v="36"/>
    <x v="32"/>
    <x v="5"/>
    <s v="JOHN YAN"/>
    <n v="1625"/>
    <s v="ISO 14001"/>
    <s v="Supplier"/>
    <d v="2011-01-13T00:00:00"/>
    <x v="197"/>
    <s v="Cinderson_ISO14001_04Jun2010_Eng.jpg"/>
    <s v=".jpg"/>
    <d v="2014-04-07T00:00:00"/>
    <s v="as\afok"/>
    <s v="English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5"/>
  </r>
  <r>
    <n v="1667"/>
    <x v="36"/>
    <x v="36"/>
    <x v="32"/>
    <x v="5"/>
    <s v="JOHN YAN"/>
    <n v="1626"/>
    <s v="ISO 14001"/>
    <s v="Supplier"/>
    <d v="2013-01-13T00:00:00"/>
    <x v="197"/>
    <s v="Cinderson_ISO14001_04Jun2010_Ch.jpg"/>
    <s v=".jpg"/>
    <d v="2014-04-07T00:00:00"/>
    <s v="as\afok"/>
    <s v="Chinese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5"/>
  </r>
  <r>
    <n v="1668"/>
    <x v="36"/>
    <x v="36"/>
    <x v="32"/>
    <x v="5"/>
    <s v="JOHN YAN"/>
    <n v="1627"/>
    <s v="Responsible Purchasing Charter"/>
    <s v="Supplier"/>
    <m/>
    <x v="19"/>
    <s v="Cinderson_Responsible Purchaser Charter_9Aug2012.pdf"/>
    <s v=".pdf"/>
    <d v="2014-04-07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5"/>
  </r>
  <r>
    <n v="1671"/>
    <x v="36"/>
    <x v="36"/>
    <x v="32"/>
    <x v="5"/>
    <s v="JOHN YAN"/>
    <n v="1630"/>
    <s v="SEF"/>
    <s v="Supplier"/>
    <m/>
    <x v="198"/>
    <s v="Cinderson _2nd SEF_ Dec 2011.xlsx"/>
    <s v=".xlsx"/>
    <d v="2014-04-07T00:00:00"/>
    <s v="as\afok"/>
    <m/>
    <s v="2011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x v="2"/>
    <x v="1"/>
    <m/>
    <x v="5"/>
  </r>
  <r>
    <n v="1670"/>
    <x v="36"/>
    <x v="36"/>
    <x v="32"/>
    <x v="5"/>
    <s v="JOHN YAN"/>
    <n v="1629"/>
    <s v="SIF"/>
    <s v="Supplier"/>
    <m/>
    <x v="199"/>
    <s v="Cinderson_SIF_18Apr2012.xls"/>
    <s v=".xls"/>
    <d v="2014-04-07T00:00:00"/>
    <s v="as\afok"/>
    <m/>
    <s v="2012"/>
    <x v="0"/>
    <x v="0"/>
    <x v="0"/>
    <x v="0"/>
    <m/>
    <m/>
    <m/>
    <m/>
    <m/>
    <n v="2012"/>
    <n v="110000000"/>
    <n v="100000000"/>
    <n v="95000000"/>
    <n v="89500000"/>
    <n v="73500000"/>
    <n v="8"/>
    <n v="5"/>
    <n v="3.5"/>
    <n v="2.7"/>
    <n v="1.9"/>
    <s v="CP Panel"/>
    <x v="0"/>
    <x v="0"/>
    <x v="1"/>
    <x v="3"/>
    <m/>
    <m/>
    <m/>
    <n v="1"/>
    <m/>
    <m/>
    <m/>
    <s v="CP"/>
    <m/>
    <m/>
    <x v="2"/>
    <x v="1"/>
    <m/>
    <x v="5"/>
  </r>
  <r>
    <n v="1669"/>
    <x v="36"/>
    <x v="36"/>
    <x v="32"/>
    <x v="5"/>
    <s v="JOHN YAN"/>
    <n v="1628"/>
    <s v="SPR"/>
    <s v="Supplier"/>
    <m/>
    <x v="47"/>
    <s v="Cinderson_SPR_201207.pptx"/>
    <s v=".pptx"/>
    <d v="2014-04-07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5"/>
  </r>
  <r>
    <n v="1666"/>
    <x v="36"/>
    <x v="36"/>
    <x v="32"/>
    <x v="5"/>
    <s v="JOHN YAN"/>
    <n v="1619"/>
    <s v="SPR"/>
    <s v="Supplier"/>
    <m/>
    <x v="117"/>
    <s v="Cinderson_SPR_2013.pptx"/>
    <s v=".pptx"/>
    <d v="2014-04-07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5"/>
  </r>
  <r>
    <n v="996"/>
    <x v="37"/>
    <x v="37"/>
    <x v="33"/>
    <x v="1"/>
    <s v="EVA LAI"/>
    <n v="973"/>
    <s v="ISO 14001"/>
    <s v="Supplier"/>
    <d v="2011-03-29T00:00:00"/>
    <x v="200"/>
    <s v="COILS_ISO14001_23Mar2010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8"/>
  </r>
  <r>
    <n v="998"/>
    <x v="37"/>
    <x v="37"/>
    <x v="33"/>
    <x v="1"/>
    <s v="EVA LAI"/>
    <n v="975"/>
    <s v="Responsible Purchasing Charter"/>
    <s v="Supplier"/>
    <m/>
    <x v="69"/>
    <s v="Coils_Responsible_Purchasing_Charter_09Aug12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8"/>
  </r>
  <r>
    <n v="1000"/>
    <x v="37"/>
    <x v="37"/>
    <x v="33"/>
    <x v="1"/>
    <s v="EVA LAI"/>
    <n v="977"/>
    <s v="SEF"/>
    <s v="Supplier"/>
    <m/>
    <x v="30"/>
    <s v="Coils_SEF_2012.xlsx"/>
    <s v=".xlsx"/>
    <d v="2014-03-24T00:00:00"/>
    <s v="as\afok"/>
    <m/>
    <s v="2012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8"/>
  </r>
  <r>
    <n v="997"/>
    <x v="37"/>
    <x v="37"/>
    <x v="33"/>
    <x v="1"/>
    <s v="EVA LAI"/>
    <n v="974"/>
    <s v="SEF"/>
    <s v="Supplier"/>
    <m/>
    <x v="89"/>
    <s v="Coils_SEF_2012-2.xlsx"/>
    <s v=".xlsx"/>
    <d v="2014-03-24T00:00:00"/>
    <s v="as\afok"/>
    <m/>
    <s v="2012"/>
    <x v="0"/>
    <x v="0"/>
    <x v="0"/>
    <x v="0"/>
    <m/>
    <m/>
    <m/>
    <m/>
    <n v="73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8"/>
  </r>
  <r>
    <n v="1001"/>
    <x v="37"/>
    <x v="37"/>
    <x v="33"/>
    <x v="1"/>
    <s v="EVA LAI"/>
    <n v="978"/>
    <s v="SIF"/>
    <s v="Supplier"/>
    <m/>
    <x v="169"/>
    <s v="COILS_SIF2012_6Mar12.xls"/>
    <s v=".xls"/>
    <d v="2014-03-24T00:00:00"/>
    <s v="as\afok"/>
    <m/>
    <s v="2012"/>
    <x v="0"/>
    <x v="0"/>
    <x v="0"/>
    <x v="0"/>
    <m/>
    <m/>
    <m/>
    <m/>
    <m/>
    <n v="2012"/>
    <n v="68000000"/>
    <n v="61600000"/>
    <n v="51800000"/>
    <n v="59300000"/>
    <n v="77400000"/>
    <n v="0.03"/>
    <n v="3.5999999999999997E-2"/>
    <n v="0.02"/>
    <m/>
    <m/>
    <s v="CP Panel"/>
    <x v="0"/>
    <x v="0"/>
    <x v="1"/>
    <x v="3"/>
    <m/>
    <m/>
    <m/>
    <n v="0"/>
    <m/>
    <n v="1"/>
    <m/>
    <s v="CP"/>
    <m/>
    <m/>
    <x v="2"/>
    <x v="1"/>
    <m/>
    <x v="8"/>
  </r>
  <r>
    <n v="999"/>
    <x v="37"/>
    <x v="37"/>
    <x v="33"/>
    <x v="1"/>
    <s v="EVA LAI"/>
    <n v="976"/>
    <s v="SPR"/>
    <s v="Supplier"/>
    <m/>
    <x v="201"/>
    <s v="Coils_SPR_Dec 2012.pptx"/>
    <s v=".pptx"/>
    <d v="2014-03-24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8"/>
  </r>
  <r>
    <n v="1119"/>
    <x v="38"/>
    <x v="38"/>
    <x v="34"/>
    <x v="0"/>
    <s v="FELICITY YU"/>
    <n v="1095"/>
    <s v="Contract: General Contract"/>
    <s v="Supplier"/>
    <m/>
    <x v="45"/>
    <s v="Coway_General Agreement_24Aug12.pdf"/>
    <s v=".pdf"/>
    <d v="2014-03-25T00:00:00"/>
    <s v="as\afok"/>
    <m/>
    <s v="FHA 00 016 ind.11"/>
    <x v="7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4"/>
  </r>
  <r>
    <n v="1121"/>
    <x v="38"/>
    <x v="38"/>
    <x v="34"/>
    <x v="0"/>
    <s v="FELICITY YU"/>
    <n v="1097"/>
    <s v="Contract: Quality Appendix"/>
    <s v="Supplier"/>
    <m/>
    <x v="45"/>
    <s v="Coway_General Agreement_24Aug12.pdf"/>
    <s v=".pdf"/>
    <d v="2014-03-25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x v="9"/>
    <x v="1"/>
    <m/>
    <x v="4"/>
  </r>
  <r>
    <n v="1120"/>
    <x v="38"/>
    <x v="38"/>
    <x v="34"/>
    <x v="0"/>
    <s v="FELICITY YU"/>
    <n v="1096"/>
    <s v="Contract: Supply Chain Appendix"/>
    <s v="Supplier"/>
    <m/>
    <x v="45"/>
    <s v="Coway_General Agreement_24Aug12.pdf"/>
    <s v=".pdf"/>
    <d v="2014-03-25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x v="9"/>
    <x v="1"/>
    <m/>
    <x v="4"/>
  </r>
  <r>
    <n v="1122"/>
    <x v="38"/>
    <x v="38"/>
    <x v="34"/>
    <x v="0"/>
    <s v="FELICITY YU"/>
    <n v="1098"/>
    <s v="Environmental Declaration"/>
    <s v="Supplier"/>
    <m/>
    <x v="45"/>
    <s v="Coway_General Agreement_24Aug12.pdf"/>
    <s v=".pdf"/>
    <d v="2014-03-25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4"/>
  </r>
  <r>
    <n v="1125"/>
    <x v="38"/>
    <x v="38"/>
    <x v="34"/>
    <x v="0"/>
    <s v="FELICITY YU"/>
    <n v="1101"/>
    <s v="Exclusivity (EA)"/>
    <s v="Supplier"/>
    <m/>
    <x v="45"/>
    <s v="Coway_General Agreement_24Aug12.pdf"/>
    <s v=".pdf"/>
    <d v="2014-03-25T00:00:00"/>
    <s v="as\afok"/>
    <m/>
    <s v="FRD 6E 030 ind,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4"/>
  </r>
  <r>
    <n v="1124"/>
    <x v="38"/>
    <x v="38"/>
    <x v="34"/>
    <x v="0"/>
    <s v="FELICITY YU"/>
    <n v="1100"/>
    <s v="IP (Intellectual Property)"/>
    <s v="Supplier"/>
    <m/>
    <x v="45"/>
    <s v="Coway_General Agreement_24Aug12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4"/>
  </r>
  <r>
    <n v="1123"/>
    <x v="38"/>
    <x v="38"/>
    <x v="34"/>
    <x v="0"/>
    <s v="FELICITY YU"/>
    <n v="1099"/>
    <s v="LOC (Letter of Confidentiality)"/>
    <s v="Supplier"/>
    <m/>
    <x v="45"/>
    <s v="Coway_General Agreement_24Aug12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4"/>
  </r>
  <r>
    <n v="1118"/>
    <x v="38"/>
    <x v="38"/>
    <x v="34"/>
    <x v="0"/>
    <s v="FELICITY YU"/>
    <n v="1094"/>
    <s v="SEF"/>
    <s v="Supplier"/>
    <m/>
    <x v="82"/>
    <s v="SEF_Coway_20120830.xlsx"/>
    <s v=".xlsx"/>
    <d v="2014-03-25T00:00:00"/>
    <s v="as\afok"/>
    <m/>
    <s v="2012"/>
    <x v="0"/>
    <x v="0"/>
    <x v="0"/>
    <x v="0"/>
    <m/>
    <m/>
    <m/>
    <m/>
    <n v="69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4"/>
  </r>
  <r>
    <n v="1116"/>
    <x v="38"/>
    <x v="38"/>
    <x v="34"/>
    <x v="0"/>
    <s v="FELICITY YU"/>
    <n v="1092"/>
    <s v="SEF"/>
    <s v="Supplier"/>
    <m/>
    <x v="202"/>
    <s v="SEF Coway 20130809.xlsx"/>
    <s v=".xlsx"/>
    <d v="2014-03-25T00:00:00"/>
    <s v="as\afok"/>
    <m/>
    <s v="2013"/>
    <x v="0"/>
    <x v="0"/>
    <x v="0"/>
    <x v="0"/>
    <m/>
    <m/>
    <m/>
    <m/>
    <n v="37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4"/>
  </r>
  <r>
    <n v="1117"/>
    <x v="38"/>
    <x v="38"/>
    <x v="34"/>
    <x v="0"/>
    <s v="FELICITY YU"/>
    <n v="1093"/>
    <s v="SIF"/>
    <s v="Supplier"/>
    <m/>
    <x v="203"/>
    <s v="Coway_SIF 2013.xls"/>
    <s v=".xls"/>
    <d v="2014-03-25T00:00:00"/>
    <s v="as\afok"/>
    <m/>
    <s v="2013"/>
    <x v="0"/>
    <x v="0"/>
    <x v="0"/>
    <x v="0"/>
    <m/>
    <m/>
    <m/>
    <m/>
    <m/>
    <n v="2013"/>
    <n v="200000000"/>
    <n v="180000000"/>
    <n v="160000000"/>
    <n v="150000000"/>
    <n v="140000000"/>
    <m/>
    <m/>
    <m/>
    <m/>
    <m/>
    <m/>
    <x v="0"/>
    <x v="0"/>
    <x v="0"/>
    <x v="0"/>
    <m/>
    <m/>
    <m/>
    <n v="1"/>
    <m/>
    <m/>
    <s v="FP"/>
    <m/>
    <s v="SP"/>
    <m/>
    <x v="9"/>
    <x v="1"/>
    <m/>
    <x v="4"/>
  </r>
  <r>
    <n v="1126"/>
    <x v="38"/>
    <x v="38"/>
    <x v="34"/>
    <x v="0"/>
    <s v="FELICITY YU"/>
    <n v="1102"/>
    <s v="SIF"/>
    <s v="Supplier"/>
    <m/>
    <x v="204"/>
    <s v="Coway - SIF2012.pdf"/>
    <s v=".pdf"/>
    <d v="2014-03-25T00:00:00"/>
    <s v="as\afok"/>
    <m/>
    <s v="2012"/>
    <x v="0"/>
    <x v="0"/>
    <x v="0"/>
    <x v="0"/>
    <m/>
    <m/>
    <m/>
    <m/>
    <m/>
    <n v="2012"/>
    <n v="150000000"/>
    <n v="140000000"/>
    <n v="130000000"/>
    <n v="125000000"/>
    <n v="100000000"/>
    <m/>
    <m/>
    <m/>
    <m/>
    <m/>
    <m/>
    <x v="0"/>
    <x v="0"/>
    <x v="0"/>
    <x v="0"/>
    <m/>
    <m/>
    <m/>
    <n v="1"/>
    <n v="1"/>
    <m/>
    <s v="FP"/>
    <m/>
    <s v="SP"/>
    <m/>
    <x v="9"/>
    <x v="1"/>
    <m/>
    <x v="4"/>
  </r>
  <r>
    <n v="1561"/>
    <x v="39"/>
    <x v="39"/>
    <x v="35"/>
    <x v="3"/>
    <s v="JIMMY HO"/>
    <n v="1522"/>
    <s v="Contract: General Contract"/>
    <s v="Supplier"/>
    <m/>
    <x v="205"/>
    <s v="Crastal_General Agreement_2012-08-23.pdf"/>
    <s v=".pdf"/>
    <d v="2014-04-04T00:00:00"/>
    <s v="as\afok"/>
    <m/>
    <s v="FHA 00 016 ind.11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x v="4"/>
    <x v="1"/>
    <m/>
    <x v="20"/>
  </r>
  <r>
    <n v="1586"/>
    <x v="39"/>
    <x v="39"/>
    <x v="35"/>
    <x v="3"/>
    <s v="JIMMY HO"/>
    <n v="1547"/>
    <s v="Contract: General Contract"/>
    <s v="Supplier"/>
    <m/>
    <x v="206"/>
    <s v="Crastal FHA00016 ind.07 20080117.pdf"/>
    <s v=".pdf"/>
    <d v="2014-04-04T00:00:00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m/>
    <s v="SP"/>
    <s v="MOULD"/>
    <x v="4"/>
    <x v="1"/>
    <m/>
    <x v="20"/>
  </r>
  <r>
    <n v="1556"/>
    <x v="39"/>
    <x v="39"/>
    <x v="35"/>
    <x v="3"/>
    <s v="JIMMY HO"/>
    <n v="1517"/>
    <s v="Contract: General Contract"/>
    <s v="Supplier"/>
    <m/>
    <x v="207"/>
    <s v="Crastal General Agreement - Addendum 1 23Jul10.pdf"/>
    <s v=".pdf"/>
    <d v="2014-04-04T00:00:00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x v="4"/>
    <x v="1"/>
    <m/>
    <x v="20"/>
  </r>
  <r>
    <n v="1564"/>
    <x v="39"/>
    <x v="39"/>
    <x v="35"/>
    <x v="3"/>
    <s v="JIMMY HO"/>
    <n v="1525"/>
    <s v="Contract: Quality Appendix"/>
    <s v="Supplier"/>
    <m/>
    <x v="69"/>
    <s v="Crastal_General Agreement_2012-08-23.pdf"/>
    <s v=".pdf"/>
    <d v="2014-04-04T00:00:00"/>
    <s v="as\afok"/>
    <m/>
    <m/>
    <x v="0"/>
    <x v="0"/>
    <x v="0"/>
    <x v="6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x v="4"/>
    <x v="1"/>
    <m/>
    <x v="20"/>
  </r>
  <r>
    <n v="1563"/>
    <x v="39"/>
    <x v="39"/>
    <x v="35"/>
    <x v="3"/>
    <s v="JIMMY HO"/>
    <n v="1524"/>
    <s v="Contract: Supply Chain Appendix"/>
    <s v="Supplier"/>
    <m/>
    <x v="69"/>
    <s v="Crastal_General Agreement_2012-08-23.pdf"/>
    <s v=".pdf"/>
    <d v="2014-04-04T00:00:00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x v="4"/>
    <x v="1"/>
    <m/>
    <x v="20"/>
  </r>
  <r>
    <n v="1565"/>
    <x v="39"/>
    <x v="39"/>
    <x v="35"/>
    <x v="3"/>
    <s v="JIMMY HO"/>
    <n v="1526"/>
    <s v="Declaration letter of group organization"/>
    <s v="Supplier"/>
    <m/>
    <x v="51"/>
    <s v="Crastal_General Agreement_2012-08-23.pdf"/>
    <s v=".pdf"/>
    <d v="2014-04-0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62"/>
    <x v="39"/>
    <x v="39"/>
    <x v="35"/>
    <x v="3"/>
    <s v="JIMMY HO"/>
    <n v="1523"/>
    <s v="Environmental Declaration"/>
    <s v="Supplier"/>
    <m/>
    <x v="208"/>
    <s v="Crastal_General Agreement_2012-08-23.pdf"/>
    <s v=".pdf"/>
    <d v="2014-04-04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82"/>
    <x v="39"/>
    <x v="39"/>
    <x v="35"/>
    <x v="3"/>
    <s v="JIMMY HO"/>
    <n v="1543"/>
    <s v="Exclusivity (EA)"/>
    <s v="Product / Project"/>
    <m/>
    <x v="209"/>
    <s v="Crastal - Exclusivity Agreement (Classique Mechnaical 2S Toaster) 22Mar11.pdf"/>
    <s v=".pdf"/>
    <d v="2014-04-04T00:00:00"/>
    <s v="as\afok"/>
    <m/>
    <m/>
    <x v="0"/>
    <x v="0"/>
    <x v="0"/>
    <x v="0"/>
    <s v="Classique Mechnaical 2S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83"/>
    <x v="39"/>
    <x v="39"/>
    <x v="35"/>
    <x v="3"/>
    <s v="JIMMY HO"/>
    <n v="1544"/>
    <s v="Exclusivity (EA)"/>
    <s v="Product / Project"/>
    <m/>
    <x v="210"/>
    <s v="Crastal - Exclusivity Agreement (Rowneta LS) 7 May10.pdf"/>
    <s v=".pdf"/>
    <d v="2014-04-04T00:00:00"/>
    <s v="as\afok"/>
    <m/>
    <m/>
    <x v="0"/>
    <x v="0"/>
    <x v="0"/>
    <x v="0"/>
    <s v="Rowneta LS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80"/>
    <x v="39"/>
    <x v="39"/>
    <x v="35"/>
    <x v="3"/>
    <s v="JIMMY HO"/>
    <n v="1541"/>
    <s v="Exclusivity (EA)"/>
    <s v="Product / Project"/>
    <m/>
    <x v="211"/>
    <s v="Crastal - Exclusivity Agreement (Avanti Full metal) 27Jul10.pdf"/>
    <s v=".pdf"/>
    <d v="2014-04-04T00:00:00"/>
    <s v="as\afok"/>
    <m/>
    <m/>
    <x v="0"/>
    <x v="0"/>
    <x v="0"/>
    <x v="0"/>
    <s v="Avanti Full metal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84"/>
    <x v="39"/>
    <x v="39"/>
    <x v="35"/>
    <x v="3"/>
    <s v="JIMMY HO"/>
    <n v="1545"/>
    <s v="Exclusivity (EA)"/>
    <s v="Product / Project"/>
    <m/>
    <x v="209"/>
    <s v="Crastal - Exclusivity Agreement (Classoque Mechanical Kettle) 22Mar11.pdf"/>
    <s v=".pdf"/>
    <d v="2014-04-04T00:00:00"/>
    <s v="as\afok"/>
    <m/>
    <m/>
    <x v="0"/>
    <x v="0"/>
    <x v="0"/>
    <x v="0"/>
    <s v="Classoque Mechanical Kettl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67"/>
    <x v="39"/>
    <x v="39"/>
    <x v="35"/>
    <x v="3"/>
    <s v="JIMMY HO"/>
    <n v="1528"/>
    <s v="Exclusivity (EA)"/>
    <s v="Product / Project"/>
    <m/>
    <x v="212"/>
    <s v="Crastal_EA_Pittsburg Kettle (Plastic)_20110617.pdf"/>
    <s v=".pdf"/>
    <d v="2014-04-04T00:00:00"/>
    <s v="as\afok"/>
    <m/>
    <m/>
    <x v="0"/>
    <x v="0"/>
    <x v="0"/>
    <x v="0"/>
    <s v="Pittsburg Kettle (Plastic)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81"/>
    <x v="39"/>
    <x v="39"/>
    <x v="35"/>
    <x v="3"/>
    <s v="JIMMY HO"/>
    <n v="1542"/>
    <s v="Exclusivity (EA)"/>
    <s v="Product / Project"/>
    <m/>
    <x v="209"/>
    <s v="Crastal - IP Agreement (Classique Mechanical 4S Toaster) 22May10.pdf"/>
    <s v=".pdf"/>
    <d v="2014-04-04T00:00:00"/>
    <s v="as\afok"/>
    <m/>
    <m/>
    <x v="0"/>
    <x v="0"/>
    <x v="0"/>
    <x v="0"/>
    <s v="Classique Mechnaical 4S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68"/>
    <x v="39"/>
    <x v="39"/>
    <x v="35"/>
    <x v="3"/>
    <s v="JIMMY HO"/>
    <n v="1529"/>
    <s v="Exclusivity (EA)"/>
    <s v="Product / Project"/>
    <m/>
    <x v="212"/>
    <s v="Crastal_EA_Performa Toaster_20110617.pdf"/>
    <s v=".pdf"/>
    <d v="2014-04-04T00:00:00"/>
    <s v="as\afok"/>
    <m/>
    <m/>
    <x v="0"/>
    <x v="0"/>
    <x v="0"/>
    <x v="0"/>
    <s v="Performa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66"/>
    <x v="39"/>
    <x v="39"/>
    <x v="35"/>
    <x v="3"/>
    <s v="JIMMY HO"/>
    <n v="1527"/>
    <s v="Exclusivity (EA)"/>
    <s v="Product / Project"/>
    <m/>
    <x v="212"/>
    <s v="Crastal_EA_Pittsburg Kettle (SS)_20110617.pdf"/>
    <s v=".pdf"/>
    <d v="2014-04-04T00:00:00"/>
    <s v="as\afok"/>
    <m/>
    <m/>
    <x v="0"/>
    <x v="0"/>
    <x v="0"/>
    <x v="0"/>
    <s v="Pittsburg Kettle (SS)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60"/>
    <x v="39"/>
    <x v="39"/>
    <x v="35"/>
    <x v="3"/>
    <s v="JIMMY HO"/>
    <n v="1521"/>
    <s v="Exclusivity (EA)"/>
    <s v="Supplier"/>
    <m/>
    <x v="213"/>
    <s v="CRASTAL -  WORLDWIDE EXCLUSIVITY 20Sep10.XLS"/>
    <s v=".xls"/>
    <d v="2014-04-0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70"/>
    <x v="39"/>
    <x v="39"/>
    <x v="35"/>
    <x v="3"/>
    <s v="JIMMY HO"/>
    <n v="1531"/>
    <s v="Exclusivity (EA)"/>
    <s v="Product / Project"/>
    <m/>
    <x v="212"/>
    <s v="Crastal_EA_Classique Set (Electronic)_20110617.pdf"/>
    <s v=".pdf"/>
    <d v="2014-04-04T00:00:00"/>
    <s v="as\afok"/>
    <m/>
    <m/>
    <x v="0"/>
    <x v="0"/>
    <x v="0"/>
    <x v="0"/>
    <s v="Classique Set (Electronic)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69"/>
    <x v="39"/>
    <x v="39"/>
    <x v="35"/>
    <x v="3"/>
    <s v="JIMMY HO"/>
    <n v="1530"/>
    <s v="Exclusivity (EA)"/>
    <s v="Product / Project"/>
    <m/>
    <x v="212"/>
    <s v="Crastal_EA_Classique Set (Mechanical)_20110617.pdf"/>
    <s v=".pdf"/>
    <d v="2014-04-04T00:00:00"/>
    <s v="as\afok"/>
    <m/>
    <m/>
    <x v="0"/>
    <x v="0"/>
    <x v="0"/>
    <x v="0"/>
    <s v="Classique Set (Mechanical)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71"/>
    <x v="39"/>
    <x v="39"/>
    <x v="35"/>
    <x v="3"/>
    <s v="JIMMY HO"/>
    <n v="1532"/>
    <s v="Exclusivity (EA)"/>
    <s v="Product / Project"/>
    <m/>
    <x v="212"/>
    <s v="Crastal_EA_Brunch LS Toaster_20110617.pdf"/>
    <s v=".pdf"/>
    <d v="2014-04-04T00:00:00"/>
    <s v="as\afok"/>
    <m/>
    <m/>
    <x v="0"/>
    <x v="0"/>
    <x v="0"/>
    <x v="0"/>
    <s v="Brunch LS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72"/>
    <x v="39"/>
    <x v="39"/>
    <x v="35"/>
    <x v="3"/>
    <s v="JIMMY HO"/>
    <n v="1533"/>
    <s v="Exclusivity (EA)"/>
    <s v="Product / Project"/>
    <m/>
    <x v="212"/>
    <s v="Crastal_EA_Avanti Toaster_20110617.pdf"/>
    <s v=".pdf"/>
    <d v="2014-04-04T00:00:00"/>
    <s v="as\afok"/>
    <m/>
    <m/>
    <x v="0"/>
    <x v="0"/>
    <x v="0"/>
    <x v="0"/>
    <s v="Avanti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73"/>
    <x v="39"/>
    <x v="39"/>
    <x v="35"/>
    <x v="3"/>
    <s v="JIMMY HO"/>
    <n v="1534"/>
    <s v="Exclusivity (EA)"/>
    <s v="Product / Project"/>
    <m/>
    <x v="212"/>
    <s v="Crastal_EA_SAXE Kettle_20110617.pdf"/>
    <s v=".pdf"/>
    <d v="2014-04-04T00:00:00"/>
    <s v="as\afok"/>
    <m/>
    <m/>
    <x v="0"/>
    <x v="0"/>
    <x v="0"/>
    <x v="0"/>
    <s v="SAXE Kettl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58"/>
    <x v="39"/>
    <x v="39"/>
    <x v="35"/>
    <x v="3"/>
    <s v="JIMMY HO"/>
    <n v="1519"/>
    <s v="Exclusivity (EA)"/>
    <s v="Supplier"/>
    <m/>
    <x v="214"/>
    <s v="Crastal Exclusivity Summary 2011-05-23.xlsx"/>
    <s v=".xlsx"/>
    <d v="2014-04-04T00:00:00"/>
    <s v="as\afok"/>
    <s v="Exclusivity Summary 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57"/>
    <x v="39"/>
    <x v="39"/>
    <x v="35"/>
    <x v="3"/>
    <s v="JIMMY HO"/>
    <n v="1518"/>
    <s v="Exclusivity (EA)"/>
    <s v="Supplier"/>
    <m/>
    <x v="215"/>
    <s v="CRASTAL_Exclusivity 942007.pdf"/>
    <s v=".pdf"/>
    <d v="2014-04-04T00:00:00"/>
    <s v="as\afok"/>
    <m/>
    <s v="FHA 00 016 ind.0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74"/>
    <x v="39"/>
    <x v="39"/>
    <x v="35"/>
    <x v="3"/>
    <s v="JIMMY HO"/>
    <n v="1535"/>
    <s v="Exclusivity (EA)"/>
    <s v="Product / Project"/>
    <m/>
    <x v="212"/>
    <s v="Crastal_EA_Premiss Toaster_20110617.pdf"/>
    <s v=".pdf"/>
    <d v="2014-04-04T00:00:00"/>
    <s v="as\afok"/>
    <m/>
    <m/>
    <x v="0"/>
    <x v="0"/>
    <x v="0"/>
    <x v="0"/>
    <s v="Premiss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54"/>
    <x v="39"/>
    <x v="39"/>
    <x v="35"/>
    <x v="3"/>
    <s v="JIMMY HO"/>
    <n v="1515"/>
    <s v="Exclusivity (EA)"/>
    <s v="Supplier"/>
    <m/>
    <x v="216"/>
    <s v="Crastal Exclusivity Summary 2013-1-7.xlsx"/>
    <s v=".xlsx"/>
    <d v="2014-04-04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85"/>
    <x v="39"/>
    <x v="39"/>
    <x v="35"/>
    <x v="3"/>
    <s v="JIMMY HO"/>
    <n v="1546"/>
    <s v="Foodstuffs declaration"/>
    <s v="Supplier"/>
    <m/>
    <x v="217"/>
    <s v="Crastal FRD00069 ind.04 20090917.pdf"/>
    <s v=".pdf"/>
    <d v="2014-04-04T00:00:00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79"/>
    <x v="39"/>
    <x v="39"/>
    <x v="35"/>
    <x v="3"/>
    <s v="JIMMY HO"/>
    <n v="1540"/>
    <s v="IP (Intellectual Property)"/>
    <s v="Product / Project"/>
    <m/>
    <x v="218"/>
    <s v="Crastal - IP Agreement (Classique Mechanical Kettle) 22May10.pdf"/>
    <s v=".pdf"/>
    <d v="2014-04-04T00:00:00"/>
    <s v="as\afok"/>
    <m/>
    <m/>
    <x v="0"/>
    <x v="0"/>
    <x v="0"/>
    <x v="0"/>
    <s v="Classique Mechanical Kettl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78"/>
    <x v="39"/>
    <x v="39"/>
    <x v="35"/>
    <x v="3"/>
    <s v="JIMMY HO"/>
    <n v="1539"/>
    <s v="IP (Intellectual Property)"/>
    <s v="Product / Project"/>
    <m/>
    <x v="219"/>
    <s v="Crastal - IP Agreement (Rowenta LS) 7May10.pdf"/>
    <s v=".pdf"/>
    <d v="2014-04-04T00:00:00"/>
    <s v="as\afok"/>
    <m/>
    <m/>
    <x v="0"/>
    <x v="0"/>
    <x v="0"/>
    <x v="0"/>
    <s v="Rowenta LS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75"/>
    <x v="39"/>
    <x v="39"/>
    <x v="35"/>
    <x v="3"/>
    <s v="JIMMY HO"/>
    <n v="1536"/>
    <s v="IP (Intellectual Property)"/>
    <s v="Product / Project"/>
    <m/>
    <x v="218"/>
    <s v="Crastal - IP Agreement (Classique Mechanical 4S Toaster) 22May10.pdf"/>
    <s v=".pdf"/>
    <d v="2014-04-04T00:00:00"/>
    <s v="as\afok"/>
    <m/>
    <m/>
    <x v="0"/>
    <x v="0"/>
    <x v="0"/>
    <x v="0"/>
    <s v="Classique Mechanical 4S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77"/>
    <x v="39"/>
    <x v="39"/>
    <x v="35"/>
    <x v="3"/>
    <s v="JIMMY HO"/>
    <n v="1538"/>
    <s v="IP (Intellectual Property)"/>
    <s v="Product / Project"/>
    <m/>
    <x v="211"/>
    <s v="Crastal - IP Agreement (Avanti Full Metal) 27Jul10.pdf"/>
    <s v=".pdf"/>
    <d v="2014-04-04T00:00:00"/>
    <s v="as\afok"/>
    <m/>
    <m/>
    <x v="0"/>
    <x v="0"/>
    <x v="0"/>
    <x v="0"/>
    <s v="Avanti Full metal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76"/>
    <x v="39"/>
    <x v="39"/>
    <x v="35"/>
    <x v="3"/>
    <s v="JIMMY HO"/>
    <n v="1537"/>
    <s v="IP (Intellectual Property)"/>
    <s v="Product / Project"/>
    <m/>
    <x v="218"/>
    <s v="Crastal - IP Agreement (Classique Mechanical 2S Toaster) 22May10.pdf"/>
    <s v=".pdf"/>
    <d v="2014-04-04T00:00:00"/>
    <s v="as\afok"/>
    <m/>
    <m/>
    <x v="0"/>
    <x v="0"/>
    <x v="0"/>
    <x v="0"/>
    <s v="Classique Mechanical 2S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55"/>
    <x v="39"/>
    <x v="39"/>
    <x v="35"/>
    <x v="3"/>
    <s v="JIMMY HO"/>
    <n v="1516"/>
    <s v="LOC (Letter of Confidentiality)"/>
    <s v="Product / Project"/>
    <m/>
    <x v="220"/>
    <s v="LOC - Narita 0.6L Kettle 22Mar11.pdf"/>
    <s v=".pdf"/>
    <d v="2014-04-04T00:00:00"/>
    <s v="as\afok"/>
    <m/>
    <m/>
    <x v="0"/>
    <x v="0"/>
    <x v="0"/>
    <x v="0"/>
    <s v="Narita 0.6L Kettl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59"/>
    <x v="39"/>
    <x v="39"/>
    <x v="35"/>
    <x v="3"/>
    <s v="JIMMY HO"/>
    <n v="1520"/>
    <s v="Responsible Purchasing Charter"/>
    <s v="Supplier"/>
    <m/>
    <x v="221"/>
    <s v="Crastal - Responsible Purchasing Charter.pdf"/>
    <s v=".pdf"/>
    <d v="2014-04-0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52"/>
    <x v="39"/>
    <x v="39"/>
    <x v="35"/>
    <x v="3"/>
    <s v="JIMMY HO"/>
    <n v="1513"/>
    <s v="SEF"/>
    <s v="Supplier"/>
    <m/>
    <x v="222"/>
    <s v="Crastal_SEF_Dec 2012.xlsx"/>
    <s v=".xlsx"/>
    <d v="2014-04-04T00:00:00"/>
    <s v="as\afok"/>
    <m/>
    <s v="2012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551"/>
    <x v="39"/>
    <x v="39"/>
    <x v="35"/>
    <x v="3"/>
    <s v="JIMMY HO"/>
    <n v="1512"/>
    <s v="SIF"/>
    <s v="Supplier"/>
    <m/>
    <x v="223"/>
    <s v="FHA6E502_EN_-_SIF  crastal 2012.xlsx"/>
    <s v=".xlsx"/>
    <d v="2014-04-04T00:00:00"/>
    <s v="as\afok"/>
    <m/>
    <s v="2012"/>
    <x v="0"/>
    <x v="0"/>
    <x v="0"/>
    <x v="0"/>
    <m/>
    <m/>
    <m/>
    <m/>
    <m/>
    <n v="2012"/>
    <n v="58480000"/>
    <n v="52030000"/>
    <n v="44210000"/>
    <n v="33150000"/>
    <n v="41230000"/>
    <n v="13"/>
    <n v="16.7"/>
    <n v="13"/>
    <n v="18"/>
    <n v="26"/>
    <m/>
    <x v="0"/>
    <x v="0"/>
    <x v="0"/>
    <x v="0"/>
    <m/>
    <m/>
    <m/>
    <n v="1"/>
    <m/>
    <m/>
    <s v="FP"/>
    <m/>
    <s v="SP"/>
    <s v="MOULD"/>
    <x v="4"/>
    <x v="1"/>
    <m/>
    <x v="20"/>
  </r>
  <r>
    <n v="1553"/>
    <x v="39"/>
    <x v="39"/>
    <x v="35"/>
    <x v="3"/>
    <s v="JIMMY HO"/>
    <n v="1514"/>
    <s v="SPR"/>
    <s v="Supplier"/>
    <m/>
    <x v="201"/>
    <s v="crastal_SPR_201212.pptx"/>
    <s v=".pptx"/>
    <d v="2014-04-04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0"/>
  </r>
  <r>
    <n v="10"/>
    <x v="40"/>
    <x v="40"/>
    <x v="36"/>
    <x v="5"/>
    <s v="SHOT XU"/>
    <n v="7"/>
    <s v="Contract: General Contract"/>
    <s v="Supplier"/>
    <d v="2015-12-31T00:00:00"/>
    <x v="224"/>
    <s v="Cuori_General Agreement_FHA00016 ind.11 6Apr2012.pdf"/>
    <s v=".pdf"/>
    <d v="2014-03-03T00:00:00"/>
    <s v="as\afok"/>
    <m/>
    <s v="FHA00016 ind.11"/>
    <x v="4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1"/>
    <m/>
    <m/>
    <s v="FP"/>
    <m/>
    <s v="SP"/>
    <s v="MOULD"/>
    <x v="4"/>
    <x v="1"/>
    <n v="1"/>
    <x v="16"/>
  </r>
  <r>
    <n v="75"/>
    <x v="40"/>
    <x v="40"/>
    <x v="36"/>
    <x v="5"/>
    <s v="SHOT XU"/>
    <n v="67"/>
    <s v="Contract: Quality Appendix"/>
    <s v="Supplier"/>
    <m/>
    <x v="137"/>
    <s v="Cuori_General Agreement_FHA00016 ind.11 6Apr2012.pdf"/>
    <s v=".pdf"/>
    <d v="2014-03-07T00:00:00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2"/>
    <x v="0"/>
    <x v="0"/>
    <m/>
    <n v="1"/>
    <m/>
    <n v="1"/>
    <m/>
    <m/>
    <s v="FP"/>
    <m/>
    <s v="SP"/>
    <s v="MOULD"/>
    <x v="4"/>
    <x v="1"/>
    <n v="1"/>
    <x v="16"/>
  </r>
  <r>
    <n v="73"/>
    <x v="40"/>
    <x v="40"/>
    <x v="36"/>
    <x v="5"/>
    <s v="SHOT XU"/>
    <n v="65"/>
    <s v="Contract: Supply Chain Appendix"/>
    <s v="Supplier"/>
    <m/>
    <x v="137"/>
    <s v="Cuori_General Agreement_FHA00016 ind.11 6Apr2012.pdf"/>
    <s v=".pdf"/>
    <d v="2014-03-07T00:00:00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1"/>
    <m/>
    <m/>
    <s v="FP"/>
    <m/>
    <s v="SP"/>
    <s v="MOULD"/>
    <x v="4"/>
    <x v="1"/>
    <n v="1"/>
    <x v="16"/>
  </r>
  <r>
    <n v="586"/>
    <x v="40"/>
    <x v="40"/>
    <x v="36"/>
    <x v="5"/>
    <s v="SHOT XU"/>
    <n v="569"/>
    <s v="Declaration letter of group organization"/>
    <s v="Supplier"/>
    <m/>
    <x v="224"/>
    <s v="Cuori_General Agreement_FHA00016 ind.11 6Apr2012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n v="1"/>
    <m/>
    <s v="FP"/>
    <m/>
    <s v="SP"/>
    <s v="MOULD"/>
    <x v="4"/>
    <x v="1"/>
    <n v="1"/>
    <x v="16"/>
  </r>
  <r>
    <n v="74"/>
    <x v="40"/>
    <x v="40"/>
    <x v="36"/>
    <x v="5"/>
    <s v="SHOT XU"/>
    <n v="66"/>
    <s v="Environmental Declaration"/>
    <s v="Supplier"/>
    <m/>
    <x v="137"/>
    <s v="Cuori_General Agreement_FHA00016 ind.11 6Apr2012.pdf"/>
    <s v=".pdf"/>
    <d v="2014-03-07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x v="4"/>
    <x v="1"/>
    <n v="1"/>
    <x v="16"/>
  </r>
  <r>
    <n v="77"/>
    <x v="40"/>
    <x v="40"/>
    <x v="36"/>
    <x v="5"/>
    <s v="SHOT XU"/>
    <n v="69"/>
    <s v="Environmental Declaration"/>
    <s v="Supplier"/>
    <m/>
    <x v="225"/>
    <s v="CUORI_Env_Declaration_30Mar2010.xls"/>
    <s v=".xls"/>
    <d v="2014-03-07T00:00:00"/>
    <s v="as\afok"/>
    <m/>
    <s v="2010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x v="4"/>
    <x v="1"/>
    <n v="1"/>
    <x v="16"/>
  </r>
  <r>
    <n v="80"/>
    <x v="40"/>
    <x v="40"/>
    <x v="36"/>
    <x v="5"/>
    <s v="SHOT XU"/>
    <n v="72"/>
    <s v="Exclusivity (EA)"/>
    <s v="Product / Project"/>
    <m/>
    <x v="226"/>
    <s v="Cuori_Exclusivity Agreement-stream iron FMI2_01Feb13.pdf"/>
    <s v=".pdf"/>
    <d v="2014-03-07T00:00:00"/>
    <s v="as\afok"/>
    <m/>
    <m/>
    <x v="0"/>
    <x v="0"/>
    <x v="0"/>
    <x v="0"/>
    <s v="stream iron FMI2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x v="4"/>
    <x v="1"/>
    <n v="1"/>
    <x v="16"/>
  </r>
  <r>
    <n v="81"/>
    <x v="40"/>
    <x v="40"/>
    <x v="36"/>
    <x v="5"/>
    <s v="SHOT XU"/>
    <n v="73"/>
    <s v="Exclusivity (EA)"/>
    <s v="Supplier"/>
    <m/>
    <x v="226"/>
    <s v="Cuori_Exclusivity Summary 20130314.xlsx"/>
    <s v=".xlsx"/>
    <d v="2014-03-07T00:00:00"/>
    <s v="as\afok"/>
    <s v="Exclusivity Summary 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x v="4"/>
    <x v="1"/>
    <n v="1"/>
    <x v="16"/>
  </r>
  <r>
    <n v="78"/>
    <x v="40"/>
    <x v="40"/>
    <x v="36"/>
    <x v="5"/>
    <s v="SHOT XU"/>
    <n v="70"/>
    <s v="Exclusivity (EA)"/>
    <s v="Product / Project"/>
    <m/>
    <x v="10"/>
    <s v="CUORI_Exclusivity Agreement _DR6000_Apr2012.pdf"/>
    <s v=".pdf"/>
    <d v="2014-03-07T00:00:00"/>
    <s v="as\afok"/>
    <s v="_x000d__x000a_"/>
    <m/>
    <x v="0"/>
    <x v="0"/>
    <x v="0"/>
    <x v="0"/>
    <s v="DR6000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x v="4"/>
    <x v="1"/>
    <n v="1"/>
    <x v="16"/>
  </r>
  <r>
    <n v="79"/>
    <x v="40"/>
    <x v="40"/>
    <x v="36"/>
    <x v="5"/>
    <s v="SHOT XU"/>
    <n v="71"/>
    <s v="Exclusivity (EA)"/>
    <s v="Product / Project"/>
    <m/>
    <x v="10"/>
    <s v="CUORI_Exclusivity Agreement _S658A_Apr2012.pdf"/>
    <s v=".pdf"/>
    <d v="2014-03-07T00:00:00"/>
    <s v="as\afok"/>
    <s v="_x000d__x000a_"/>
    <m/>
    <x v="0"/>
    <x v="0"/>
    <x v="0"/>
    <x v="0"/>
    <s v="S658A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x v="4"/>
    <x v="1"/>
    <n v="1"/>
    <x v="16"/>
  </r>
  <r>
    <n v="86"/>
    <x v="40"/>
    <x v="40"/>
    <x v="36"/>
    <x v="5"/>
    <s v="SHOT XU"/>
    <n v="78"/>
    <s v="Foodstuffs declaration"/>
    <s v="Supplier"/>
    <m/>
    <x v="121"/>
    <s v="FOODSTUFFS_FRD00069_EN ind05_CUORI_20Mar2012.pdf"/>
    <s v=".pdf"/>
    <d v="2014-03-07T00:00:00"/>
    <s v="as\afok"/>
    <m/>
    <s v="FRD00069 ind.05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x v="4"/>
    <x v="1"/>
    <n v="1"/>
    <x v="16"/>
  </r>
  <r>
    <n v="82"/>
    <x v="40"/>
    <x v="40"/>
    <x v="36"/>
    <x v="5"/>
    <s v="SHOT XU"/>
    <n v="74"/>
    <s v="IP (Intellectual Property)"/>
    <s v="Product / Project"/>
    <m/>
    <x v="227"/>
    <s v="CUORI_IP Agreement _Dry Iron ED-261B_2011060.pdf"/>
    <s v=".pdf"/>
    <d v="2014-03-07T00:00:00"/>
    <s v="as\afok"/>
    <s v="_x000d__x000a_"/>
    <m/>
    <x v="0"/>
    <x v="0"/>
    <x v="0"/>
    <x v="0"/>
    <s v="Dry Iron ED-261B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x v="4"/>
    <x v="1"/>
    <n v="1"/>
    <x v="16"/>
  </r>
  <r>
    <n v="90"/>
    <x v="40"/>
    <x v="40"/>
    <x v="36"/>
    <x v="5"/>
    <s v="SHOT XU"/>
    <n v="82"/>
    <s v="IP (Intellectual Property)"/>
    <s v="Supplier"/>
    <m/>
    <x v="87"/>
    <s v="Cuori_Agreement Intellectual and industrial property rights201105.tif"/>
    <s v=".tif"/>
    <d v="2014-03-07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x v="4"/>
    <x v="1"/>
    <n v="1"/>
    <x v="16"/>
  </r>
  <r>
    <n v="83"/>
    <x v="40"/>
    <x v="40"/>
    <x v="36"/>
    <x v="5"/>
    <s v="SHOT XU"/>
    <n v="75"/>
    <s v="Responsible Purchasing Charter"/>
    <s v="Supplier"/>
    <m/>
    <x v="228"/>
    <s v="Cuori_Responsible Purchaser Charter_13Aug2012.pdf"/>
    <s v=".pdf"/>
    <d v="2014-03-07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x v="4"/>
    <x v="1"/>
    <n v="1"/>
    <x v="16"/>
  </r>
  <r>
    <n v="87"/>
    <x v="40"/>
    <x v="40"/>
    <x v="36"/>
    <x v="5"/>
    <s v="SHOT XU"/>
    <n v="79"/>
    <s v="SEF"/>
    <s v="Supplier"/>
    <m/>
    <x v="229"/>
    <s v="SEF_Cuori_Apr2012.xlsx"/>
    <s v=".xlsx"/>
    <d v="2014-03-07T00:00:00"/>
    <s v="as\afok"/>
    <m/>
    <s v="2012"/>
    <x v="0"/>
    <x v="0"/>
    <x v="0"/>
    <x v="0"/>
    <m/>
    <m/>
    <m/>
    <m/>
    <n v="74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x v="4"/>
    <x v="1"/>
    <n v="1"/>
    <x v="16"/>
  </r>
  <r>
    <n v="85"/>
    <x v="40"/>
    <x v="40"/>
    <x v="36"/>
    <x v="5"/>
    <s v="SHOT XU"/>
    <n v="77"/>
    <s v="SIF"/>
    <s v="Supplier"/>
    <m/>
    <x v="25"/>
    <s v="Cuori_SIF_Jan2013.xlsx"/>
    <s v=".xlsx"/>
    <d v="2014-03-07T00:00:00"/>
    <s v="as\afok"/>
    <m/>
    <s v="2013"/>
    <x v="0"/>
    <x v="0"/>
    <x v="0"/>
    <x v="0"/>
    <m/>
    <m/>
    <m/>
    <m/>
    <m/>
    <n v="2013"/>
    <n v="360000"/>
    <n v="300000"/>
    <n v="350000"/>
    <n v="290000"/>
    <n v="210000"/>
    <n v="6"/>
    <n v="6"/>
    <n v="3"/>
    <n v="5"/>
    <n v="6"/>
    <s v="FP panel Top 15"/>
    <x v="1"/>
    <x v="2"/>
    <x v="0"/>
    <x v="0"/>
    <m/>
    <m/>
    <m/>
    <n v="1"/>
    <m/>
    <m/>
    <s v="FP"/>
    <m/>
    <s v="SP"/>
    <s v="MOULD"/>
    <x v="4"/>
    <x v="1"/>
    <n v="1"/>
    <x v="16"/>
  </r>
  <r>
    <n v="84"/>
    <x v="40"/>
    <x v="40"/>
    <x v="36"/>
    <x v="5"/>
    <s v="SHOT XU"/>
    <n v="76"/>
    <s v="SIF"/>
    <s v="Supplier"/>
    <m/>
    <x v="230"/>
    <s v="Cuori_SIF 2012 Feb.xlsx"/>
    <s v=".xlsx"/>
    <d v="2014-03-07T00:00:00"/>
    <s v="as\afok"/>
    <m/>
    <s v="2012"/>
    <x v="0"/>
    <x v="0"/>
    <x v="0"/>
    <x v="0"/>
    <m/>
    <m/>
    <m/>
    <m/>
    <m/>
    <n v="2014"/>
    <n v="450000"/>
    <n v="400000"/>
    <n v="350000"/>
    <n v="290000"/>
    <n v="210000"/>
    <n v="7"/>
    <n v="3"/>
    <n v="3"/>
    <n v="5"/>
    <n v="6"/>
    <s v="FP panel Top 15"/>
    <x v="1"/>
    <x v="2"/>
    <x v="0"/>
    <x v="0"/>
    <m/>
    <m/>
    <m/>
    <n v="1"/>
    <m/>
    <m/>
    <s v="FP"/>
    <m/>
    <s v="SP"/>
    <s v="MOULD"/>
    <x v="4"/>
    <x v="1"/>
    <n v="1"/>
    <x v="16"/>
  </r>
  <r>
    <n v="89"/>
    <x v="40"/>
    <x v="40"/>
    <x v="36"/>
    <x v="5"/>
    <s v="SHOT XU"/>
    <n v="81"/>
    <s v="SPR"/>
    <s v="Supplier"/>
    <m/>
    <x v="231"/>
    <s v="SPR 2013 CUORI.pptx"/>
    <s v=".pptx"/>
    <d v="2014-03-07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x v="4"/>
    <x v="1"/>
    <n v="1"/>
    <x v="16"/>
  </r>
  <r>
    <n v="91"/>
    <x v="40"/>
    <x v="40"/>
    <x v="36"/>
    <x v="5"/>
    <s v="SHOT XU"/>
    <n v="83"/>
    <s v="SPR"/>
    <s v="Supplier"/>
    <m/>
    <x v="232"/>
    <s v="SPR 2012Jul CUORI.pptx"/>
    <s v=".pptx"/>
    <d v="2014-03-07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x v="4"/>
    <x v="1"/>
    <n v="1"/>
    <x v="16"/>
  </r>
  <r>
    <n v="88"/>
    <x v="40"/>
    <x v="40"/>
    <x v="36"/>
    <x v="5"/>
    <s v="SHOT XU"/>
    <n v="80"/>
    <s v="SPR"/>
    <s v="Supplier"/>
    <m/>
    <x v="233"/>
    <s v="SPR 2013 Jan CUORI.pptx"/>
    <s v=".pptx"/>
    <d v="2014-03-07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x v="4"/>
    <x v="1"/>
    <n v="1"/>
    <x v="16"/>
  </r>
  <r>
    <n v="1817"/>
    <x v="41"/>
    <x v="41"/>
    <x v="37"/>
    <x v="4"/>
    <s v="MAVERICK LAU"/>
    <n v="1774"/>
    <s v="Contract: Supply Chain Appendix"/>
    <s v="Supplier"/>
    <m/>
    <x v="234"/>
    <s v="DaWangYe_Supply_Chain_Appendix_V.10_13Aug2013.pdf"/>
    <s v=".pdf"/>
    <d v="2014-04-09T00:00:00"/>
    <s v="as\afok"/>
    <m/>
    <s v="V10"/>
    <x v="0"/>
    <x v="3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n v="1"/>
    <m/>
    <s v="CP"/>
    <m/>
    <m/>
    <x v="2"/>
    <x v="1"/>
    <m/>
    <x v="6"/>
  </r>
  <r>
    <n v="1811"/>
    <x v="41"/>
    <x v="41"/>
    <x v="37"/>
    <x v="4"/>
    <s v="MAVERICK LAU"/>
    <n v="1768"/>
    <s v="LOC (Letter of Confidentiality)"/>
    <s v="Supplier"/>
    <m/>
    <x v="44"/>
    <s v="Da_Wang_Ye_LOC_17MAY2012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6"/>
  </r>
  <r>
    <n v="1813"/>
    <x v="41"/>
    <x v="41"/>
    <x v="37"/>
    <x v="4"/>
    <s v="MAVERICK LAU"/>
    <n v="1770"/>
    <s v="Responsible Purchasing Charter"/>
    <s v="Supplier"/>
    <m/>
    <x v="235"/>
    <s v="Da_Wang_Ye_Responsible_Purchasing_Charter_02Aug12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6"/>
  </r>
  <r>
    <n v="1815"/>
    <x v="41"/>
    <x v="41"/>
    <x v="37"/>
    <x v="4"/>
    <s v="MAVERICK LAU"/>
    <n v="1772"/>
    <s v="SEF"/>
    <s v="Supplier"/>
    <m/>
    <x v="236"/>
    <s v="SEF-DWY-20121030-63 (With Andre Comment).xlsx"/>
    <s v=".xlsx"/>
    <d v="2014-04-09T00:00:00"/>
    <s v="as\afok"/>
    <m/>
    <s v="2012"/>
    <x v="0"/>
    <x v="0"/>
    <x v="0"/>
    <x v="0"/>
    <m/>
    <m/>
    <m/>
    <m/>
    <n v="63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6"/>
  </r>
  <r>
    <n v="1814"/>
    <x v="41"/>
    <x v="41"/>
    <x v="37"/>
    <x v="4"/>
    <s v="MAVERICK LAU"/>
    <n v="1771"/>
    <s v="SEF"/>
    <s v="Supplier"/>
    <m/>
    <x v="146"/>
    <s v="SEF-DWY-20120508-67.xlsx"/>
    <s v=".xlsx"/>
    <d v="2014-04-09T00:00:00"/>
    <s v="as\afok"/>
    <m/>
    <s v="2012"/>
    <x v="0"/>
    <x v="0"/>
    <x v="0"/>
    <x v="0"/>
    <m/>
    <m/>
    <m/>
    <m/>
    <n v="67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6"/>
  </r>
  <r>
    <n v="1816"/>
    <x v="41"/>
    <x v="41"/>
    <x v="37"/>
    <x v="4"/>
    <s v="MAVERICK LAU"/>
    <n v="1773"/>
    <s v="SIF"/>
    <s v="Supplier"/>
    <m/>
    <x v="237"/>
    <s v="Da Wang Ye_SIF2013.xls"/>
    <s v=".xls"/>
    <d v="2014-04-09T00:00:00"/>
    <s v="as\afok"/>
    <m/>
    <s v="2013"/>
    <x v="0"/>
    <x v="0"/>
    <x v="0"/>
    <x v="0"/>
    <m/>
    <m/>
    <m/>
    <m/>
    <m/>
    <n v="2013"/>
    <n v="65000000"/>
    <n v="56000000"/>
    <n v="46000000"/>
    <n v="36600000"/>
    <n v="30000000"/>
    <m/>
    <m/>
    <m/>
    <m/>
    <m/>
    <m/>
    <x v="0"/>
    <x v="0"/>
    <x v="0"/>
    <x v="0"/>
    <m/>
    <m/>
    <m/>
    <n v="0"/>
    <m/>
    <m/>
    <m/>
    <s v="CP"/>
    <m/>
    <m/>
    <x v="2"/>
    <x v="1"/>
    <m/>
    <x v="6"/>
  </r>
  <r>
    <n v="1812"/>
    <x v="41"/>
    <x v="41"/>
    <x v="37"/>
    <x v="4"/>
    <s v="MAVERICK LAU"/>
    <n v="1769"/>
    <s v="SIF"/>
    <s v="Supplier"/>
    <m/>
    <x v="238"/>
    <s v="Da_Wang_Ye_SIF2012_18May12.doc"/>
    <s v=".doc"/>
    <d v="2014-04-09T00:00:00"/>
    <s v="as\afok"/>
    <m/>
    <s v="2012"/>
    <x v="0"/>
    <x v="0"/>
    <x v="0"/>
    <x v="0"/>
    <m/>
    <m/>
    <m/>
    <m/>
    <m/>
    <n v="2012"/>
    <n v="70000000"/>
    <n v="59130000"/>
    <n v="47640000"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6"/>
  </r>
  <r>
    <n v="2316"/>
    <x v="42"/>
    <x v="42"/>
    <x v="38"/>
    <x v="1"/>
    <s v="MAY LEE"/>
    <n v="2257"/>
    <s v="Responsible Purchasing Charter"/>
    <s v="Supplier"/>
    <m/>
    <x v="103"/>
    <s v="Daily_Win_Responsible_Purchasing_Charter_16Aug12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18"/>
  </r>
  <r>
    <n v="2317"/>
    <x v="42"/>
    <x v="42"/>
    <x v="38"/>
    <x v="1"/>
    <s v="MAY LEE"/>
    <n v="2258"/>
    <s v="SEF"/>
    <s v="Supplier"/>
    <m/>
    <x v="64"/>
    <s v="Daily_Win_SEF_2012-1.xlsx"/>
    <s v=".xlsx"/>
    <d v="2014-04-16T00:00:00"/>
    <s v="as\afok"/>
    <m/>
    <s v="2012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18"/>
  </r>
  <r>
    <n v="2315"/>
    <x v="42"/>
    <x v="42"/>
    <x v="38"/>
    <x v="1"/>
    <s v="MAY LEE"/>
    <n v="2256"/>
    <s v="SEF"/>
    <s v="Supplier"/>
    <m/>
    <x v="52"/>
    <s v="Daily Win_SEF_2012-2.xlsx"/>
    <s v=".xlsx"/>
    <d v="2014-04-16T00:00:00"/>
    <s v="as\afok"/>
    <m/>
    <s v="2012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18"/>
  </r>
  <r>
    <n v="2318"/>
    <x v="42"/>
    <x v="42"/>
    <x v="38"/>
    <x v="1"/>
    <s v="MAY LEE"/>
    <n v="2259"/>
    <s v="SIF"/>
    <s v="Supplier"/>
    <m/>
    <x v="239"/>
    <s v="Daily_Win_SIF_2010.xls"/>
    <s v=".xls"/>
    <d v="2014-04-16T00:00:00"/>
    <s v="as\afok"/>
    <m/>
    <s v="2010"/>
    <x v="0"/>
    <x v="0"/>
    <x v="0"/>
    <x v="0"/>
    <m/>
    <m/>
    <m/>
    <m/>
    <m/>
    <n v="2010"/>
    <n v="3870967.8"/>
    <n v="2580645.1"/>
    <m/>
    <m/>
    <m/>
    <m/>
    <n v="1.5"/>
    <m/>
    <m/>
    <m/>
    <m/>
    <x v="0"/>
    <x v="0"/>
    <x v="0"/>
    <x v="0"/>
    <m/>
    <m/>
    <m/>
    <n v="0"/>
    <m/>
    <n v="1"/>
    <m/>
    <s v="CP"/>
    <m/>
    <m/>
    <x v="2"/>
    <x v="1"/>
    <m/>
    <x v="18"/>
  </r>
  <r>
    <n v="1822"/>
    <x v="43"/>
    <x v="43"/>
    <x v="39"/>
    <x v="4"/>
    <s v="MAVERICK LAU"/>
    <n v="1779"/>
    <s v="Environmental Declaration"/>
    <s v="Supplier"/>
    <m/>
    <x v="240"/>
    <s v="Dalong_Env_Declaration2010.xlsx"/>
    <s v=".xlsx"/>
    <d v="2014-04-09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4"/>
  </r>
  <r>
    <n v="1821"/>
    <x v="43"/>
    <x v="43"/>
    <x v="39"/>
    <x v="4"/>
    <s v="MAVERICK LAU"/>
    <n v="1778"/>
    <s v="Responsible Purchasing Charter"/>
    <s v="Supplier"/>
    <m/>
    <x v="241"/>
    <s v="Dalong_Responsible Purchasing Charter_20Nov12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4"/>
  </r>
  <r>
    <n v="1818"/>
    <x v="43"/>
    <x v="43"/>
    <x v="39"/>
    <x v="4"/>
    <s v="MAVERICK LAU"/>
    <n v="1775"/>
    <s v="SEF"/>
    <s v="Supplier"/>
    <m/>
    <x v="242"/>
    <s v="SEF-Dalong-20120806-75.xlsx"/>
    <s v=".xlsx"/>
    <d v="2014-04-09T00:00:00"/>
    <s v="as\afok"/>
    <m/>
    <s v="2012"/>
    <x v="0"/>
    <x v="0"/>
    <x v="0"/>
    <x v="0"/>
    <m/>
    <m/>
    <m/>
    <m/>
    <n v="75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4"/>
  </r>
  <r>
    <n v="1819"/>
    <x v="43"/>
    <x v="43"/>
    <x v="39"/>
    <x v="4"/>
    <s v="MAVERICK LAU"/>
    <n v="1776"/>
    <s v="SEF"/>
    <s v="Supplier"/>
    <m/>
    <x v="107"/>
    <s v="SEF-Dalong-20121101-76.XLSX"/>
    <s v=".xlsx"/>
    <d v="2014-04-09T00:00:00"/>
    <s v="as\afok"/>
    <m/>
    <s v="2012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4"/>
  </r>
  <r>
    <n v="1820"/>
    <x v="43"/>
    <x v="43"/>
    <x v="39"/>
    <x v="4"/>
    <s v="MAVERICK LAU"/>
    <n v="1777"/>
    <s v="SIF"/>
    <s v="Supplier"/>
    <m/>
    <x v="241"/>
    <s v="Dalong_SIF2012_20Nov12.xls"/>
    <s v=".xls"/>
    <d v="2014-04-09T00:00:00"/>
    <s v="as\afok"/>
    <m/>
    <s v="2012"/>
    <x v="0"/>
    <x v="0"/>
    <x v="0"/>
    <x v="0"/>
    <m/>
    <m/>
    <m/>
    <m/>
    <m/>
    <n v="2012"/>
    <n v="38000000"/>
    <n v="35000000"/>
    <n v="33000000"/>
    <n v="32000000"/>
    <n v="30000000"/>
    <m/>
    <n v="0"/>
    <n v="0"/>
    <n v="0"/>
    <n v="0"/>
    <m/>
    <x v="0"/>
    <x v="0"/>
    <x v="0"/>
    <x v="0"/>
    <m/>
    <m/>
    <m/>
    <n v="0"/>
    <m/>
    <m/>
    <m/>
    <s v="CP"/>
    <m/>
    <m/>
    <x v="2"/>
    <x v="1"/>
    <m/>
    <x v="4"/>
  </r>
  <r>
    <n v="1999"/>
    <x v="44"/>
    <x v="44"/>
    <x v="40"/>
    <x v="4"/>
    <s v="RICKY LAM"/>
    <n v="1943"/>
    <s v="Contract: General Contract"/>
    <s v="Supplier"/>
    <m/>
    <x v="243"/>
    <s v="Dave_Plastic_Purchase_Agreement_2008.pdf"/>
    <s v=".pdf"/>
    <d v="2014-04-10T00:00:00"/>
    <s v="as\afok"/>
    <m/>
    <s v="V5"/>
    <x v="5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x v="2"/>
    <x v="1"/>
    <m/>
    <x v="8"/>
  </r>
  <r>
    <n v="1998"/>
    <x v="45"/>
    <x v="45"/>
    <x v="40"/>
    <x v="4"/>
    <s v="RICKY LAM"/>
    <n v="1943"/>
    <s v="Contract: General Contract"/>
    <s v="Supplier"/>
    <m/>
    <x v="243"/>
    <s v="Dave_Plastic_Purchase_Agreement_2008.pdf"/>
    <s v=".pdf"/>
    <d v="2014-04-10T00:00:00"/>
    <s v="as\afok"/>
    <m/>
    <s v="V5"/>
    <x v="5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x v="2"/>
    <x v="1"/>
    <m/>
    <x v="2"/>
  </r>
  <r>
    <n v="2001"/>
    <x v="44"/>
    <x v="44"/>
    <x v="40"/>
    <x v="4"/>
    <s v="RICKY LAM"/>
    <n v="1944"/>
    <s v="Contract: Quality Appendix"/>
    <s v="Supplier"/>
    <m/>
    <x v="243"/>
    <s v="Dave_Plastic_Purchase_Agreement_2008.pdf"/>
    <s v=".pdf"/>
    <d v="2014-04-10T00:00:00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n v="1"/>
    <m/>
    <m/>
    <s v="CP"/>
    <m/>
    <m/>
    <x v="2"/>
    <x v="1"/>
    <m/>
    <x v="8"/>
  </r>
  <r>
    <n v="2000"/>
    <x v="45"/>
    <x v="45"/>
    <x v="40"/>
    <x v="4"/>
    <s v="RICKY LAM"/>
    <n v="1944"/>
    <s v="Contract: Quality Appendix"/>
    <s v="Supplier"/>
    <m/>
    <x v="243"/>
    <s v="Dave_Plastic_Purchase_Agreement_2008.pdf"/>
    <s v=".pdf"/>
    <d v="2014-04-10T00:00:00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x v="2"/>
    <x v="1"/>
    <m/>
    <x v="2"/>
  </r>
  <r>
    <n v="1989"/>
    <x v="44"/>
    <x v="44"/>
    <x v="40"/>
    <x v="4"/>
    <s v="RICKY LAM"/>
    <n v="1938"/>
    <s v="Environmental Declaration"/>
    <s v="Supplier"/>
    <m/>
    <x v="225"/>
    <s v="Dave_Plastic_Env_Declaration_30Mar2010.pdf"/>
    <s v=".pdf"/>
    <d v="2014-04-10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8"/>
  </r>
  <r>
    <n v="1988"/>
    <x v="45"/>
    <x v="45"/>
    <x v="40"/>
    <x v="4"/>
    <s v="RICKY LAM"/>
    <n v="1938"/>
    <s v="Environmental Declaration"/>
    <s v="Supplier"/>
    <m/>
    <x v="225"/>
    <s v="Dave_Plastic_Env_Declaration_30Mar2010.pdf"/>
    <s v=".pdf"/>
    <d v="2014-04-10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1997"/>
    <x v="44"/>
    <x v="44"/>
    <x v="40"/>
    <x v="4"/>
    <s v="RICKY LAM"/>
    <n v="1942"/>
    <s v="LOC (Letter of Confidentiality)"/>
    <s v="Supplier"/>
    <m/>
    <x v="244"/>
    <s v="LOC_Dave_2011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8"/>
  </r>
  <r>
    <n v="1996"/>
    <x v="45"/>
    <x v="45"/>
    <x v="40"/>
    <x v="4"/>
    <s v="RICKY LAM"/>
    <n v="1942"/>
    <s v="LOC (Letter of Confidentiality)"/>
    <s v="Supplier"/>
    <m/>
    <x v="244"/>
    <s v="LOC_Dave_2011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1991"/>
    <x v="44"/>
    <x v="44"/>
    <x v="40"/>
    <x v="4"/>
    <s v="RICKY LAM"/>
    <n v="1939"/>
    <s v="Responsible Purchasing Charter"/>
    <s v="Supplier"/>
    <m/>
    <x v="245"/>
    <s v="Dave_Responsible_Purchasing_Charter_10AUG12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8"/>
  </r>
  <r>
    <n v="1990"/>
    <x v="45"/>
    <x v="45"/>
    <x v="40"/>
    <x v="4"/>
    <s v="RICKY LAM"/>
    <n v="1939"/>
    <s v="Responsible Purchasing Charter"/>
    <s v="Supplier"/>
    <m/>
    <x v="245"/>
    <s v="Dave_Responsible_Purchasing_Charter_10AUG12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1995"/>
    <x v="44"/>
    <x v="44"/>
    <x v="40"/>
    <x v="4"/>
    <s v="RICKY LAM"/>
    <n v="1941"/>
    <s v="SEF"/>
    <s v="Supplier"/>
    <m/>
    <x v="246"/>
    <s v="Dave_SEF_Dec2011_R2.xlsx"/>
    <s v=".xlsx"/>
    <d v="2014-04-10T00:00:00"/>
    <s v="as\afok"/>
    <m/>
    <s v="2011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8"/>
  </r>
  <r>
    <n v="1994"/>
    <x v="45"/>
    <x v="45"/>
    <x v="40"/>
    <x v="4"/>
    <s v="RICKY LAM"/>
    <n v="1941"/>
    <s v="SEF"/>
    <s v="Supplier"/>
    <m/>
    <x v="246"/>
    <s v="Dave_SEF_Dec2011_R2.xlsx"/>
    <s v=".xlsx"/>
    <d v="2014-04-10T00:00:00"/>
    <s v="as\afok"/>
    <m/>
    <s v="2011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1987"/>
    <x v="44"/>
    <x v="44"/>
    <x v="40"/>
    <x v="4"/>
    <s v="RICKY LAM"/>
    <n v="1937"/>
    <s v="SIF"/>
    <s v="Supplier"/>
    <m/>
    <x v="34"/>
    <s v="Dave_SIF2013.xlsx"/>
    <s v=".xlsx"/>
    <d v="2014-04-10T00:00:00"/>
    <s v="as\afok"/>
    <m/>
    <s v="2013"/>
    <x v="0"/>
    <x v="0"/>
    <x v="0"/>
    <x v="0"/>
    <m/>
    <m/>
    <m/>
    <m/>
    <m/>
    <n v="2013"/>
    <n v="6200000"/>
    <n v="3700000"/>
    <n v="4200000"/>
    <n v="4000000"/>
    <n v="4500000"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8"/>
  </r>
  <r>
    <n v="1986"/>
    <x v="45"/>
    <x v="45"/>
    <x v="40"/>
    <x v="4"/>
    <s v="RICKY LAM"/>
    <n v="1937"/>
    <s v="SIF"/>
    <s v="Supplier"/>
    <m/>
    <x v="34"/>
    <s v="Dave_SIF2013.xlsx"/>
    <s v=".xlsx"/>
    <d v="2014-04-10T00:00:00"/>
    <s v="as\afok"/>
    <m/>
    <s v="2013"/>
    <x v="0"/>
    <x v="0"/>
    <x v="0"/>
    <x v="0"/>
    <m/>
    <m/>
    <m/>
    <m/>
    <m/>
    <n v="2013"/>
    <n v="6200000"/>
    <n v="3700000"/>
    <n v="4200000"/>
    <n v="4000000"/>
    <n v="4500000"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1993"/>
    <x v="44"/>
    <x v="44"/>
    <x v="40"/>
    <x v="4"/>
    <s v="RICKY LAM"/>
    <n v="1940"/>
    <s v="SPR"/>
    <s v="Supplier"/>
    <m/>
    <x v="115"/>
    <s v="SPR_Dave_OCT_2012R4-22Oct2012.pptx"/>
    <s v=".pptx"/>
    <d v="2014-04-10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8"/>
  </r>
  <r>
    <n v="1992"/>
    <x v="45"/>
    <x v="45"/>
    <x v="40"/>
    <x v="4"/>
    <s v="RICKY LAM"/>
    <n v="1940"/>
    <s v="SPR"/>
    <s v="Supplier"/>
    <m/>
    <x v="115"/>
    <s v="SPR_Dave_OCT_2012R4-22Oct2012.pptx"/>
    <s v=".pptx"/>
    <d v="2014-04-10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1384"/>
    <x v="46"/>
    <x v="46"/>
    <x v="41"/>
    <x v="5"/>
    <s v="JASMINE YANG"/>
    <n v="1347"/>
    <s v="Contract: General Contract"/>
    <s v="Supplier"/>
    <m/>
    <x v="247"/>
    <s v="Dawei_SUPPLY Agreement_25Sep12.pdf"/>
    <s v=".pdf"/>
    <d v="2014-04-01T00:00:00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m/>
    <m/>
    <m/>
    <s v="CP"/>
    <m/>
    <m/>
    <x v="2"/>
    <x v="1"/>
    <m/>
    <x v="8"/>
  </r>
  <r>
    <n v="1377"/>
    <x v="46"/>
    <x v="46"/>
    <x v="41"/>
    <x v="5"/>
    <s v="JASMINE YANG"/>
    <n v="1346"/>
    <s v="Contract: Quality Appendix"/>
    <s v="Supplier"/>
    <m/>
    <x v="109"/>
    <s v="DAWEI_Quality Appendix_25Sep12.pdf"/>
    <s v=".pdf"/>
    <d v="2014-04-01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s v="CP"/>
    <m/>
    <m/>
    <x v="2"/>
    <x v="1"/>
    <m/>
    <x v="8"/>
  </r>
  <r>
    <n v="1374"/>
    <x v="46"/>
    <x v="46"/>
    <x v="41"/>
    <x v="5"/>
    <s v="JASMINE YANG"/>
    <n v="1343"/>
    <s v="Contract: Supply Chain Appendix"/>
    <s v="Supplier"/>
    <m/>
    <x v="248"/>
    <s v="DAWEI_Supply Chain(leadtime update)_21Jul2013.pdf"/>
    <s v=".pdf"/>
    <d v="2014-04-01T00:00:00"/>
    <s v="as\afok"/>
    <m/>
    <m/>
    <x v="0"/>
    <x v="7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m/>
    <x v="2"/>
    <x v="1"/>
    <m/>
    <x v="8"/>
  </r>
  <r>
    <n v="1381"/>
    <x v="46"/>
    <x v="46"/>
    <x v="41"/>
    <x v="5"/>
    <s v="JASMINE YANG"/>
    <n v="1350"/>
    <s v="Contract: Supply Chain Appendix"/>
    <s v="Supplier"/>
    <m/>
    <x v="109"/>
    <s v="Dawei_SUPPLY Agreement_25Sep12.pdf"/>
    <s v=".pdf"/>
    <d v="2014-04-01T00:00:00"/>
    <s v="as\afok"/>
    <m/>
    <m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m/>
    <x v="2"/>
    <x v="1"/>
    <m/>
    <x v="8"/>
  </r>
  <r>
    <n v="1382"/>
    <x v="46"/>
    <x v="46"/>
    <x v="41"/>
    <x v="5"/>
    <s v="JASMINE YANG"/>
    <n v="1351"/>
    <s v="Declaration letter of group organization"/>
    <s v="Supplier"/>
    <m/>
    <x v="247"/>
    <s v="Dawei_SUPPLY Agreement_25Sep12.pdf"/>
    <s v=".pdf"/>
    <d v="2014-04-0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x v="2"/>
    <x v="1"/>
    <m/>
    <x v="8"/>
  </r>
  <r>
    <n v="1385"/>
    <x v="46"/>
    <x v="46"/>
    <x v="41"/>
    <x v="5"/>
    <s v="JASMINE YANG"/>
    <n v="1353"/>
    <s v="Responsible Purchasing Charter"/>
    <s v="Supplier"/>
    <m/>
    <x v="249"/>
    <s v="DAWEI_Responsible Purchasing Charter_27Sep2012.pdf"/>
    <s v=".pdf"/>
    <d v="2014-04-0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n v="1"/>
    <m/>
    <m/>
    <s v="CP"/>
    <m/>
    <m/>
    <x v="2"/>
    <x v="1"/>
    <m/>
    <x v="8"/>
  </r>
  <r>
    <n v="1375"/>
    <x v="46"/>
    <x v="46"/>
    <x v="41"/>
    <x v="5"/>
    <s v="JASMINE YANG"/>
    <n v="1344"/>
    <s v="SEF"/>
    <s v="Supplier"/>
    <m/>
    <x v="250"/>
    <s v="Dawei_SEF_Nov 2012_v2.xlsx"/>
    <s v=".xlsx"/>
    <d v="2014-04-01T00:00:00"/>
    <s v="as\afok"/>
    <m/>
    <s v="2012"/>
    <x v="0"/>
    <x v="0"/>
    <x v="0"/>
    <x v="0"/>
    <m/>
    <m/>
    <m/>
    <m/>
    <n v="75"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x v="2"/>
    <x v="1"/>
    <m/>
    <x v="8"/>
  </r>
  <r>
    <n v="1383"/>
    <x v="46"/>
    <x v="46"/>
    <x v="41"/>
    <x v="5"/>
    <s v="JASMINE YANG"/>
    <n v="1352"/>
    <s v="SIF"/>
    <s v="Supplier"/>
    <m/>
    <x v="251"/>
    <s v="DAWEI_SIF_23Sep2012.xls"/>
    <s v=".xls"/>
    <d v="2014-04-01T00:00:00"/>
    <s v="as\afok"/>
    <m/>
    <s v="2012"/>
    <x v="0"/>
    <x v="0"/>
    <x v="0"/>
    <x v="0"/>
    <m/>
    <m/>
    <m/>
    <m/>
    <m/>
    <n v="2012"/>
    <n v="30000000"/>
    <n v="24000000"/>
    <n v="16000000"/>
    <n v="12500000"/>
    <n v="8000000"/>
    <n v="5"/>
    <n v="0"/>
    <n v="0"/>
    <n v="0"/>
    <n v="0"/>
    <s v="CP Panel"/>
    <x v="0"/>
    <x v="0"/>
    <x v="1"/>
    <x v="6"/>
    <m/>
    <m/>
    <m/>
    <n v="1"/>
    <m/>
    <m/>
    <m/>
    <s v="CP"/>
    <m/>
    <m/>
    <x v="2"/>
    <x v="1"/>
    <m/>
    <x v="8"/>
  </r>
  <r>
    <n v="1373"/>
    <x v="46"/>
    <x v="46"/>
    <x v="41"/>
    <x v="5"/>
    <s v="JASMINE YANG"/>
    <n v="1342"/>
    <s v="SIF"/>
    <s v="Supplier"/>
    <m/>
    <x v="252"/>
    <s v="DAWEI_SIF_13May2013.xlsx"/>
    <s v=".xlsx"/>
    <d v="2014-04-01T00:00:00"/>
    <s v="as\afok"/>
    <m/>
    <s v="2013"/>
    <x v="0"/>
    <x v="0"/>
    <x v="0"/>
    <x v="0"/>
    <m/>
    <m/>
    <m/>
    <m/>
    <m/>
    <n v="2013"/>
    <n v="35000000"/>
    <n v="25000000"/>
    <n v="16000000"/>
    <n v="12500000"/>
    <n v="8000000"/>
    <n v="5"/>
    <n v="0"/>
    <n v="0"/>
    <n v="0"/>
    <n v="0"/>
    <s v="CP Panel"/>
    <x v="0"/>
    <x v="0"/>
    <x v="1"/>
    <x v="6"/>
    <m/>
    <m/>
    <m/>
    <n v="1"/>
    <m/>
    <m/>
    <m/>
    <s v="CP"/>
    <m/>
    <m/>
    <x v="2"/>
    <x v="1"/>
    <m/>
    <x v="8"/>
  </r>
  <r>
    <n v="1005"/>
    <x v="47"/>
    <x v="47"/>
    <x v="42"/>
    <x v="1"/>
    <s v="EVA LAI"/>
    <n v="982"/>
    <s v="Environmental Declaration"/>
    <s v="Supplier"/>
    <m/>
    <x v="253"/>
    <s v="DB_Env_Declaration_22Mar2010.xls"/>
    <s v=".xls"/>
    <d v="2014-03-24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1003"/>
    <x v="47"/>
    <x v="47"/>
    <x v="42"/>
    <x v="1"/>
    <s v="EVA LAI"/>
    <n v="980"/>
    <s v="Responsible Purchasing Charter"/>
    <s v="Supplier"/>
    <m/>
    <x v="60"/>
    <s v="DB_Products_Responsible_Purchasing_Charter_20Aug12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002"/>
    <x v="47"/>
    <x v="47"/>
    <x v="42"/>
    <x v="1"/>
    <s v="EVA LAI"/>
    <n v="979"/>
    <s v="SEF"/>
    <s v="Supplier"/>
    <m/>
    <x v="254"/>
    <s v="DB product_SEF_2012.xlsx"/>
    <s v=".xlsx"/>
    <d v="2014-03-24T00:00:00"/>
    <s v="as\afok"/>
    <m/>
    <s v="2012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004"/>
    <x v="47"/>
    <x v="47"/>
    <x v="42"/>
    <x v="1"/>
    <s v="EVA LAI"/>
    <n v="981"/>
    <s v="SIF"/>
    <s v="Supplier"/>
    <m/>
    <x v="80"/>
    <s v="DB_SIF_19May2010.xls"/>
    <s v=".xls"/>
    <d v="2014-03-24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2717"/>
    <x v="48"/>
    <x v="48"/>
    <x v="43"/>
    <x v="3"/>
    <s v="JIMMY HO"/>
    <n v="2560"/>
    <s v="Contract: General Contract"/>
    <s v="Supplier"/>
    <m/>
    <x v="255"/>
    <s v="Victory _ Development and Supply Agreement (General Agreement).pdf"/>
    <s v=".pdf"/>
    <d v="2014-04-24T00:00:00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m/>
    <s v="SP"/>
    <m/>
    <x v="9"/>
    <x v="1"/>
    <m/>
    <x v="12"/>
  </r>
  <r>
    <n v="2708"/>
    <x v="48"/>
    <x v="48"/>
    <x v="43"/>
    <x v="3"/>
    <s v="JIMMY HO"/>
    <n v="2551"/>
    <s v="Contract: General Contract"/>
    <s v="Supplier"/>
    <m/>
    <x v="256"/>
    <s v="DCH_General agreement_ind.11_2013-01-09.pdf"/>
    <s v=".pdf"/>
    <d v="2014-04-24T00:00:00"/>
    <s v="as\afok"/>
    <m/>
    <s v="FHA 00 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12"/>
  </r>
  <r>
    <n v="2711"/>
    <x v="48"/>
    <x v="48"/>
    <x v="43"/>
    <x v="3"/>
    <s v="JIMMY HO"/>
    <n v="2554"/>
    <s v="Contract: Quality Appendix"/>
    <s v="Supplier"/>
    <m/>
    <x v="256"/>
    <s v="DCH_General agreement_ind.11_2013-01-09.pdf"/>
    <s v=".pdf"/>
    <d v="2014-04-24T00:00:00"/>
    <s v="as\afok"/>
    <m/>
    <m/>
    <x v="0"/>
    <x v="0"/>
    <x v="0"/>
    <x v="7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x v="9"/>
    <x v="1"/>
    <m/>
    <x v="12"/>
  </r>
  <r>
    <n v="2710"/>
    <x v="48"/>
    <x v="48"/>
    <x v="43"/>
    <x v="3"/>
    <s v="JIMMY HO"/>
    <n v="2553"/>
    <s v="Contract: Supply Chain Appendix"/>
    <s v="Supplier"/>
    <m/>
    <x v="256"/>
    <s v="DCH_General agreement_ind.11_2013-01-09.pdf"/>
    <s v=".pdf"/>
    <d v="2014-04-24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x v="9"/>
    <x v="1"/>
    <m/>
    <x v="12"/>
  </r>
  <r>
    <n v="2712"/>
    <x v="48"/>
    <x v="48"/>
    <x v="43"/>
    <x v="3"/>
    <s v="JIMMY HO"/>
    <n v="2555"/>
    <s v="Declaration letter of group organization"/>
    <s v="Supplier"/>
    <m/>
    <x v="257"/>
    <s v="DCH_General agreement_ind.11_2013-01-09.pdf"/>
    <s v=".pdf"/>
    <d v="2014-04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2"/>
  </r>
  <r>
    <n v="2709"/>
    <x v="48"/>
    <x v="48"/>
    <x v="43"/>
    <x v="3"/>
    <s v="JIMMY HO"/>
    <n v="2552"/>
    <s v="Environmental Declaration"/>
    <s v="Supplier"/>
    <m/>
    <x v="256"/>
    <s v="DCH_General agreement_ind.11_2013-01-09.pdf"/>
    <s v=".pdf"/>
    <d v="2014-04-24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2"/>
  </r>
  <r>
    <n v="2713"/>
    <x v="48"/>
    <x v="48"/>
    <x v="43"/>
    <x v="3"/>
    <s v="JIMMY HO"/>
    <n v="2556"/>
    <s v="Exclusivity (EA)"/>
    <s v="Supplier"/>
    <m/>
    <x v="258"/>
    <s v="DCH -  WORLDWIDE EXCLUSIVITY 23Sep10.XLS"/>
    <s v=".xls"/>
    <d v="2014-04-24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2"/>
  </r>
  <r>
    <n v="2715"/>
    <x v="48"/>
    <x v="48"/>
    <x v="43"/>
    <x v="3"/>
    <s v="JIMMY HO"/>
    <n v="2558"/>
    <s v="Responsible Purchasing Charter"/>
    <s v="Supplier"/>
    <m/>
    <x v="259"/>
    <s v="DCH - Responsible Purchasing Charter.pdf"/>
    <s v=".pdf"/>
    <d v="2014-04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2"/>
  </r>
  <r>
    <n v="2714"/>
    <x v="48"/>
    <x v="48"/>
    <x v="43"/>
    <x v="3"/>
    <s v="JIMMY HO"/>
    <n v="2557"/>
    <s v="SEF"/>
    <s v="Supplier"/>
    <m/>
    <x v="55"/>
    <s v="SEF_DCH_201206.xlsx"/>
    <s v=".xlsx"/>
    <d v="2014-04-24T00:00:00"/>
    <s v="as\afok"/>
    <m/>
    <s v="2012"/>
    <x v="0"/>
    <x v="0"/>
    <x v="0"/>
    <x v="0"/>
    <m/>
    <m/>
    <m/>
    <m/>
    <n v="63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2"/>
  </r>
  <r>
    <n v="2707"/>
    <x v="48"/>
    <x v="48"/>
    <x v="43"/>
    <x v="3"/>
    <s v="JIMMY HO"/>
    <n v="2550"/>
    <s v="SIF"/>
    <s v="Supplier"/>
    <m/>
    <x v="260"/>
    <s v="SIF 2013 DCH.xlsx"/>
    <s v=".xlsx"/>
    <d v="2014-04-24T00:00:00"/>
    <s v="as\afok"/>
    <m/>
    <s v="2013"/>
    <x v="0"/>
    <x v="0"/>
    <x v="0"/>
    <x v="0"/>
    <m/>
    <m/>
    <m/>
    <m/>
    <m/>
    <n v="2013"/>
    <n v="44000000"/>
    <n v="38000000"/>
    <n v="30000000"/>
    <n v="40000000"/>
    <n v="51000000"/>
    <n v="40"/>
    <n v="35"/>
    <n v="40"/>
    <n v="45"/>
    <n v="40"/>
    <m/>
    <x v="0"/>
    <x v="0"/>
    <x v="0"/>
    <x v="0"/>
    <m/>
    <m/>
    <m/>
    <n v="1"/>
    <m/>
    <m/>
    <s v="FP"/>
    <m/>
    <s v="SP"/>
    <m/>
    <x v="9"/>
    <x v="1"/>
    <m/>
    <x v="12"/>
  </r>
  <r>
    <n v="2716"/>
    <x v="48"/>
    <x v="48"/>
    <x v="43"/>
    <x v="3"/>
    <s v="JIMMY HO"/>
    <n v="2559"/>
    <s v="SPR"/>
    <s v="Supplier"/>
    <m/>
    <x v="261"/>
    <s v="Victory_SPR_2009.xlsx"/>
    <s v=".xlsx"/>
    <d v="2014-04-24T00:00:00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2"/>
  </r>
  <r>
    <n v="1761"/>
    <x v="49"/>
    <x v="49"/>
    <x v="44"/>
    <x v="5"/>
    <s v="JOHN YAN"/>
    <n v="1718"/>
    <s v="Contract: General Contract"/>
    <s v="Supplier"/>
    <m/>
    <x v="262"/>
    <s v="Dechang_Supply Agreement_Components_31May2013.pdf"/>
    <s v=".pdf"/>
    <d v="2014-04-08T00:00:00"/>
    <s v="as\afok"/>
    <m/>
    <s v="V8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m/>
    <m/>
    <m/>
    <x v="11"/>
    <x v="1"/>
    <m/>
    <x v="3"/>
  </r>
  <r>
    <n v="1763"/>
    <x v="49"/>
    <x v="49"/>
    <x v="44"/>
    <x v="5"/>
    <s v="JOHN YAN"/>
    <n v="1720"/>
    <s v="Contract: Quality Appendix"/>
    <s v="Supplier"/>
    <m/>
    <x v="78"/>
    <s v="Dechang_Supply Agreement_Components_31May2013.pdf"/>
    <s v=".pdf"/>
    <d v="2014-04-08T00:00:0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m/>
    <m/>
    <m/>
    <x v="11"/>
    <x v="1"/>
    <m/>
    <x v="3"/>
  </r>
  <r>
    <n v="1764"/>
    <x v="49"/>
    <x v="49"/>
    <x v="44"/>
    <x v="5"/>
    <s v="JOHN YAN"/>
    <n v="1721"/>
    <s v="Contract: Supply Chain Appendix"/>
    <s v="Supplier"/>
    <m/>
    <x v="78"/>
    <s v="Dechang_Supply Agreement_Components_31May2013.pdf"/>
    <s v=".pdf"/>
    <d v="2014-04-08T00:00:00"/>
    <s v="as\afok"/>
    <m/>
    <m/>
    <x v="0"/>
    <x v="8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m/>
    <m/>
    <m/>
    <x v="11"/>
    <x v="1"/>
    <m/>
    <x v="3"/>
  </r>
  <r>
    <n v="1765"/>
    <x v="49"/>
    <x v="49"/>
    <x v="44"/>
    <x v="5"/>
    <s v="JOHN YAN"/>
    <n v="1722"/>
    <s v="Declaration letter of group organization"/>
    <s v="Supplier"/>
    <m/>
    <x v="168"/>
    <s v="Dechang_Supply Agreement_Components_31May2013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x v="11"/>
    <x v="1"/>
    <m/>
    <x v="3"/>
  </r>
  <r>
    <n v="1762"/>
    <x v="49"/>
    <x v="49"/>
    <x v="44"/>
    <x v="5"/>
    <s v="JOHN YAN"/>
    <n v="1719"/>
    <s v="Environmental Declaration"/>
    <s v="Supplier"/>
    <m/>
    <x v="262"/>
    <s v="Dechang_Supply Agreement_Components_31May2013.pdf"/>
    <s v=".pdf"/>
    <d v="2014-04-08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x v="11"/>
    <x v="1"/>
    <m/>
    <x v="3"/>
  </r>
  <r>
    <n v="1766"/>
    <x v="49"/>
    <x v="49"/>
    <x v="44"/>
    <x v="5"/>
    <s v="JOHN YAN"/>
    <n v="1723"/>
    <s v="LOC (Letter of Confidentiality)"/>
    <s v="Supplier"/>
    <m/>
    <x v="78"/>
    <s v="Dechang_LOC_31May2013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x v="11"/>
    <x v="1"/>
    <m/>
    <x v="3"/>
  </r>
  <r>
    <n v="1768"/>
    <x v="49"/>
    <x v="49"/>
    <x v="44"/>
    <x v="5"/>
    <s v="JOHN YAN"/>
    <n v="1725"/>
    <s v="Responsible Purchasing Charter"/>
    <s v="Supplier"/>
    <m/>
    <x v="262"/>
    <s v="Dechang_Responsible purchasing charter_31May2013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m/>
    <m/>
    <m/>
    <m/>
    <x v="11"/>
    <x v="1"/>
    <m/>
    <x v="3"/>
  </r>
  <r>
    <n v="1767"/>
    <x v="49"/>
    <x v="49"/>
    <x v="44"/>
    <x v="5"/>
    <s v="JOHN YAN"/>
    <n v="1724"/>
    <s v="SIF"/>
    <s v="Supplier"/>
    <m/>
    <x v="263"/>
    <s v="De Chang_SIF_Feb2014.xls"/>
    <s v=".xls"/>
    <d v="2014-04-08T00:00:00"/>
    <s v="as\afok"/>
    <m/>
    <s v="2014"/>
    <x v="0"/>
    <x v="0"/>
    <x v="0"/>
    <x v="0"/>
    <m/>
    <m/>
    <m/>
    <m/>
    <m/>
    <n v="2014"/>
    <n v="88700000"/>
    <n v="80600000"/>
    <n v="77400000"/>
    <n v="67700000"/>
    <n v="50000000"/>
    <m/>
    <m/>
    <m/>
    <m/>
    <m/>
    <m/>
    <x v="0"/>
    <x v="0"/>
    <x v="0"/>
    <x v="0"/>
    <m/>
    <m/>
    <m/>
    <n v="1"/>
    <m/>
    <m/>
    <m/>
    <m/>
    <m/>
    <m/>
    <x v="11"/>
    <x v="1"/>
    <m/>
    <x v="3"/>
  </r>
  <r>
    <n v="607"/>
    <x v="50"/>
    <x v="50"/>
    <x v="45"/>
    <x v="1"/>
    <s v="DAVID LIM"/>
    <n v="590"/>
    <s v="Contract: General Contract"/>
    <s v="Supplier"/>
    <m/>
    <x v="264"/>
    <s v="DEL_Manufacturing_agreement_20nov2012.pdf"/>
    <s v=".pdf"/>
    <d v="2014-03-19T00:00:00"/>
    <s v="as\afok"/>
    <m/>
    <m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s v="SP"/>
    <m/>
    <x v="12"/>
    <x v="1"/>
    <m/>
    <x v="13"/>
  </r>
  <r>
    <n v="610"/>
    <x v="50"/>
    <x v="50"/>
    <x v="45"/>
    <x v="1"/>
    <s v="DAVID LIM"/>
    <n v="593"/>
    <s v="Contract: Quality Appendix"/>
    <s v="Supplier"/>
    <m/>
    <x v="265"/>
    <s v="DEL_Manufacturing_agreement_20nov2012.pdf"/>
    <s v=".pdf"/>
    <d v="2014-03-19T00:00:00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s v="SP"/>
    <m/>
    <x v="12"/>
    <x v="1"/>
    <m/>
    <x v="13"/>
  </r>
  <r>
    <n v="609"/>
    <x v="50"/>
    <x v="50"/>
    <x v="45"/>
    <x v="1"/>
    <s v="DAVID LIM"/>
    <n v="592"/>
    <s v="Declaration letter of group organization"/>
    <s v="Supplier"/>
    <m/>
    <x v="266"/>
    <s v="DEL_Manufacturing_agreement_20nov2012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x v="12"/>
    <x v="1"/>
    <m/>
    <x v="13"/>
  </r>
  <r>
    <n v="606"/>
    <x v="50"/>
    <x v="50"/>
    <x v="45"/>
    <x v="1"/>
    <s v="DAVID LIM"/>
    <n v="589"/>
    <s v="Environmental Declaration"/>
    <s v="Supplier"/>
    <m/>
    <x v="267"/>
    <s v="Del_Manufacturing_Env_Declaration_13May2010.xls"/>
    <s v=".xls"/>
    <d v="2014-03-19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x v="12"/>
    <x v="1"/>
    <m/>
    <x v="13"/>
  </r>
  <r>
    <n v="608"/>
    <x v="50"/>
    <x v="50"/>
    <x v="45"/>
    <x v="1"/>
    <s v="DAVID LIM"/>
    <n v="591"/>
    <s v="Environmental Declaration"/>
    <s v="Supplier"/>
    <m/>
    <x v="268"/>
    <s v="DEL_Manufacturing_agreement_20nov2012.pdf"/>
    <s v=".pdf"/>
    <d v="2014-03-19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x v="12"/>
    <x v="1"/>
    <m/>
    <x v="13"/>
  </r>
  <r>
    <n v="603"/>
    <x v="51"/>
    <x v="51"/>
    <x v="45"/>
    <x v="1"/>
    <s v="DAVID LIM"/>
    <n v="586"/>
    <s v="ISO 14001"/>
    <s v="Supplier"/>
    <d v="2011-10-15T00:00:00"/>
    <x v="269"/>
    <s v="Defond_ISO9001_07Sep2010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x v="12"/>
    <x v="1"/>
    <m/>
    <x v="21"/>
  </r>
  <r>
    <n v="615"/>
    <x v="50"/>
    <x v="50"/>
    <x v="45"/>
    <x v="1"/>
    <s v="DAVID LIM"/>
    <n v="598"/>
    <s v="LOC (Letter of Confidentiality)"/>
    <s v="Supplier"/>
    <m/>
    <x v="244"/>
    <s v="LOC_Defond_2011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s v="SP"/>
    <m/>
    <x v="12"/>
    <x v="1"/>
    <m/>
    <x v="13"/>
  </r>
  <r>
    <n v="605"/>
    <x v="51"/>
    <x v="51"/>
    <x v="45"/>
    <x v="1"/>
    <s v="DAVID LIM"/>
    <n v="588"/>
    <s v="Responsible Purchasing Charter"/>
    <s v="Supplier"/>
    <m/>
    <x v="270"/>
    <s v="Defond_Responsible_Purchasing_Charter_28Aug2012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x v="12"/>
    <x v="1"/>
    <m/>
    <x v="21"/>
  </r>
  <r>
    <n v="592"/>
    <x v="51"/>
    <x v="51"/>
    <x v="45"/>
    <x v="1"/>
    <s v="DAVID LIM"/>
    <n v="575"/>
    <s v="SEF"/>
    <s v="Supplier"/>
    <m/>
    <x v="117"/>
    <s v="Defond Industrial_SEF_2013-1.xlsx"/>
    <s v=".xlsx"/>
    <d v="2014-03-19T00:00:00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x v="12"/>
    <x v="1"/>
    <m/>
    <x v="21"/>
  </r>
  <r>
    <n v="613"/>
    <x v="50"/>
    <x v="50"/>
    <x v="45"/>
    <x v="1"/>
    <s v="DAVID LIM"/>
    <n v="596"/>
    <s v="SEF"/>
    <s v="Supplier"/>
    <m/>
    <x v="123"/>
    <s v="Defond Manufacturing_SEF_2012.xls"/>
    <s v=".xls"/>
    <d v="2014-03-19T00:00:00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x v="12"/>
    <x v="1"/>
    <m/>
    <x v="13"/>
  </r>
  <r>
    <n v="611"/>
    <x v="50"/>
    <x v="50"/>
    <x v="45"/>
    <x v="1"/>
    <s v="DAVID LIM"/>
    <n v="594"/>
    <s v="SEF"/>
    <s v="Supplier"/>
    <m/>
    <x v="107"/>
    <s v="Defond Mfg_SEF 2012 Nov.xls"/>
    <s v=".xls"/>
    <d v="2014-03-19T00:00:00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x v="12"/>
    <x v="1"/>
    <m/>
    <x v="13"/>
  </r>
  <r>
    <n v="601"/>
    <x v="50"/>
    <x v="50"/>
    <x v="45"/>
    <x v="1"/>
    <s v="DAVID LIM"/>
    <n v="584"/>
    <s v="SPR"/>
    <s v="Supplier"/>
    <m/>
    <x v="115"/>
    <s v="Defond MFG-VT_SPR_OCT2012.ppt"/>
    <s v=".ppt"/>
    <d v="2014-03-19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x v="12"/>
    <x v="1"/>
    <m/>
    <x v="13"/>
  </r>
  <r>
    <n v="595"/>
    <x v="52"/>
    <x v="52"/>
    <x v="46"/>
    <x v="1"/>
    <s v="DAVID LIM"/>
    <n v="578"/>
    <s v="Contract: General Contract"/>
    <s v="Supplier"/>
    <m/>
    <x v="21"/>
    <s v="DEL_Component_General Agreement_4FEB2013.pdf"/>
    <s v=".pdf"/>
    <d v="2014-03-19T00:00:00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x v="2"/>
    <x v="1"/>
    <m/>
    <x v="22"/>
  </r>
  <r>
    <n v="597"/>
    <x v="52"/>
    <x v="52"/>
    <x v="46"/>
    <x v="1"/>
    <s v="DAVID LIM"/>
    <n v="580"/>
    <s v="Contract: Quality Appendix"/>
    <s v="Supplier"/>
    <m/>
    <x v="271"/>
    <s v="DEL_Component_General Agreement_4FEB2013.pdf"/>
    <s v=".pdf"/>
    <d v="2014-03-19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x v="2"/>
    <x v="1"/>
    <m/>
    <x v="22"/>
  </r>
  <r>
    <n v="598"/>
    <x v="52"/>
    <x v="52"/>
    <x v="46"/>
    <x v="1"/>
    <s v="DAVID LIM"/>
    <n v="581"/>
    <s v="Contract: Supply Chain Appendix"/>
    <s v="Supplier"/>
    <m/>
    <x v="271"/>
    <s v="DEL_Component_General Agreement_4FEB2013.pdf"/>
    <s v=".pdf"/>
    <d v="2014-03-19T00:00:00"/>
    <s v="as\afok"/>
    <m/>
    <m/>
    <x v="0"/>
    <x v="9"/>
    <x v="2"/>
    <x v="0"/>
    <m/>
    <m/>
    <m/>
    <m/>
    <m/>
    <m/>
    <m/>
    <m/>
    <m/>
    <m/>
    <m/>
    <m/>
    <m/>
    <m/>
    <m/>
    <m/>
    <s v="CP Panel"/>
    <x v="0"/>
    <x v="0"/>
    <x v="1"/>
    <x v="2"/>
    <m/>
    <m/>
    <n v="1"/>
    <n v="1"/>
    <m/>
    <m/>
    <m/>
    <s v="CP"/>
    <m/>
    <m/>
    <x v="2"/>
    <x v="1"/>
    <m/>
    <x v="22"/>
  </r>
  <r>
    <n v="599"/>
    <x v="52"/>
    <x v="52"/>
    <x v="46"/>
    <x v="1"/>
    <s v="DAVID LIM"/>
    <n v="582"/>
    <s v="Declaration letter of group organization"/>
    <s v="Supplier"/>
    <m/>
    <x v="265"/>
    <s v="DEL_Component_General Agreement_4FEB2013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2"/>
  </r>
  <r>
    <n v="596"/>
    <x v="52"/>
    <x v="52"/>
    <x v="46"/>
    <x v="1"/>
    <s v="DAVID LIM"/>
    <n v="579"/>
    <s v="Environmental Declaration"/>
    <s v="Supplier"/>
    <m/>
    <x v="21"/>
    <s v="DEL_Component_General Agreement_4FEB2013.pdf"/>
    <s v=".pdf"/>
    <d v="2014-03-19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2"/>
  </r>
  <r>
    <n v="604"/>
    <x v="52"/>
    <x v="52"/>
    <x v="46"/>
    <x v="1"/>
    <s v="DAVID LIM"/>
    <n v="587"/>
    <s v="ISO 9001"/>
    <s v="Supplier"/>
    <d v="2011-05-09T00:00:00"/>
    <x v="272"/>
    <s v="Defond_ISO14001_16Oct2008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2"/>
  </r>
  <r>
    <n v="600"/>
    <x v="52"/>
    <x v="52"/>
    <x v="46"/>
    <x v="1"/>
    <s v="DAVID LIM"/>
    <n v="583"/>
    <s v="Responsible Purchasing Charter"/>
    <s v="Supplier"/>
    <m/>
    <x v="21"/>
    <s v="DEL_Component_Responsible_Purchasing_Charter_04Feb2013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2"/>
  </r>
  <r>
    <n v="612"/>
    <x v="52"/>
    <x v="52"/>
    <x v="46"/>
    <x v="1"/>
    <s v="DAVID LIM"/>
    <n v="595"/>
    <s v="SEF"/>
    <s v="Supplier"/>
    <m/>
    <x v="107"/>
    <s v="Defond Components_SEF 2012 Nov.xlsx"/>
    <s v=".xlsx"/>
    <d v="2014-03-19T00:00:00"/>
    <s v="as\afok"/>
    <m/>
    <s v="2012"/>
    <x v="0"/>
    <x v="0"/>
    <x v="0"/>
    <x v="0"/>
    <m/>
    <m/>
    <m/>
    <m/>
    <n v="81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2"/>
  </r>
  <r>
    <n v="593"/>
    <x v="52"/>
    <x v="52"/>
    <x v="46"/>
    <x v="1"/>
    <s v="DAVID LIM"/>
    <n v="576"/>
    <s v="SEF"/>
    <s v="Supplier"/>
    <m/>
    <x v="117"/>
    <s v="DEL components_SEF_2013-1.xlsx"/>
    <s v=".xlsx"/>
    <d v="2014-03-19T00:00:00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2"/>
  </r>
  <r>
    <n v="614"/>
    <x v="52"/>
    <x v="52"/>
    <x v="46"/>
    <x v="1"/>
    <s v="DAVID LIM"/>
    <n v="597"/>
    <s v="SEF"/>
    <s v="Supplier"/>
    <m/>
    <x v="229"/>
    <s v="Defond Components_SEF_2012.xlsx"/>
    <s v=".xlsx"/>
    <d v="2014-03-19T00:00:00"/>
    <s v="as\afok"/>
    <m/>
    <s v="2012"/>
    <x v="0"/>
    <x v="0"/>
    <x v="0"/>
    <x v="0"/>
    <m/>
    <m/>
    <m/>
    <m/>
    <n v="86"/>
    <m/>
    <m/>
    <m/>
    <m/>
    <m/>
    <m/>
    <m/>
    <m/>
    <m/>
    <m/>
    <m/>
    <s v="CP Panel"/>
    <x v="0"/>
    <x v="0"/>
    <x v="1"/>
    <x v="2"/>
    <m/>
    <m/>
    <m/>
    <n v="1"/>
    <n v="1"/>
    <m/>
    <m/>
    <s v="CP"/>
    <m/>
    <m/>
    <x v="2"/>
    <x v="1"/>
    <m/>
    <x v="22"/>
  </r>
  <r>
    <n v="594"/>
    <x v="52"/>
    <x v="52"/>
    <x v="46"/>
    <x v="1"/>
    <s v="DAVID LIM"/>
    <n v="577"/>
    <s v="SIF"/>
    <s v="Supplier"/>
    <m/>
    <x v="271"/>
    <s v="DEL components_SEF_2013-1.xlsx"/>
    <s v=".xlsx"/>
    <d v="2014-03-19T00:00:00"/>
    <s v="as\afok"/>
    <m/>
    <s v="2013"/>
    <x v="0"/>
    <x v="0"/>
    <x v="0"/>
    <x v="0"/>
    <m/>
    <m/>
    <m/>
    <m/>
    <m/>
    <n v="2013"/>
    <n v="35000000"/>
    <n v="35000000"/>
    <n v="32000000"/>
    <n v="32000000"/>
    <n v="42000000"/>
    <n v="9"/>
    <n v="8"/>
    <m/>
    <m/>
    <m/>
    <s v="CP Panel"/>
    <x v="0"/>
    <x v="0"/>
    <x v="1"/>
    <x v="2"/>
    <m/>
    <m/>
    <m/>
    <n v="1"/>
    <m/>
    <m/>
    <m/>
    <s v="CP"/>
    <m/>
    <m/>
    <x v="2"/>
    <x v="1"/>
    <m/>
    <x v="22"/>
  </r>
  <r>
    <n v="602"/>
    <x v="52"/>
    <x v="52"/>
    <x v="46"/>
    <x v="1"/>
    <s v="DAVID LIM"/>
    <n v="585"/>
    <s v="SPR"/>
    <s v="Supplier"/>
    <m/>
    <x v="115"/>
    <s v="Defond components (switch)_SPR_OCT2012.pptx"/>
    <s v=".pptx"/>
    <d v="2014-03-19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2"/>
  </r>
  <r>
    <n v="1782"/>
    <x v="53"/>
    <x v="53"/>
    <x v="47"/>
    <x v="0"/>
    <s v="KA WING KELVIN CHAN"/>
    <n v="1739"/>
    <s v="Contract: General Contract"/>
    <s v="Supplier"/>
    <m/>
    <x v="273"/>
    <s v="Dickson FHA00016 ind.09 20090227.pdf"/>
    <s v=".pdf"/>
    <d v="2014-04-08T00:00:00"/>
    <s v="as\afok"/>
    <m/>
    <s v="FHA 00 016 ind.09"/>
    <x v="1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n v="1"/>
    <s v="FP"/>
    <m/>
    <s v="SP"/>
    <m/>
    <x v="9"/>
    <x v="1"/>
    <m/>
    <x v="23"/>
  </r>
  <r>
    <n v="1779"/>
    <x v="53"/>
    <x v="53"/>
    <x v="47"/>
    <x v="0"/>
    <s v="KA WING KELVIN CHAN"/>
    <n v="1736"/>
    <s v="Contract: General Contract"/>
    <s v="Product / Project"/>
    <m/>
    <x v="274"/>
    <s v="DICKSON_Supply Agreement_0441_82007A.PDF"/>
    <s v=".pdf"/>
    <d v="2014-04-08T00:00:00"/>
    <s v="as\afok"/>
    <m/>
    <m/>
    <x v="8"/>
    <x v="0"/>
    <x v="0"/>
    <x v="0"/>
    <s v="0441"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x v="9"/>
    <x v="1"/>
    <m/>
    <x v="23"/>
  </r>
  <r>
    <n v="1778"/>
    <x v="53"/>
    <x v="53"/>
    <x v="47"/>
    <x v="0"/>
    <s v="KA WING KELVIN CHAN"/>
    <n v="1735"/>
    <s v="Contract: General Contract"/>
    <s v="Product / Project"/>
    <m/>
    <x v="274"/>
    <s v="DICKSON_Supply Agreement_0440_82007B.PDF"/>
    <s v=".pdf"/>
    <d v="2014-04-08T00:00:00"/>
    <s v="as\afok"/>
    <m/>
    <m/>
    <x v="8"/>
    <x v="0"/>
    <x v="0"/>
    <x v="0"/>
    <s v="0440"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x v="9"/>
    <x v="1"/>
    <m/>
    <x v="23"/>
  </r>
  <r>
    <n v="1777"/>
    <x v="53"/>
    <x v="53"/>
    <x v="47"/>
    <x v="0"/>
    <s v="KA WING KELVIN CHAN"/>
    <n v="1734"/>
    <s v="Contract: General Contract"/>
    <s v="Product / Project"/>
    <m/>
    <x v="274"/>
    <s v="DICKSON_Supply Agreement_0437_ 82007C.PDF"/>
    <s v=".pdf"/>
    <d v="2014-04-08T00:00:00"/>
    <s v="as\afok"/>
    <m/>
    <m/>
    <x v="8"/>
    <x v="0"/>
    <x v="0"/>
    <x v="0"/>
    <s v="0437"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x v="9"/>
    <x v="1"/>
    <m/>
    <x v="23"/>
  </r>
  <r>
    <n v="1774"/>
    <x v="53"/>
    <x v="53"/>
    <x v="47"/>
    <x v="0"/>
    <s v="KA WING KELVIN CHAN"/>
    <n v="1731"/>
    <s v="Contract: General Contract"/>
    <s v="Product / Project"/>
    <m/>
    <x v="275"/>
    <s v="DICKSON_Supply_Agreement_0414_06Jul2006.pdf"/>
    <s v=".pdf"/>
    <d v="2014-04-08T00:00:00"/>
    <s v="as\afok"/>
    <m/>
    <m/>
    <x v="8"/>
    <x v="0"/>
    <x v="0"/>
    <x v="0"/>
    <s v="0414"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x v="9"/>
    <x v="1"/>
    <m/>
    <x v="23"/>
  </r>
  <r>
    <n v="1773"/>
    <x v="53"/>
    <x v="53"/>
    <x v="47"/>
    <x v="0"/>
    <s v="KA WING KELVIN CHAN"/>
    <n v="1730"/>
    <s v="Contract: General Contract"/>
    <s v="Supplier"/>
    <m/>
    <x v="276"/>
    <s v="DICKSON_Supply_Agreement_0323_23Apr2004.pdf"/>
    <s v=".pdf"/>
    <d v="2014-04-08T00:00:00"/>
    <s v="as\afok"/>
    <m/>
    <m/>
    <x v="8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x v="9"/>
    <x v="1"/>
    <m/>
    <x v="23"/>
  </r>
  <r>
    <n v="1775"/>
    <x v="53"/>
    <x v="53"/>
    <x v="47"/>
    <x v="0"/>
    <s v="KA WING KELVIN CHAN"/>
    <n v="1732"/>
    <s v="Environmental Declaration"/>
    <s v="Supplier"/>
    <m/>
    <x v="277"/>
    <s v="Dickson_Env_Declaration_03Jun2010.xls"/>
    <s v=".xls"/>
    <d v="2014-04-08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3"/>
  </r>
  <r>
    <n v="1780"/>
    <x v="53"/>
    <x v="53"/>
    <x v="47"/>
    <x v="0"/>
    <s v="KA WING KELVIN CHAN"/>
    <n v="1737"/>
    <s v="Exclusivity (EA)"/>
    <s v="Supplier"/>
    <m/>
    <x v="278"/>
    <s v="Dickson - Exclusivity Agreement 7May10.pdf"/>
    <s v=".pdf"/>
    <d v="2014-04-08T00:00:00"/>
    <s v="as\afok"/>
    <m/>
    <s v="FRD 6E 030 ind.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3"/>
  </r>
  <r>
    <n v="1776"/>
    <x v="53"/>
    <x v="53"/>
    <x v="47"/>
    <x v="0"/>
    <s v="KA WING KELVIN CHAN"/>
    <n v="1733"/>
    <s v="Exclusivity (EA)"/>
    <s v="Supplier"/>
    <m/>
    <x v="279"/>
    <s v="DICKSON _Exclusivity_372007.pdf"/>
    <s v=".pdf"/>
    <d v="2014-04-08T00:00:00"/>
    <s v="as\afok"/>
    <m/>
    <s v="FHA 00 034 ind.0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3"/>
  </r>
  <r>
    <n v="1781"/>
    <x v="53"/>
    <x v="53"/>
    <x v="47"/>
    <x v="0"/>
    <s v="KA WING KELVIN CHAN"/>
    <n v="1738"/>
    <s v="IP (Intellectual Property)"/>
    <s v="Supplier"/>
    <m/>
    <x v="280"/>
    <s v="Dickson - IP FRD6E029 29Mar10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3"/>
  </r>
  <r>
    <n v="1771"/>
    <x v="53"/>
    <x v="53"/>
    <x v="47"/>
    <x v="0"/>
    <s v="KA WING KELVIN CHAN"/>
    <n v="1728"/>
    <s v="Other business certifications (ex : FSC for Packaging)"/>
    <s v="Supplier"/>
    <m/>
    <x v="281"/>
    <s v="Dickson - change of factory name_3Sep12.pdf"/>
    <s v=".pdf"/>
    <d v="2014-04-08T00:00:00"/>
    <s v="as\afok"/>
    <s v="change of factory nam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3"/>
  </r>
  <r>
    <n v="1770"/>
    <x v="53"/>
    <x v="53"/>
    <x v="47"/>
    <x v="0"/>
    <s v="KA WING KELVIN CHAN"/>
    <n v="1727"/>
    <s v="SEF"/>
    <s v="Supplier"/>
    <m/>
    <x v="282"/>
    <s v="SEF - Dickson 2012.xlsx"/>
    <s v=".xlsx"/>
    <d v="2014-04-08T00:00:00"/>
    <s v="as\afok"/>
    <m/>
    <s v="2012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3"/>
  </r>
  <r>
    <n v="1769"/>
    <x v="53"/>
    <x v="53"/>
    <x v="47"/>
    <x v="0"/>
    <s v="KA WING KELVIN CHAN"/>
    <n v="1726"/>
    <s v="SEF"/>
    <s v="Supplier"/>
    <m/>
    <x v="74"/>
    <s v="SEF Dickson 2013.XLSX"/>
    <s v=".xlsx"/>
    <d v="2014-04-08T00:00:00"/>
    <s v="as\afok"/>
    <m/>
    <s v="2013"/>
    <x v="0"/>
    <x v="0"/>
    <x v="0"/>
    <x v="0"/>
    <m/>
    <m/>
    <m/>
    <m/>
    <n v="72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3"/>
  </r>
  <r>
    <n v="1772"/>
    <x v="53"/>
    <x v="53"/>
    <x v="47"/>
    <x v="0"/>
    <s v="KA WING KELVIN CHAN"/>
    <n v="1729"/>
    <s v="SIF"/>
    <s v="Supplier"/>
    <m/>
    <x v="283"/>
    <s v="Dickson_SIF 2011_15Apr11.xls"/>
    <s v=".xls"/>
    <d v="2014-04-08T00:00:00"/>
    <s v="as\afok"/>
    <m/>
    <s v="2011"/>
    <x v="0"/>
    <x v="0"/>
    <x v="0"/>
    <x v="0"/>
    <m/>
    <m/>
    <m/>
    <m/>
    <m/>
    <n v="2011"/>
    <n v="91000000"/>
    <n v="91000000"/>
    <n v="110000000"/>
    <n v="168000000"/>
    <n v="154000000"/>
    <m/>
    <m/>
    <m/>
    <m/>
    <m/>
    <m/>
    <x v="0"/>
    <x v="0"/>
    <x v="0"/>
    <x v="0"/>
    <m/>
    <m/>
    <m/>
    <n v="0"/>
    <m/>
    <m/>
    <s v="FP"/>
    <m/>
    <s v="SP"/>
    <m/>
    <x v="9"/>
    <x v="1"/>
    <m/>
    <x v="23"/>
  </r>
  <r>
    <n v="1009"/>
    <x v="54"/>
    <x v="54"/>
    <x v="48"/>
    <x v="1"/>
    <s v="EVA LAI"/>
    <n v="986"/>
    <s v="Responsible Purchasing Charter"/>
    <s v="Supplier"/>
    <m/>
    <x v="242"/>
    <s v="Dickson_Circuits_Responsible_Purchasing_Charter_06Aug12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1006"/>
    <x v="54"/>
    <x v="54"/>
    <x v="48"/>
    <x v="1"/>
    <s v="EVA LAI"/>
    <n v="983"/>
    <s v="SEF"/>
    <s v="Supplier"/>
    <m/>
    <x v="168"/>
    <s v="Dickson_SEF_2013-1.xls"/>
    <s v=".xls"/>
    <d v="2014-03-24T00:00:00"/>
    <s v="as\afok"/>
    <m/>
    <s v="2013"/>
    <x v="0"/>
    <x v="0"/>
    <x v="0"/>
    <x v="0"/>
    <m/>
    <m/>
    <m/>
    <m/>
    <n v="84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008"/>
    <x v="54"/>
    <x v="54"/>
    <x v="48"/>
    <x v="1"/>
    <s v="EVA LAI"/>
    <n v="985"/>
    <s v="SEF"/>
    <s v="Supplier"/>
    <m/>
    <x v="89"/>
    <s v="Dickson_Circuits_SEF_2012-2.xlsx"/>
    <s v=".xlsx"/>
    <d v="2014-03-24T00:00:00"/>
    <s v="as\afok"/>
    <m/>
    <s v="2012"/>
    <x v="0"/>
    <x v="0"/>
    <x v="0"/>
    <x v="0"/>
    <m/>
    <m/>
    <m/>
    <m/>
    <n v="71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007"/>
    <x v="54"/>
    <x v="54"/>
    <x v="48"/>
    <x v="1"/>
    <s v="EVA LAI"/>
    <n v="984"/>
    <s v="SIF"/>
    <s v="Supplier"/>
    <m/>
    <x v="262"/>
    <s v="Dickson_Circuits_SIF 2013.xlsx"/>
    <s v=".xlsx"/>
    <d v="2014-03-24T00:00:00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824"/>
    <x v="55"/>
    <x v="55"/>
    <x v="49"/>
    <x v="4"/>
    <s v="MAVERICK LAU"/>
    <n v="1781"/>
    <s v="Responsible Purchasing Charter"/>
    <s v="Supplier"/>
    <m/>
    <x v="19"/>
    <s v="DOCOME_Responsible_Purchasing_Charter_07Aug12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826"/>
    <x v="55"/>
    <x v="55"/>
    <x v="49"/>
    <x v="4"/>
    <s v="MAVERICK LAU"/>
    <n v="1783"/>
    <s v="SEF"/>
    <s v="Supplier"/>
    <m/>
    <x v="181"/>
    <s v="SEF-Docome-20120103-64.xlsx"/>
    <s v=".xlsx"/>
    <d v="2014-04-09T00:00:00"/>
    <s v="as\afok"/>
    <m/>
    <s v="2012"/>
    <x v="0"/>
    <x v="0"/>
    <x v="0"/>
    <x v="0"/>
    <m/>
    <m/>
    <m/>
    <m/>
    <n v="64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825"/>
    <x v="55"/>
    <x v="55"/>
    <x v="49"/>
    <x v="4"/>
    <s v="MAVERICK LAU"/>
    <n v="1782"/>
    <s v="SEF"/>
    <s v="Supplier"/>
    <m/>
    <x v="270"/>
    <s v="SEF-Docome-28AUG12-60.XLSX"/>
    <s v=".xlsx"/>
    <d v="2014-04-09T00:00:00"/>
    <s v="as\afok"/>
    <m/>
    <s v="2012"/>
    <x v="0"/>
    <x v="0"/>
    <x v="0"/>
    <x v="0"/>
    <m/>
    <m/>
    <m/>
    <m/>
    <n v="60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827"/>
    <x v="55"/>
    <x v="55"/>
    <x v="49"/>
    <x v="4"/>
    <s v="MAVERICK LAU"/>
    <n v="1784"/>
    <s v="SIF"/>
    <s v="Supplier"/>
    <m/>
    <x v="48"/>
    <s v="Docome_SIF2012_20APR12.xls"/>
    <s v=".xls"/>
    <d v="2014-04-09T00:00:00"/>
    <s v="as\afok"/>
    <m/>
    <s v="2012"/>
    <x v="0"/>
    <x v="0"/>
    <x v="0"/>
    <x v="0"/>
    <m/>
    <m/>
    <m/>
    <m/>
    <m/>
    <n v="2012"/>
    <n v="4500000"/>
    <m/>
    <m/>
    <m/>
    <m/>
    <n v="1"/>
    <m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1823"/>
    <x v="55"/>
    <x v="55"/>
    <x v="49"/>
    <x v="4"/>
    <s v="MAVERICK LAU"/>
    <n v="1780"/>
    <s v="SIF"/>
    <s v="Supplier"/>
    <m/>
    <x v="284"/>
    <s v="Docome_SIF2013.xlsx"/>
    <s v=".xlsx"/>
    <d v="2014-04-09T00:00:00"/>
    <s v="as\afok"/>
    <m/>
    <s v="2013"/>
    <x v="0"/>
    <x v="0"/>
    <x v="0"/>
    <x v="0"/>
    <m/>
    <m/>
    <m/>
    <m/>
    <m/>
    <n v="2013"/>
    <n v="3500000"/>
    <m/>
    <m/>
    <m/>
    <m/>
    <n v="0.01"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388"/>
    <x v="56"/>
    <x v="56"/>
    <x v="50"/>
    <x v="5"/>
    <s v="JASMINE YANG"/>
    <n v="1356"/>
    <s v="Environmental Declaration"/>
    <s v="Supplier"/>
    <m/>
    <x v="285"/>
    <s v="Dongnan_Environment_Declaration_18Aug2010.pdf"/>
    <s v=".pdf"/>
    <d v="2014-04-01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x v="2"/>
    <x v="1"/>
    <m/>
    <x v="24"/>
  </r>
  <r>
    <n v="1387"/>
    <x v="56"/>
    <x v="56"/>
    <x v="50"/>
    <x v="5"/>
    <s v="JASMINE YANG"/>
    <n v="1355"/>
    <s v="LOC (Letter of Confidentiality)"/>
    <s v="Supplier"/>
    <m/>
    <x v="285"/>
    <s v="Dongnan_LOC_18Aug2010.pdf"/>
    <s v=".pdf"/>
    <d v="2014-04-0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x v="2"/>
    <x v="1"/>
    <m/>
    <x v="24"/>
  </r>
  <r>
    <n v="1389"/>
    <x v="56"/>
    <x v="56"/>
    <x v="50"/>
    <x v="5"/>
    <s v="JASMINE YANG"/>
    <n v="1357"/>
    <s v="Responsible Purchasing Charter"/>
    <s v="Supplier"/>
    <m/>
    <x v="69"/>
    <s v="Dongnan_Responsible Purchaser Charter_9Aug2012.pdf"/>
    <s v=".pdf"/>
    <d v="2014-04-0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x v="2"/>
    <x v="1"/>
    <m/>
    <x v="24"/>
  </r>
  <r>
    <n v="1386"/>
    <x v="56"/>
    <x v="56"/>
    <x v="50"/>
    <x v="5"/>
    <s v="JASMINE YANG"/>
    <n v="1354"/>
    <s v="SIF"/>
    <s v="Supplier"/>
    <m/>
    <x v="286"/>
    <s v="Dongnan_SIF_13 May2013.xlsx"/>
    <s v=".xlsx"/>
    <d v="2014-04-01T00:00:00"/>
    <s v="as\afok"/>
    <m/>
    <s v="2013"/>
    <x v="0"/>
    <x v="0"/>
    <x v="0"/>
    <x v="0"/>
    <m/>
    <m/>
    <m/>
    <m/>
    <m/>
    <n v="2013"/>
    <n v="26200000"/>
    <n v="26190000"/>
    <n v="25390000"/>
    <n v="22820000"/>
    <n v="19000000"/>
    <m/>
    <m/>
    <m/>
    <m/>
    <m/>
    <s v="CP Panel"/>
    <x v="0"/>
    <x v="0"/>
    <x v="1"/>
    <x v="6"/>
    <m/>
    <m/>
    <m/>
    <n v="0"/>
    <m/>
    <m/>
    <m/>
    <s v="CP"/>
    <m/>
    <m/>
    <x v="2"/>
    <x v="1"/>
    <m/>
    <x v="24"/>
  </r>
  <r>
    <n v="1390"/>
    <x v="56"/>
    <x v="56"/>
    <x v="50"/>
    <x v="5"/>
    <s v="JASMINE YANG"/>
    <n v="1358"/>
    <s v="SIF"/>
    <s v="Supplier"/>
    <m/>
    <x v="10"/>
    <s v="Dongnan_SIF_25Apr2012.xls"/>
    <s v=".xls"/>
    <d v="2014-04-01T00:00:00"/>
    <s v="as\afok"/>
    <m/>
    <s v="2012"/>
    <x v="0"/>
    <x v="0"/>
    <x v="0"/>
    <x v="0"/>
    <m/>
    <m/>
    <m/>
    <m/>
    <m/>
    <n v="2012"/>
    <m/>
    <n v="26190000"/>
    <n v="25390000"/>
    <n v="22820000"/>
    <n v="19000000"/>
    <m/>
    <m/>
    <m/>
    <m/>
    <m/>
    <s v="CP Panel"/>
    <x v="0"/>
    <x v="0"/>
    <x v="1"/>
    <x v="6"/>
    <m/>
    <m/>
    <m/>
    <n v="0"/>
    <m/>
    <n v="1"/>
    <m/>
    <s v="CP"/>
    <m/>
    <m/>
    <x v="2"/>
    <x v="1"/>
    <m/>
    <x v="24"/>
  </r>
  <r>
    <n v="2487"/>
    <x v="57"/>
    <x v="57"/>
    <x v="51"/>
    <x v="3"/>
    <s v="JIMMY HO"/>
    <n v="12"/>
    <s v="Contract: General Contract"/>
    <s v="Supplier"/>
    <d v="2015-12-31T00:00:00"/>
    <x v="192"/>
    <s v="Donlim_General Agreement_ind.11_2013-01-18.pdf"/>
    <s v=".pdf"/>
    <d v="2014-03-04T00:00:00"/>
    <s v="as\afok"/>
    <m/>
    <s v="FHA00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20"/>
  </r>
  <r>
    <n v="2488"/>
    <x v="58"/>
    <x v="58"/>
    <x v="51"/>
    <x v="3"/>
    <s v="JIMMY HO"/>
    <n v="12"/>
    <s v="Contract: General Contract"/>
    <s v="Supplier"/>
    <d v="2015-12-31T00:00:00"/>
    <x v="192"/>
    <s v="Donlim_General Agreement_ind.11_2013-01-18.pdf"/>
    <s v=".pdf"/>
    <d v="2014-03-04T00:00:00"/>
    <s v="as\afok"/>
    <m/>
    <s v="FHA00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m/>
    <s v="SP"/>
    <s v="MOULD"/>
    <x v="4"/>
    <x v="1"/>
    <m/>
    <x v="7"/>
  </r>
  <r>
    <n v="2443"/>
    <x v="57"/>
    <x v="57"/>
    <x v="51"/>
    <x v="3"/>
    <s v="JIMMY HO"/>
    <n v="270"/>
    <s v="Contract: Quality Appendix"/>
    <s v="Supplier"/>
    <m/>
    <x v="287"/>
    <s v="Donlim_General Agreement_ind.11_2013-01-18.pdf"/>
    <s v=".pdf"/>
    <d v="2014-03-13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x v="9"/>
    <x v="1"/>
    <m/>
    <x v="20"/>
  </r>
  <r>
    <n v="2444"/>
    <x v="58"/>
    <x v="58"/>
    <x v="51"/>
    <x v="3"/>
    <s v="JIMMY HO"/>
    <n v="270"/>
    <s v="Contract: Quality Appendix"/>
    <s v="Supplier"/>
    <m/>
    <x v="287"/>
    <s v="Donlim_General Agreement_ind.11_2013-01-18.pdf"/>
    <s v=".pdf"/>
    <d v="2014-03-13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x v="4"/>
    <x v="1"/>
    <m/>
    <x v="7"/>
  </r>
  <r>
    <n v="2471"/>
    <x v="57"/>
    <x v="57"/>
    <x v="51"/>
    <x v="3"/>
    <s v="JIMMY HO"/>
    <n v="269"/>
    <s v="Contract: Supply Chain Appendix"/>
    <s v="Supplier"/>
    <m/>
    <x v="125"/>
    <s v="Donlim_General Agreement_ind.11_2013-01-18.pdf"/>
    <s v=".pdf"/>
    <d v="2014-03-13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x v="9"/>
    <x v="1"/>
    <m/>
    <x v="20"/>
  </r>
  <r>
    <n v="2472"/>
    <x v="58"/>
    <x v="58"/>
    <x v="51"/>
    <x v="3"/>
    <s v="JIMMY HO"/>
    <n v="269"/>
    <s v="Contract: Supply Chain Appendix"/>
    <s v="Supplier"/>
    <m/>
    <x v="125"/>
    <s v="Donlim_General Agreement_ind.11_2013-01-18.pdf"/>
    <s v=".pdf"/>
    <d v="2014-03-13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x v="4"/>
    <x v="1"/>
    <m/>
    <x v="7"/>
  </r>
  <r>
    <n v="2445"/>
    <x v="57"/>
    <x v="57"/>
    <x v="51"/>
    <x v="3"/>
    <s v="JIMMY HO"/>
    <n v="554"/>
    <s v="Declaration letter of group organization"/>
    <s v="Supplier"/>
    <m/>
    <x v="287"/>
    <s v="Donlim_General Agreement_ind.11_2013-01-18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46"/>
    <x v="58"/>
    <x v="58"/>
    <x v="51"/>
    <x v="3"/>
    <s v="JIMMY HO"/>
    <n v="554"/>
    <s v="Declaration letter of group organization"/>
    <s v="Supplier"/>
    <m/>
    <x v="287"/>
    <s v="Donlim_General Agreement_ind.11_2013-01-18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75"/>
    <x v="57"/>
    <x v="57"/>
    <x v="51"/>
    <x v="3"/>
    <s v="JIMMY HO"/>
    <n v="271"/>
    <s v="Environmental Declaration"/>
    <s v="Supplier"/>
    <m/>
    <x v="125"/>
    <s v="Donlim_General Agreement_ind.11_2013-01-18.pdf"/>
    <s v=".pdf"/>
    <d v="2014-03-13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76"/>
    <x v="58"/>
    <x v="58"/>
    <x v="51"/>
    <x v="3"/>
    <s v="JIMMY HO"/>
    <n v="271"/>
    <s v="Environmental Declaration"/>
    <s v="Supplier"/>
    <m/>
    <x v="125"/>
    <s v="Donlim_General Agreement_ind.11_2013-01-18.pdf"/>
    <s v=".pdf"/>
    <d v="2014-03-13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77"/>
    <x v="57"/>
    <x v="57"/>
    <x v="51"/>
    <x v="3"/>
    <s v="JIMMY HO"/>
    <n v="275"/>
    <s v="Exclusivity (EA)"/>
    <s v="Product / Project"/>
    <m/>
    <x v="257"/>
    <s v="Donlim (Xinbao)_EA_Changmei Handmixer_2012-07-27.pdf"/>
    <s v=".pdf"/>
    <d v="2014-03-13T00:00:00"/>
    <s v="as\afok"/>
    <s v="_x000d__x000a_"/>
    <m/>
    <x v="0"/>
    <x v="0"/>
    <x v="0"/>
    <x v="0"/>
    <s v="Changmei Handmix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84"/>
    <x v="58"/>
    <x v="58"/>
    <x v="51"/>
    <x v="3"/>
    <s v="JIMMY HO"/>
    <n v="272"/>
    <s v="Exclusivity (EA)"/>
    <s v="Product / Project"/>
    <m/>
    <x v="228"/>
    <s v="Donlim (Xinbao)_EA_RIO Filter coffee maker_2012-08-13.pdf"/>
    <s v=".pdf"/>
    <d v="2014-03-13T00:00:00"/>
    <s v="as\afok"/>
    <s v="_x000d__x000a_"/>
    <m/>
    <x v="0"/>
    <x v="0"/>
    <x v="0"/>
    <x v="0"/>
    <s v="RIO Filter coffee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83"/>
    <x v="57"/>
    <x v="57"/>
    <x v="51"/>
    <x v="3"/>
    <s v="JIMMY HO"/>
    <n v="272"/>
    <s v="Exclusivity (EA)"/>
    <s v="Product / Project"/>
    <m/>
    <x v="228"/>
    <s v="Donlim (Xinbao)_EA_RIO Filter coffee maker_2012-08-13.pdf"/>
    <s v=".pdf"/>
    <d v="2014-03-13T00:00:00"/>
    <s v="as\afok"/>
    <s v="_x000d__x000a_"/>
    <m/>
    <x v="0"/>
    <x v="0"/>
    <x v="0"/>
    <x v="0"/>
    <s v="RIO Filter coffee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74"/>
    <x v="58"/>
    <x v="58"/>
    <x v="51"/>
    <x v="3"/>
    <s v="JIMMY HO"/>
    <n v="273"/>
    <s v="Exclusivity (EA)"/>
    <s v="Supplier"/>
    <m/>
    <x v="288"/>
    <s v="Donlim Exclusivity Summary 2012-04-13.xlsx"/>
    <s v=".xlsx"/>
    <d v="2014-03-13T00:00:00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73"/>
    <x v="57"/>
    <x v="57"/>
    <x v="51"/>
    <x v="3"/>
    <s v="JIMMY HO"/>
    <n v="273"/>
    <s v="Exclusivity (EA)"/>
    <s v="Supplier"/>
    <m/>
    <x v="288"/>
    <s v="Donlim Exclusivity Summary 2012-04-13.xlsx"/>
    <s v=".xlsx"/>
    <d v="2014-03-13T00:00:00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56"/>
    <x v="58"/>
    <x v="58"/>
    <x v="51"/>
    <x v="3"/>
    <s v="JIMMY HO"/>
    <n v="274"/>
    <s v="Exclusivity (EA)"/>
    <s v="Supplier"/>
    <m/>
    <x v="289"/>
    <s v="Donlim Exclusivity Summary 2012-07-12.xlsx"/>
    <s v=".xlsx"/>
    <d v="2014-03-13T00:00:00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55"/>
    <x v="57"/>
    <x v="57"/>
    <x v="51"/>
    <x v="3"/>
    <s v="JIMMY HO"/>
    <n v="274"/>
    <s v="Exclusivity (EA)"/>
    <s v="Supplier"/>
    <m/>
    <x v="289"/>
    <s v="Donlim Exclusivity Summary 2012-07-12.xlsx"/>
    <s v=".xlsx"/>
    <d v="2014-03-13T00:00:00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78"/>
    <x v="58"/>
    <x v="58"/>
    <x v="51"/>
    <x v="3"/>
    <s v="JIMMY HO"/>
    <n v="275"/>
    <s v="Exclusivity (EA)"/>
    <s v="Product / Project"/>
    <m/>
    <x v="257"/>
    <s v="Donlim (Xinbao)_EA_Changmei Handmixer_2012-07-27.pdf"/>
    <s v=".pdf"/>
    <d v="2014-03-13T00:00:00"/>
    <s v="as\afok"/>
    <s v="_x000d__x000a_"/>
    <m/>
    <x v="0"/>
    <x v="0"/>
    <x v="0"/>
    <x v="0"/>
    <s v="Changmei Handmix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41"/>
    <x v="57"/>
    <x v="57"/>
    <x v="51"/>
    <x v="3"/>
    <s v="JIMMY HO"/>
    <n v="276"/>
    <s v="Exclusivity (EA)"/>
    <s v="Product / Project"/>
    <m/>
    <x v="290"/>
    <s v="Donlim (Xinbao)_EA_RIO FCM_2012-05-14.pdf"/>
    <s v=".pdf"/>
    <d v="2014-03-13T00:00:00"/>
    <s v="as\afok"/>
    <m/>
    <m/>
    <x v="0"/>
    <x v="0"/>
    <x v="0"/>
    <x v="0"/>
    <s v="RIO FCM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42"/>
    <x v="58"/>
    <x v="58"/>
    <x v="51"/>
    <x v="3"/>
    <s v="JIMMY HO"/>
    <n v="276"/>
    <s v="Exclusivity (EA)"/>
    <s v="Product / Project"/>
    <m/>
    <x v="290"/>
    <s v="Donlim (Xinbao)_EA_RIO FCM_2012-05-14.pdf"/>
    <s v=".pdf"/>
    <d v="2014-03-13T00:00:00"/>
    <s v="as\afok"/>
    <m/>
    <m/>
    <x v="0"/>
    <x v="0"/>
    <x v="0"/>
    <x v="0"/>
    <s v="RIO FCM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81"/>
    <x v="57"/>
    <x v="57"/>
    <x v="51"/>
    <x v="3"/>
    <s v="JIMMY HO"/>
    <n v="291"/>
    <s v="Foodstuffs declaration"/>
    <s v="Supplier"/>
    <m/>
    <x v="291"/>
    <s v="Donlim_Food Stuff Declaration_TOAST N EGG TT5500xx_20090518.pdf"/>
    <s v=".pdf"/>
    <d v="2014-03-14T00:00:00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82"/>
    <x v="58"/>
    <x v="58"/>
    <x v="51"/>
    <x v="3"/>
    <s v="JIMMY HO"/>
    <n v="291"/>
    <s v="Foodstuffs declaration"/>
    <s v="Supplier"/>
    <m/>
    <x v="291"/>
    <s v="Donlim_Food Stuff Declaration_TOAST N EGG TT5500xx_20090518.pdf"/>
    <s v=".pdf"/>
    <d v="2014-03-14T00:00:00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39"/>
    <x v="57"/>
    <x v="57"/>
    <x v="51"/>
    <x v="3"/>
    <s v="JIMMY HO"/>
    <n v="285"/>
    <s v="IP (Intellectual Property)"/>
    <s v="Product / Project"/>
    <m/>
    <x v="257"/>
    <s v="Donlim (Xinbao)_IP_Changmei Handmixer_2012-07-27.pdf"/>
    <s v=".pdf"/>
    <d v="2014-03-14T00:00:00"/>
    <s v="as\afok"/>
    <s v="_x000d__x000a_"/>
    <m/>
    <x v="0"/>
    <x v="0"/>
    <x v="0"/>
    <x v="0"/>
    <s v="Changmei Handmix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48"/>
    <x v="58"/>
    <x v="58"/>
    <x v="51"/>
    <x v="3"/>
    <s v="JIMMY HO"/>
    <n v="284"/>
    <s v="IP (Intellectual Property)"/>
    <s v="Product / Project"/>
    <m/>
    <x v="292"/>
    <s v="IP for Roti Stainless Steel Breadmaker 5Jan11.pdf"/>
    <s v=".pdf"/>
    <d v="2014-03-14T00:00:00"/>
    <s v="as\afok"/>
    <s v="_x000d__x000a_"/>
    <m/>
    <x v="0"/>
    <x v="0"/>
    <x v="0"/>
    <x v="0"/>
    <s v="Roti Stainless Steel Bread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47"/>
    <x v="57"/>
    <x v="57"/>
    <x v="51"/>
    <x v="3"/>
    <s v="JIMMY HO"/>
    <n v="284"/>
    <s v="IP (Intellectual Property)"/>
    <s v="Product / Project"/>
    <m/>
    <x v="292"/>
    <s v="IP for Roti Stainless Steel Breadmaker 5Jan11.pdf"/>
    <s v=".pdf"/>
    <d v="2014-03-14T00:00:00"/>
    <s v="as\afok"/>
    <s v="_x000d__x000a_"/>
    <m/>
    <x v="0"/>
    <x v="0"/>
    <x v="0"/>
    <x v="0"/>
    <s v="Roti Stainless Steel Bread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40"/>
    <x v="58"/>
    <x v="58"/>
    <x v="51"/>
    <x v="3"/>
    <s v="JIMMY HO"/>
    <n v="285"/>
    <s v="IP (Intellectual Property)"/>
    <s v="Product / Project"/>
    <m/>
    <x v="257"/>
    <s v="Donlim (Xinbao)_IP_Changmei Handmixer_2012-07-27.pdf"/>
    <s v=".pdf"/>
    <d v="2014-03-14T00:00:00"/>
    <s v="as\afok"/>
    <s v="_x000d__x000a_"/>
    <m/>
    <x v="0"/>
    <x v="0"/>
    <x v="0"/>
    <x v="0"/>
    <s v="Changmei Handmix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51"/>
    <x v="57"/>
    <x v="57"/>
    <x v="51"/>
    <x v="3"/>
    <s v="JIMMY HO"/>
    <n v="282"/>
    <s v="IP (Intellectual Property)"/>
    <s v="Product / Project"/>
    <m/>
    <x v="293"/>
    <s v="Donlim (Xinbao)_IP_Toast n Bean_17Nov11.pdf"/>
    <s v=".pdf"/>
    <d v="2014-03-14T00:00:00"/>
    <s v="as\afok"/>
    <s v="_x000d__x000a_"/>
    <m/>
    <x v="0"/>
    <x v="0"/>
    <x v="0"/>
    <x v="0"/>
    <s v="Toast n Bea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62"/>
    <x v="58"/>
    <x v="58"/>
    <x v="51"/>
    <x v="3"/>
    <s v="JIMMY HO"/>
    <n v="281"/>
    <s v="IP (Intellectual Property)"/>
    <s v="Product / Project"/>
    <m/>
    <x v="228"/>
    <s v="Donlim (Xinbao)_IP_RIO Filter coffee maker_2012-08-13.pdf"/>
    <s v=".pdf"/>
    <d v="2014-03-14T00:00:00"/>
    <s v="as\afok"/>
    <m/>
    <m/>
    <x v="0"/>
    <x v="0"/>
    <x v="0"/>
    <x v="0"/>
    <s v="RIO Filter coffee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85"/>
    <x v="57"/>
    <x v="57"/>
    <x v="51"/>
    <x v="3"/>
    <s v="JIMMY HO"/>
    <n v="283"/>
    <s v="IP (Intellectual Property)"/>
    <s v="Product / Project"/>
    <m/>
    <x v="225"/>
    <s v="Donlim_Intellectual Property_HASTING KETTLE_20100330.pdf"/>
    <s v=".pdf"/>
    <d v="2014-03-14T00:00:00"/>
    <s v="as\afok"/>
    <s v="_x000d__x000a_"/>
    <m/>
    <x v="0"/>
    <x v="0"/>
    <x v="0"/>
    <x v="0"/>
    <s v="HASTING KETTL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52"/>
    <x v="58"/>
    <x v="58"/>
    <x v="51"/>
    <x v="3"/>
    <s v="JIMMY HO"/>
    <n v="282"/>
    <s v="IP (Intellectual Property)"/>
    <s v="Product / Project"/>
    <m/>
    <x v="293"/>
    <s v="Donlim (Xinbao)_IP_Toast n Bean_17Nov11.pdf"/>
    <s v=".pdf"/>
    <d v="2014-03-14T00:00:00"/>
    <s v="as\afok"/>
    <s v="_x000d__x000a_"/>
    <m/>
    <x v="0"/>
    <x v="0"/>
    <x v="0"/>
    <x v="0"/>
    <s v="Toast n Bea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61"/>
    <x v="57"/>
    <x v="57"/>
    <x v="51"/>
    <x v="3"/>
    <s v="JIMMY HO"/>
    <n v="281"/>
    <s v="IP (Intellectual Property)"/>
    <s v="Product / Project"/>
    <m/>
    <x v="228"/>
    <s v="Donlim (Xinbao)_IP_RIO Filter coffee maker_2012-08-13.pdf"/>
    <s v=".pdf"/>
    <d v="2014-03-14T00:00:00"/>
    <s v="as\afok"/>
    <m/>
    <m/>
    <x v="0"/>
    <x v="0"/>
    <x v="0"/>
    <x v="0"/>
    <s v="RIO Filter coffee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86"/>
    <x v="58"/>
    <x v="58"/>
    <x v="51"/>
    <x v="3"/>
    <s v="JIMMY HO"/>
    <n v="283"/>
    <s v="IP (Intellectual Property)"/>
    <s v="Product / Project"/>
    <m/>
    <x v="225"/>
    <s v="Donlim_Intellectual Property_HASTING KETTLE_20100330.pdf"/>
    <s v=".pdf"/>
    <d v="2014-03-14T00:00:00"/>
    <s v="as\afok"/>
    <s v="_x000d__x000a_"/>
    <m/>
    <x v="0"/>
    <x v="0"/>
    <x v="0"/>
    <x v="0"/>
    <s v="HASTING KETTL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53"/>
    <x v="57"/>
    <x v="57"/>
    <x v="51"/>
    <x v="3"/>
    <s v="JIMMY HO"/>
    <n v="280"/>
    <s v="IP (Intellectual Property)"/>
    <s v="Product / Project"/>
    <m/>
    <x v="290"/>
    <s v="Donlim (Xinbao)_IP_RIO FCM_2012-05-14.pdf"/>
    <s v=".pdf"/>
    <d v="2014-03-14T00:00:00"/>
    <s v="as\afok"/>
    <s v="_x000d__x000a_"/>
    <m/>
    <x v="0"/>
    <x v="0"/>
    <x v="0"/>
    <x v="0"/>
    <s v="RIO FCM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54"/>
    <x v="58"/>
    <x v="58"/>
    <x v="51"/>
    <x v="3"/>
    <s v="JIMMY HO"/>
    <n v="280"/>
    <s v="IP (Intellectual Property)"/>
    <s v="Product / Project"/>
    <m/>
    <x v="290"/>
    <s v="Donlim (Xinbao)_IP_RIO FCM_2012-05-14.pdf"/>
    <s v=".pdf"/>
    <d v="2014-03-14T00:00:00"/>
    <s v="as\afok"/>
    <s v="_x000d__x000a_"/>
    <m/>
    <x v="0"/>
    <x v="0"/>
    <x v="0"/>
    <x v="0"/>
    <s v="RIO FCM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63"/>
    <x v="57"/>
    <x v="57"/>
    <x v="51"/>
    <x v="3"/>
    <s v="JIMMY HO"/>
    <n v="278"/>
    <s v="ISO 14001"/>
    <s v="Supplier"/>
    <d v="2013-09-08T00:00:00"/>
    <x v="294"/>
    <s v="Donlim_ISO14001-Xinbao 20130908.pdf"/>
    <s v=".pdf"/>
    <d v="2014-03-13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64"/>
    <x v="58"/>
    <x v="58"/>
    <x v="51"/>
    <x v="3"/>
    <s v="JIMMY HO"/>
    <n v="278"/>
    <s v="ISO 14001"/>
    <s v="Supplier"/>
    <d v="2013-09-08T00:00:00"/>
    <x v="294"/>
    <s v="Donlim_ISO14001-Xinbao 20130908.pdf"/>
    <s v=".pdf"/>
    <d v="2014-03-13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57"/>
    <x v="57"/>
    <x v="57"/>
    <x v="51"/>
    <x v="3"/>
    <s v="JIMMY HO"/>
    <n v="277"/>
    <s v="ISO 9001"/>
    <s v="Supplier"/>
    <d v="2014-07-18T00:00:00"/>
    <x v="295"/>
    <s v="XINBAO_ISO9001-18Jul2014.pdf"/>
    <s v=".pdf"/>
    <d v="2014-03-13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58"/>
    <x v="58"/>
    <x v="58"/>
    <x v="51"/>
    <x v="3"/>
    <s v="JIMMY HO"/>
    <n v="277"/>
    <s v="ISO 9001"/>
    <s v="Supplier"/>
    <d v="2014-07-18T00:00:00"/>
    <x v="295"/>
    <s v="XINBAO_ISO9001-18Jul2014.pdf"/>
    <s v=".pdf"/>
    <d v="2014-03-13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67"/>
    <x v="57"/>
    <x v="57"/>
    <x v="51"/>
    <x v="3"/>
    <s v="JIMMY HO"/>
    <n v="279"/>
    <s v="OHSAS 18001"/>
    <s v="Supplier"/>
    <d v="2013-12-10T00:00:00"/>
    <x v="296"/>
    <s v="XINBAO_OHSAS18001-10Dec2013.pdf"/>
    <s v=".pdf"/>
    <d v="2014-03-13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68"/>
    <x v="58"/>
    <x v="58"/>
    <x v="51"/>
    <x v="3"/>
    <s v="JIMMY HO"/>
    <n v="279"/>
    <s v="OHSAS 18001"/>
    <s v="Supplier"/>
    <d v="2013-12-10T00:00:00"/>
    <x v="296"/>
    <s v="XINBAO_OHSAS18001-10Dec2013.pdf"/>
    <s v=".pdf"/>
    <d v="2014-03-13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69"/>
    <x v="57"/>
    <x v="57"/>
    <x v="51"/>
    <x v="3"/>
    <s v="JIMMY HO"/>
    <n v="286"/>
    <s v="Responsible Purchasing Charter"/>
    <s v="Supplier"/>
    <m/>
    <x v="297"/>
    <s v="Donlim - Responsible Purchasing Charter (CH).PDF"/>
    <s v=".pdf"/>
    <d v="2014-03-14T00:00:00"/>
    <s v="as\afok"/>
    <s v="Chinese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60"/>
    <x v="58"/>
    <x v="58"/>
    <x v="51"/>
    <x v="3"/>
    <s v="JIMMY HO"/>
    <n v="287"/>
    <s v="Responsible Purchasing Charter"/>
    <s v="Supplier"/>
    <m/>
    <x v="281"/>
    <s v="Donlim - Responsible Purchasing Charter (ENG).PDF"/>
    <s v=".pdf"/>
    <d v="2014-03-14T00:00:00"/>
    <s v="as\afok"/>
    <s v="English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59"/>
    <x v="57"/>
    <x v="57"/>
    <x v="51"/>
    <x v="3"/>
    <s v="JIMMY HO"/>
    <n v="287"/>
    <s v="Responsible Purchasing Charter"/>
    <s v="Supplier"/>
    <m/>
    <x v="281"/>
    <s v="Donlim - Responsible Purchasing Charter (ENG).PDF"/>
    <s v=".pdf"/>
    <d v="2014-03-14T00:00:00"/>
    <s v="as\afok"/>
    <s v="English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70"/>
    <x v="58"/>
    <x v="58"/>
    <x v="51"/>
    <x v="3"/>
    <s v="JIMMY HO"/>
    <n v="286"/>
    <s v="Responsible Purchasing Charter"/>
    <s v="Supplier"/>
    <m/>
    <x v="297"/>
    <s v="Donlim - Responsible Purchasing Charter (CH).PDF"/>
    <s v=".pdf"/>
    <d v="2014-03-14T00:00:00"/>
    <s v="as\afok"/>
    <s v="Chinese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49"/>
    <x v="57"/>
    <x v="57"/>
    <x v="51"/>
    <x v="3"/>
    <s v="JIMMY HO"/>
    <n v="288"/>
    <s v="SEF"/>
    <s v="Supplier"/>
    <m/>
    <x v="55"/>
    <s v="SEF_Donlim_201206.xlsx"/>
    <s v=".xlsx"/>
    <d v="2014-03-14T00:00:00"/>
    <s v="as\afok"/>
    <m/>
    <s v="2012"/>
    <x v="0"/>
    <x v="0"/>
    <x v="0"/>
    <x v="0"/>
    <m/>
    <m/>
    <m/>
    <m/>
    <n v="67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2450"/>
    <x v="58"/>
    <x v="58"/>
    <x v="51"/>
    <x v="3"/>
    <s v="JIMMY HO"/>
    <n v="288"/>
    <s v="SEF"/>
    <s v="Supplier"/>
    <m/>
    <x v="55"/>
    <s v="SEF_Donlim_201206.xlsx"/>
    <s v=".xlsx"/>
    <d v="2014-03-14T00:00:00"/>
    <s v="as\afok"/>
    <m/>
    <s v="2012"/>
    <x v="0"/>
    <x v="0"/>
    <x v="0"/>
    <x v="0"/>
    <m/>
    <m/>
    <m/>
    <m/>
    <n v="67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7"/>
  </r>
  <r>
    <n v="2479"/>
    <x v="57"/>
    <x v="57"/>
    <x v="51"/>
    <x v="3"/>
    <s v="JIMMY HO"/>
    <n v="290"/>
    <s v="SIF"/>
    <s v="Supplier"/>
    <m/>
    <x v="271"/>
    <s v="Donlim_SIF_20130108  Donlim 2013.xlsx"/>
    <s v=".xlsx"/>
    <d v="2014-03-14T00:00:00"/>
    <s v="as\afok"/>
    <m/>
    <s v="2013"/>
    <x v="0"/>
    <x v="0"/>
    <x v="0"/>
    <x v="0"/>
    <m/>
    <m/>
    <m/>
    <m/>
    <m/>
    <n v="2013"/>
    <n v="810000000"/>
    <n v="714000000"/>
    <n v="701000000"/>
    <n v="623000000"/>
    <n v="400000000"/>
    <m/>
    <n v="88"/>
    <n v="67"/>
    <n v="25"/>
    <n v="12"/>
    <m/>
    <x v="0"/>
    <x v="0"/>
    <x v="0"/>
    <x v="0"/>
    <m/>
    <m/>
    <m/>
    <n v="1"/>
    <m/>
    <m/>
    <s v="FP"/>
    <m/>
    <s v="SP"/>
    <m/>
    <x v="9"/>
    <x v="1"/>
    <m/>
    <x v="20"/>
  </r>
  <r>
    <n v="2466"/>
    <x v="58"/>
    <x v="58"/>
    <x v="51"/>
    <x v="3"/>
    <s v="JIMMY HO"/>
    <n v="289"/>
    <s v="SIF"/>
    <s v="Supplier"/>
    <m/>
    <x v="121"/>
    <s v="Donlim_SIF_201203.XLSX"/>
    <s v=".xlsx"/>
    <d v="2014-03-14T00:00:00"/>
    <s v="as\afok"/>
    <m/>
    <s v="2012"/>
    <x v="0"/>
    <x v="0"/>
    <x v="0"/>
    <x v="0"/>
    <m/>
    <m/>
    <m/>
    <m/>
    <m/>
    <n v="2012"/>
    <m/>
    <n v="775000000"/>
    <n v="701000000"/>
    <n v="623000000"/>
    <n v="400000000"/>
    <m/>
    <m/>
    <n v="67"/>
    <n v="25"/>
    <n v="12"/>
    <m/>
    <x v="0"/>
    <x v="0"/>
    <x v="0"/>
    <x v="0"/>
    <m/>
    <m/>
    <m/>
    <n v="1"/>
    <m/>
    <m/>
    <s v="FP"/>
    <m/>
    <s v="SP"/>
    <s v="MOULD"/>
    <x v="4"/>
    <x v="1"/>
    <m/>
    <x v="7"/>
  </r>
  <r>
    <n v="2465"/>
    <x v="57"/>
    <x v="57"/>
    <x v="51"/>
    <x v="3"/>
    <s v="JIMMY HO"/>
    <n v="289"/>
    <s v="SIF"/>
    <s v="Supplier"/>
    <m/>
    <x v="121"/>
    <s v="Donlim_SIF_201203.XLSX"/>
    <s v=".xlsx"/>
    <d v="2014-03-14T00:00:00"/>
    <s v="as\afok"/>
    <m/>
    <s v="2012"/>
    <x v="0"/>
    <x v="0"/>
    <x v="0"/>
    <x v="0"/>
    <m/>
    <m/>
    <m/>
    <m/>
    <m/>
    <n v="2012"/>
    <m/>
    <n v="775000000"/>
    <n v="701000000"/>
    <n v="623000000"/>
    <n v="400000000"/>
    <m/>
    <m/>
    <n v="67"/>
    <n v="25"/>
    <n v="12"/>
    <m/>
    <x v="0"/>
    <x v="0"/>
    <x v="0"/>
    <x v="0"/>
    <m/>
    <m/>
    <m/>
    <n v="1"/>
    <m/>
    <m/>
    <s v="FP"/>
    <m/>
    <s v="SP"/>
    <m/>
    <x v="9"/>
    <x v="1"/>
    <m/>
    <x v="20"/>
  </r>
  <r>
    <n v="2480"/>
    <x v="58"/>
    <x v="58"/>
    <x v="51"/>
    <x v="3"/>
    <s v="JIMMY HO"/>
    <n v="290"/>
    <s v="SIF"/>
    <s v="Supplier"/>
    <m/>
    <x v="271"/>
    <s v="Donlim_SIF_20130108  Donlim 2013.xlsx"/>
    <s v=".xlsx"/>
    <d v="2014-03-14T00:00:00"/>
    <s v="as\afok"/>
    <m/>
    <s v="2013"/>
    <x v="0"/>
    <x v="0"/>
    <x v="0"/>
    <x v="0"/>
    <m/>
    <m/>
    <m/>
    <m/>
    <m/>
    <n v="2013"/>
    <n v="810000000"/>
    <n v="714000000"/>
    <n v="701000000"/>
    <n v="623000000"/>
    <n v="400000000"/>
    <m/>
    <n v="88"/>
    <n v="67"/>
    <n v="25"/>
    <n v="12"/>
    <m/>
    <x v="0"/>
    <x v="0"/>
    <x v="0"/>
    <x v="0"/>
    <m/>
    <m/>
    <m/>
    <n v="1"/>
    <m/>
    <m/>
    <s v="FP"/>
    <m/>
    <s v="SP"/>
    <s v="MOULD"/>
    <x v="4"/>
    <x v="1"/>
    <m/>
    <x v="7"/>
  </r>
  <r>
    <n v="826"/>
    <x v="59"/>
    <x v="59"/>
    <x v="52"/>
    <x v="1"/>
    <s v="DOUGLAS LAM"/>
    <n v="804"/>
    <s v="Contract: General Contract"/>
    <s v="Supplier"/>
    <m/>
    <x v="298"/>
    <s v="DS_Motor_Purchase_Agreement_2008.pdf"/>
    <s v=".pdf"/>
    <d v="2014-03-21T00:00:00"/>
    <s v="as\afok"/>
    <m/>
    <s v="V5"/>
    <x v="1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m/>
    <x v="2"/>
    <x v="1"/>
    <m/>
    <x v="6"/>
  </r>
  <r>
    <n v="820"/>
    <x v="59"/>
    <x v="59"/>
    <x v="52"/>
    <x v="1"/>
    <s v="DOUGLAS LAM"/>
    <n v="798"/>
    <s v="Contract: General Contract"/>
    <s v="Supplier"/>
    <m/>
    <x v="299"/>
    <s v="DS Motor_General Agreement_V7.pdf"/>
    <s v=".pdf"/>
    <d v="2014-03-21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m/>
    <x v="2"/>
    <x v="1"/>
    <m/>
    <x v="6"/>
  </r>
  <r>
    <n v="827"/>
    <x v="59"/>
    <x v="59"/>
    <x v="52"/>
    <x v="1"/>
    <s v="DOUGLAS LAM"/>
    <n v="805"/>
    <s v="Contract: Quality Appendix"/>
    <s v="Supplier"/>
    <m/>
    <x v="298"/>
    <s v="DS_Motor_Purchase_Agreement_2008.pdf"/>
    <s v=".pdf"/>
    <d v="2014-03-21T00:00:00"/>
    <s v="as\afok"/>
    <m/>
    <m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7"/>
    <m/>
    <n v="1"/>
    <m/>
    <n v="1"/>
    <m/>
    <m/>
    <m/>
    <s v="CP"/>
    <m/>
    <m/>
    <x v="2"/>
    <x v="1"/>
    <m/>
    <x v="6"/>
  </r>
  <r>
    <n v="823"/>
    <x v="59"/>
    <x v="59"/>
    <x v="52"/>
    <x v="1"/>
    <s v="DOUGLAS LAM"/>
    <n v="801"/>
    <s v="Contract: Quality Appendix"/>
    <s v="Supplier"/>
    <m/>
    <x v="300"/>
    <s v="DS Motor_General Agreement_V7.pdf"/>
    <s v=".pdf"/>
    <d v="2014-03-21T00:00:00"/>
    <s v="as\afok"/>
    <m/>
    <s v="V4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7"/>
    <m/>
    <n v="1"/>
    <m/>
    <n v="1"/>
    <m/>
    <m/>
    <m/>
    <s v="CP"/>
    <m/>
    <m/>
    <x v="2"/>
    <x v="1"/>
    <m/>
    <x v="6"/>
  </r>
  <r>
    <n v="828"/>
    <x v="59"/>
    <x v="59"/>
    <x v="52"/>
    <x v="1"/>
    <s v="DOUGLAS LAM"/>
    <n v="806"/>
    <s v="Contract: Supply Chain Appendix"/>
    <s v="Supplier"/>
    <m/>
    <x v="301"/>
    <s v="DS_Motor_Purchase_Agreement_2008.pdf"/>
    <s v=".pdf"/>
    <d v="2014-03-21T00:00:00"/>
    <s v="as\afok"/>
    <m/>
    <m/>
    <x v="0"/>
    <x v="1"/>
    <x v="1"/>
    <x v="0"/>
    <m/>
    <m/>
    <m/>
    <m/>
    <m/>
    <m/>
    <m/>
    <m/>
    <m/>
    <m/>
    <m/>
    <m/>
    <m/>
    <m/>
    <m/>
    <m/>
    <s v="CP Panel"/>
    <x v="0"/>
    <x v="0"/>
    <x v="1"/>
    <x v="7"/>
    <m/>
    <m/>
    <n v="1"/>
    <n v="1"/>
    <n v="1"/>
    <m/>
    <m/>
    <s v="CP"/>
    <m/>
    <m/>
    <x v="2"/>
    <x v="1"/>
    <m/>
    <x v="6"/>
  </r>
  <r>
    <n v="822"/>
    <x v="59"/>
    <x v="59"/>
    <x v="52"/>
    <x v="1"/>
    <s v="DOUGLAS LAM"/>
    <n v="800"/>
    <s v="Contract: Supply Chain Appendix"/>
    <s v="Supplier"/>
    <m/>
    <x v="299"/>
    <s v="DS Motor_General Agreement_V7.pdf"/>
    <s v=".pdf"/>
    <d v="2014-03-21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7"/>
    <m/>
    <m/>
    <n v="1"/>
    <n v="1"/>
    <m/>
    <m/>
    <m/>
    <s v="CP"/>
    <m/>
    <m/>
    <x v="2"/>
    <x v="1"/>
    <m/>
    <x v="6"/>
  </r>
  <r>
    <n v="824"/>
    <x v="59"/>
    <x v="59"/>
    <x v="52"/>
    <x v="1"/>
    <s v="DOUGLAS LAM"/>
    <n v="802"/>
    <s v="Declaration letter of group organization"/>
    <s v="Supplier"/>
    <m/>
    <x v="302"/>
    <s v="DS Motor_General Agreement_V7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6"/>
  </r>
  <r>
    <n v="821"/>
    <x v="59"/>
    <x v="59"/>
    <x v="52"/>
    <x v="1"/>
    <s v="DOUGLAS LAM"/>
    <n v="799"/>
    <s v="Environmental Declaration"/>
    <s v="Supplier"/>
    <m/>
    <x v="299"/>
    <s v="DS Motor_General Agreement_V7.pdf"/>
    <s v=".pdf"/>
    <d v="2014-03-21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6"/>
  </r>
  <r>
    <n v="816"/>
    <x v="59"/>
    <x v="59"/>
    <x v="52"/>
    <x v="1"/>
    <s v="DOUGLAS LAM"/>
    <n v="794"/>
    <s v="Environmental Declaration"/>
    <s v="Supplier"/>
    <m/>
    <x v="101"/>
    <s v="DS_Motor_Env_Declaration_18May2010.xls"/>
    <s v=".xls"/>
    <d v="2014-03-21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6"/>
  </r>
  <r>
    <n v="817"/>
    <x v="59"/>
    <x v="59"/>
    <x v="52"/>
    <x v="1"/>
    <s v="DOUGLAS LAM"/>
    <n v="795"/>
    <s v="Responsible Purchasing Charter"/>
    <s v="Supplier"/>
    <m/>
    <x v="235"/>
    <s v="Dsmotor_Responsible_Purchasing_Charter_02Aug12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6"/>
  </r>
  <r>
    <n v="819"/>
    <x v="59"/>
    <x v="59"/>
    <x v="52"/>
    <x v="1"/>
    <s v="DOUGLAS LAM"/>
    <n v="797"/>
    <s v="SEF"/>
    <s v="Supplier"/>
    <m/>
    <x v="10"/>
    <s v="DS Motor_SEF_2012.xlsx"/>
    <s v=".xlsx"/>
    <d v="2014-03-21T00:00:00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6"/>
  </r>
  <r>
    <n v="815"/>
    <x v="59"/>
    <x v="59"/>
    <x v="52"/>
    <x v="1"/>
    <s v="DOUGLAS LAM"/>
    <n v="793"/>
    <s v="SEF"/>
    <s v="Supplier"/>
    <m/>
    <x v="9"/>
    <s v="DS Motor SEF 2013-designer-20130601-80.xlsx"/>
    <s v=".xlsx"/>
    <d v="2014-03-21T00:00:00"/>
    <s v="as\afok"/>
    <m/>
    <s v="2013"/>
    <x v="0"/>
    <x v="0"/>
    <x v="0"/>
    <x v="0"/>
    <m/>
    <m/>
    <m/>
    <m/>
    <n v="70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6"/>
  </r>
  <r>
    <n v="825"/>
    <x v="59"/>
    <x v="59"/>
    <x v="52"/>
    <x v="1"/>
    <s v="DOUGLAS LAM"/>
    <n v="803"/>
    <s v="SIF"/>
    <s v="Supplier"/>
    <m/>
    <x v="303"/>
    <s v="DS Motor_SIF2012_14Mar12.xlsx"/>
    <s v=".xlsx"/>
    <d v="2014-03-21T00:00:00"/>
    <s v="as\afok"/>
    <m/>
    <s v="2012"/>
    <x v="0"/>
    <x v="0"/>
    <x v="0"/>
    <x v="0"/>
    <m/>
    <m/>
    <m/>
    <m/>
    <m/>
    <n v="2012"/>
    <n v="60000000"/>
    <n v="42000000"/>
    <n v="35000000"/>
    <m/>
    <m/>
    <m/>
    <n v="10"/>
    <n v="7"/>
    <m/>
    <m/>
    <s v="CP Panel"/>
    <x v="0"/>
    <x v="0"/>
    <x v="1"/>
    <x v="7"/>
    <m/>
    <m/>
    <m/>
    <n v="1"/>
    <m/>
    <m/>
    <m/>
    <s v="CP"/>
    <m/>
    <m/>
    <x v="2"/>
    <x v="1"/>
    <m/>
    <x v="6"/>
  </r>
  <r>
    <n v="818"/>
    <x v="59"/>
    <x v="59"/>
    <x v="52"/>
    <x v="1"/>
    <s v="DOUGLAS LAM"/>
    <n v="796"/>
    <s v="SIF"/>
    <s v="Supplier"/>
    <m/>
    <x v="304"/>
    <s v="DS_motor_SIF 2013.xls"/>
    <s v=".xls"/>
    <d v="2014-03-21T00:00:00"/>
    <s v="as\afok"/>
    <m/>
    <s v="2013"/>
    <x v="0"/>
    <x v="0"/>
    <x v="0"/>
    <x v="0"/>
    <m/>
    <m/>
    <m/>
    <m/>
    <m/>
    <n v="2013"/>
    <n v="68000000"/>
    <n v="60000000"/>
    <n v="42000000"/>
    <n v="35000000"/>
    <m/>
    <m/>
    <n v="14"/>
    <n v="10"/>
    <n v="7"/>
    <m/>
    <s v="CP Panel"/>
    <x v="0"/>
    <x v="0"/>
    <x v="1"/>
    <x v="7"/>
    <m/>
    <m/>
    <m/>
    <n v="1"/>
    <m/>
    <m/>
    <m/>
    <s v="CP"/>
    <m/>
    <m/>
    <x v="2"/>
    <x v="1"/>
    <m/>
    <x v="6"/>
  </r>
  <r>
    <n v="814"/>
    <x v="59"/>
    <x v="59"/>
    <x v="52"/>
    <x v="1"/>
    <s v="DOUGLAS LAM"/>
    <n v="792"/>
    <s v="SPR"/>
    <s v="Supplier"/>
    <m/>
    <x v="117"/>
    <s v="DS_Motor_SPR_2013.pptx"/>
    <s v=".pptx"/>
    <d v="2014-03-21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6"/>
  </r>
  <r>
    <n v="38"/>
    <x v="60"/>
    <x v="60"/>
    <x v="53"/>
    <x v="3"/>
    <s v="WENDY HO"/>
    <n v="32"/>
    <s v="Contract: General Contract"/>
    <s v="Supplier"/>
    <d v="2015-12-31T00:00:00"/>
    <x v="305"/>
    <s v="ENE supply agreement (no supply chain appendix) - 07June2013.pdf"/>
    <s v=".pdf"/>
    <d v="2014-03-04T00:00:00"/>
    <s v="as\afok"/>
    <m/>
    <s v="FHA00016 ind.11"/>
    <x v="2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20"/>
  </r>
  <r>
    <n v="431"/>
    <x v="60"/>
    <x v="60"/>
    <x v="53"/>
    <x v="3"/>
    <s v="WENDY HO"/>
    <n v="417"/>
    <s v="Contract: Quality Appendix"/>
    <s v="Supplier"/>
    <m/>
    <x v="305"/>
    <s v="ENE supply agreement (no supply chain appendix) - 07June2013.pdf"/>
    <s v=".pdf"/>
    <d v="2014-03-17T00:00:00"/>
    <s v="as\afok"/>
    <m/>
    <m/>
    <x v="0"/>
    <x v="0"/>
    <x v="0"/>
    <x v="1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x v="9"/>
    <x v="1"/>
    <m/>
    <x v="20"/>
  </r>
  <r>
    <n v="430"/>
    <x v="60"/>
    <x v="60"/>
    <x v="53"/>
    <x v="3"/>
    <s v="WENDY HO"/>
    <n v="416"/>
    <s v="Contract: Supply Chain Appendix"/>
    <s v="Supplier"/>
    <m/>
    <x v="306"/>
    <s v="Supply chain appendix completed-08July2013.pdf"/>
    <s v=".pdf"/>
    <d v="2014-03-17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x v="9"/>
    <x v="1"/>
    <m/>
    <x v="20"/>
  </r>
  <r>
    <n v="570"/>
    <x v="60"/>
    <x v="60"/>
    <x v="53"/>
    <x v="3"/>
    <s v="WENDY HO"/>
    <n v="555"/>
    <s v="Declaration letter of group organization"/>
    <s v="Supplier"/>
    <m/>
    <x v="231"/>
    <s v="ENE supply agreement (no supply chain appendix) - 07June2013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x v="9"/>
    <x v="1"/>
    <m/>
    <x v="20"/>
  </r>
  <r>
    <n v="432"/>
    <x v="60"/>
    <x v="60"/>
    <x v="53"/>
    <x v="3"/>
    <s v="WENDY HO"/>
    <n v="418"/>
    <s v="Environmental Declaration"/>
    <s v="Supplier"/>
    <m/>
    <x v="307"/>
    <s v="ENE supply agreement (no supply chain appendix) - 07June2013.pdf"/>
    <s v=".pdf"/>
    <d v="2014-03-17T00:00:00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433"/>
    <x v="60"/>
    <x v="60"/>
    <x v="53"/>
    <x v="3"/>
    <s v="WENDY HO"/>
    <n v="419"/>
    <s v="Environmental Declaration"/>
    <s v="Supplier"/>
    <m/>
    <x v="61"/>
    <s v="E_and_E_Env_Declaration_08Apr2010.xls"/>
    <s v=".xls"/>
    <d v="2014-03-17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439"/>
    <x v="60"/>
    <x v="60"/>
    <x v="53"/>
    <x v="3"/>
    <s v="WENDY HO"/>
    <n v="425"/>
    <s v="Exclusivity (EA)"/>
    <s v="Product / Project"/>
    <m/>
    <x v="308"/>
    <s v="Exclusivity agreement wine aerator.pdf"/>
    <s v=".pdf"/>
    <d v="2014-03-17T00:00:00"/>
    <s v="as\afok"/>
    <s v="_x000d__x000a_"/>
    <m/>
    <x v="0"/>
    <x v="0"/>
    <x v="0"/>
    <x v="0"/>
    <s v="wine aerato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434"/>
    <x v="60"/>
    <x v="60"/>
    <x v="53"/>
    <x v="3"/>
    <s v="WENDY HO"/>
    <n v="420"/>
    <s v="Exclusivity (EA)"/>
    <s v="Supplier"/>
    <m/>
    <x v="309"/>
    <s v="E_and_E -  WORLDWIDE EXCLUSIVITY 16Sep10.XLS"/>
    <s v=".xls"/>
    <d v="2014-03-17T00:00:00"/>
    <s v="as\afok"/>
    <s v="WORLDWIDE EXCLUSIVIT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440"/>
    <x v="60"/>
    <x v="60"/>
    <x v="53"/>
    <x v="3"/>
    <s v="WENDY HO"/>
    <n v="426"/>
    <s v="IP (Intellectual Property)"/>
    <s v="Product / Project"/>
    <m/>
    <x v="310"/>
    <s v="IP agreement wine aerator.pdf"/>
    <s v=".pdf"/>
    <d v="2014-03-17T00:00:00"/>
    <s v="as\afok"/>
    <s v="_x000d__x000a_"/>
    <m/>
    <x v="0"/>
    <x v="0"/>
    <x v="0"/>
    <x v="0"/>
    <s v="wine aerato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437"/>
    <x v="60"/>
    <x v="60"/>
    <x v="53"/>
    <x v="3"/>
    <s v="WENDY HO"/>
    <n v="423"/>
    <s v="IP (Intellectual Property)"/>
    <s v="Product / Project"/>
    <m/>
    <x v="311"/>
    <s v="EnE_IP_Krups Toaster Oven_2012-12-24.pdf"/>
    <s v=".pdf"/>
    <d v="2014-03-17T00:00:00"/>
    <s v="as\afok"/>
    <s v="_x000d__x000a_"/>
    <m/>
    <x v="0"/>
    <x v="0"/>
    <x v="0"/>
    <x v="0"/>
    <s v="Krups Toaster Ove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442"/>
    <x v="60"/>
    <x v="60"/>
    <x v="53"/>
    <x v="3"/>
    <s v="WENDY HO"/>
    <n v="428"/>
    <s v="ISO 9001"/>
    <s v="Supplier"/>
    <d v="2013-01-10T00:00:00"/>
    <x v="312"/>
    <s v="E and E ISO9001 10Jan2013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443"/>
    <x v="60"/>
    <x v="60"/>
    <x v="53"/>
    <x v="3"/>
    <s v="WENDY HO"/>
    <n v="429"/>
    <s v="NDA (Non Disclosure Agreement)"/>
    <s v="Supplier"/>
    <m/>
    <x v="313"/>
    <s v="E and E_NDA_20110408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444"/>
    <x v="60"/>
    <x v="60"/>
    <x v="53"/>
    <x v="3"/>
    <s v="WENDY HO"/>
    <n v="430"/>
    <s v="NDA (Non Disclosure Agreement)"/>
    <s v="Product / Project"/>
    <m/>
    <x v="314"/>
    <s v="E and E_NDA_Grind and Brew Coffee Machine_20110531.pdf"/>
    <s v=".pdf"/>
    <d v="2014-03-17T00:00:00"/>
    <s v="as\afok"/>
    <m/>
    <m/>
    <x v="0"/>
    <x v="0"/>
    <x v="0"/>
    <x v="0"/>
    <s v="Grind and Brew Coffee Machin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441"/>
    <x v="60"/>
    <x v="60"/>
    <x v="53"/>
    <x v="3"/>
    <s v="WENDY HO"/>
    <n v="427"/>
    <s v="Responsible Purchasing Charter"/>
    <s v="Supplier"/>
    <m/>
    <x v="19"/>
    <s v="E and E - Responsible Purchasing Charter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435"/>
    <x v="60"/>
    <x v="60"/>
    <x v="53"/>
    <x v="3"/>
    <s v="WENDY HO"/>
    <n v="421"/>
    <s v="SEF"/>
    <s v="Supplier"/>
    <m/>
    <x v="55"/>
    <s v="ENE SEF 2012.xlsx"/>
    <s v=".xlsx"/>
    <d v="2014-03-17T00:00:00"/>
    <s v="as\afok"/>
    <m/>
    <s v="2012 "/>
    <x v="0"/>
    <x v="0"/>
    <x v="0"/>
    <x v="0"/>
    <m/>
    <m/>
    <m/>
    <m/>
    <n v="63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438"/>
    <x v="60"/>
    <x v="60"/>
    <x v="53"/>
    <x v="3"/>
    <s v="WENDY HO"/>
    <n v="424"/>
    <s v="SEF"/>
    <s v="Supplier"/>
    <m/>
    <x v="222"/>
    <s v="ENE_SEF_Dec 2012.xlsx"/>
    <s v=".xlsx"/>
    <d v="2014-03-17T00:00:00"/>
    <s v="as\afok"/>
    <m/>
    <s v="2012"/>
    <x v="0"/>
    <x v="0"/>
    <x v="0"/>
    <x v="0"/>
    <m/>
    <m/>
    <m/>
    <m/>
    <n v="55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436"/>
    <x v="60"/>
    <x v="60"/>
    <x v="53"/>
    <x v="3"/>
    <s v="WENDY HO"/>
    <n v="422"/>
    <s v="SIF"/>
    <s v="Supplier"/>
    <m/>
    <x v="187"/>
    <s v="ENE SIF 2013.pdf"/>
    <s v=".pdf"/>
    <d v="2014-03-17T00:00:00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0"/>
  </r>
  <r>
    <n v="17"/>
    <x v="61"/>
    <x v="61"/>
    <x v="54"/>
    <x v="2"/>
    <s v="GODFREY LI"/>
    <n v="13"/>
    <s v="Contract: General Contract"/>
    <s v="Supplier"/>
    <d v="2014-12-31T00:00:00"/>
    <x v="315"/>
    <s v="EASTERN SOURCE-DEVELOPMENT AND SUPPLY AGREEMENT-20102008.PDF"/>
    <s v=".pdf"/>
    <d v="2014-03-04T00:00:00"/>
    <s v="as\afok"/>
    <m/>
    <s v="FHA00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s v="CP"/>
    <s v="SP"/>
    <s v="MOULD"/>
    <x v="3"/>
    <x v="1"/>
    <m/>
    <x v="7"/>
  </r>
  <r>
    <n v="305"/>
    <x v="61"/>
    <x v="61"/>
    <x v="54"/>
    <x v="2"/>
    <s v="GODFREY LI"/>
    <n v="292"/>
    <s v="Environmental Declaration"/>
    <s v="Supplier"/>
    <m/>
    <x v="316"/>
    <s v="Eastern_Sources_Env_Declaration_1Apr2010.xlsx"/>
    <s v=".xlsx"/>
    <d v="2014-03-14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x v="3"/>
    <x v="1"/>
    <m/>
    <x v="7"/>
  </r>
  <r>
    <n v="306"/>
    <x v="61"/>
    <x v="61"/>
    <x v="54"/>
    <x v="2"/>
    <s v="GODFREY LI"/>
    <n v="293"/>
    <s v="Exclusivity (EA)"/>
    <s v="Supplier"/>
    <m/>
    <x v="317"/>
    <s v="Eastern Sources Exclusivity Summary 2012-04-02.xlsx"/>
    <s v=".xlsx"/>
    <d v="2014-03-14T00:00:00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x v="3"/>
    <x v="1"/>
    <m/>
    <x v="7"/>
  </r>
  <r>
    <n v="312"/>
    <x v="61"/>
    <x v="61"/>
    <x v="54"/>
    <x v="2"/>
    <s v="GODFREY LI"/>
    <n v="299"/>
    <s v="Exclusivity (EA)"/>
    <s v="Product / Project"/>
    <m/>
    <x v="318"/>
    <s v="LEON Electric Steam Wok_EA_2012-02-06.pdf"/>
    <s v=".pdf"/>
    <d v="2014-03-14T00:00:00"/>
    <s v="as\afok"/>
    <s v="_x000d__x000a_"/>
    <m/>
    <x v="0"/>
    <x v="0"/>
    <x v="0"/>
    <x v="0"/>
    <s v="LEON Electric Steam Wok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x v="3"/>
    <x v="1"/>
    <m/>
    <x v="7"/>
  </r>
  <r>
    <n v="307"/>
    <x v="61"/>
    <x v="61"/>
    <x v="54"/>
    <x v="2"/>
    <s v="GODFREY LI"/>
    <n v="294"/>
    <s v="Exclusivity (EA)"/>
    <s v="Product / Project"/>
    <m/>
    <x v="319"/>
    <s v="Bayonne Foodslicer_EA_2012-04-19.pdf"/>
    <s v=".pdf"/>
    <d v="2014-03-14T00:00:00"/>
    <s v="as\afok"/>
    <s v="_x000d__x000a_"/>
    <m/>
    <x v="0"/>
    <x v="0"/>
    <x v="0"/>
    <x v="0"/>
    <s v="Bayonne Foodslicer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x v="3"/>
    <x v="1"/>
    <m/>
    <x v="7"/>
  </r>
  <r>
    <n v="308"/>
    <x v="61"/>
    <x v="61"/>
    <x v="54"/>
    <x v="2"/>
    <s v="GODFREY LI"/>
    <n v="295"/>
    <s v="IP (Intellectual Property)"/>
    <s v="Product / Project"/>
    <m/>
    <x v="319"/>
    <s v="Bayonne Foodslicer_IP_2012-04-19.pdf"/>
    <s v=".pdf"/>
    <d v="2014-03-14T00:00:00"/>
    <s v="as\afok"/>
    <m/>
    <m/>
    <x v="0"/>
    <x v="0"/>
    <x v="0"/>
    <x v="0"/>
    <s v="Bayonne Foodslicer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x v="3"/>
    <x v="1"/>
    <m/>
    <x v="7"/>
  </r>
  <r>
    <n v="313"/>
    <x v="61"/>
    <x v="61"/>
    <x v="54"/>
    <x v="2"/>
    <s v="GODFREY LI"/>
    <n v="300"/>
    <s v="IP (Intellectual Property)"/>
    <s v="Product / Project"/>
    <m/>
    <x v="318"/>
    <s v="Bayonne Foodslicer_IP_2012-04-19.pdf"/>
    <s v=".pdf"/>
    <d v="2014-03-14T00:00:00"/>
    <s v="as\afok"/>
    <s v="_x000d__x000a_"/>
    <m/>
    <x v="0"/>
    <x v="0"/>
    <x v="0"/>
    <x v="0"/>
    <s v="LEON Electric Steam Wok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x v="3"/>
    <x v="1"/>
    <m/>
    <x v="7"/>
  </r>
  <r>
    <n v="309"/>
    <x v="61"/>
    <x v="61"/>
    <x v="54"/>
    <x v="2"/>
    <s v="GODFREY LI"/>
    <n v="296"/>
    <s v="Responsible Purchasing Charter"/>
    <s v="Supplier"/>
    <m/>
    <x v="320"/>
    <s v="Eastern Sources - Responsible Purchasing Charter (CH and ENG).pdf"/>
    <s v=".pdf"/>
    <d v="2014-03-1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x v="3"/>
    <x v="1"/>
    <m/>
    <x v="7"/>
  </r>
  <r>
    <n v="314"/>
    <x v="61"/>
    <x v="61"/>
    <x v="54"/>
    <x v="2"/>
    <s v="GODFREY LI"/>
    <n v="301"/>
    <s v="SEF"/>
    <s v="Supplier"/>
    <m/>
    <x v="78"/>
    <s v="SEF 2013 - Eastern Sources.xlsx"/>
    <s v=".xlsx"/>
    <d v="2014-03-14T00:00:00"/>
    <s v="as\afok"/>
    <m/>
    <s v="2013"/>
    <x v="0"/>
    <x v="0"/>
    <x v="0"/>
    <x v="0"/>
    <m/>
    <m/>
    <m/>
    <m/>
    <n v="64"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x v="3"/>
    <x v="1"/>
    <m/>
    <x v="7"/>
  </r>
  <r>
    <n v="315"/>
    <x v="61"/>
    <x v="61"/>
    <x v="54"/>
    <x v="2"/>
    <s v="GODFREY LI"/>
    <n v="302"/>
    <s v="SEF"/>
    <s v="Supplier"/>
    <m/>
    <x v="55"/>
    <s v="EASTERN SOURCES_SIF 2012_22Mar12.xls"/>
    <s v=".xls"/>
    <d v="2014-03-14T00:00:00"/>
    <s v="as\afok"/>
    <m/>
    <s v="2012"/>
    <x v="0"/>
    <x v="0"/>
    <x v="0"/>
    <x v="0"/>
    <m/>
    <m/>
    <m/>
    <m/>
    <n v="58"/>
    <m/>
    <m/>
    <m/>
    <m/>
    <m/>
    <m/>
    <m/>
    <m/>
    <m/>
    <m/>
    <m/>
    <m/>
    <x v="0"/>
    <x v="0"/>
    <x v="0"/>
    <x v="0"/>
    <m/>
    <m/>
    <m/>
    <n v="0"/>
    <m/>
    <n v="1"/>
    <s v="FP"/>
    <s v="CP"/>
    <s v="SP"/>
    <s v="MOULD"/>
    <x v="3"/>
    <x v="1"/>
    <m/>
    <x v="7"/>
  </r>
  <r>
    <n v="311"/>
    <x v="61"/>
    <x v="61"/>
    <x v="54"/>
    <x v="2"/>
    <s v="GODFREY LI"/>
    <n v="298"/>
    <s v="SIF"/>
    <s v="Supplier"/>
    <m/>
    <x v="20"/>
    <s v="EASTERN SOURCES_SIF 2012_22Mar12.xls"/>
    <s v=".xls"/>
    <d v="2014-03-14T00:00:00"/>
    <s v="as\afok"/>
    <m/>
    <s v="2012"/>
    <x v="0"/>
    <x v="0"/>
    <x v="0"/>
    <x v="0"/>
    <m/>
    <m/>
    <m/>
    <m/>
    <m/>
    <n v="2012"/>
    <n v="18000000"/>
    <n v="17000000"/>
    <n v="19000000"/>
    <n v="22200000"/>
    <n v="26500000"/>
    <m/>
    <n v="30.23"/>
    <n v="33.64"/>
    <n v="39.200000000000003"/>
    <n v="40.1"/>
    <m/>
    <x v="0"/>
    <x v="0"/>
    <x v="0"/>
    <x v="0"/>
    <m/>
    <m/>
    <m/>
    <n v="0"/>
    <m/>
    <m/>
    <s v="FP"/>
    <s v="CP"/>
    <s v="SP"/>
    <s v="MOULD"/>
    <x v="3"/>
    <x v="1"/>
    <m/>
    <x v="7"/>
  </r>
  <r>
    <n v="310"/>
    <x v="61"/>
    <x v="61"/>
    <x v="54"/>
    <x v="2"/>
    <s v="GODFREY LI"/>
    <n v="297"/>
    <s v="SIF"/>
    <s v="Supplier"/>
    <m/>
    <x v="27"/>
    <s v="Eastern Sources - SIF 2013.xls"/>
    <s v=".xls"/>
    <d v="2014-03-14T00:00:00"/>
    <s v="as\afok"/>
    <m/>
    <s v="2013"/>
    <x v="0"/>
    <x v="0"/>
    <x v="0"/>
    <x v="0"/>
    <m/>
    <m/>
    <m/>
    <m/>
    <m/>
    <n v="2013"/>
    <n v="19000000"/>
    <n v="17800000"/>
    <n v="17000000"/>
    <n v="19000000"/>
    <n v="22200000"/>
    <m/>
    <n v="34"/>
    <n v="30.23"/>
    <n v="33.64"/>
    <n v="39.200000000000003"/>
    <m/>
    <x v="0"/>
    <x v="0"/>
    <x v="0"/>
    <x v="0"/>
    <m/>
    <m/>
    <m/>
    <n v="0"/>
    <m/>
    <m/>
    <s v="FP"/>
    <s v="CP"/>
    <s v="SP"/>
    <s v="MOULD"/>
    <x v="3"/>
    <x v="1"/>
    <m/>
    <x v="7"/>
  </r>
  <r>
    <n v="2392"/>
    <x v="62"/>
    <x v="62"/>
    <x v="55"/>
    <x v="5"/>
    <s v="SHOT XU"/>
    <n v="2333"/>
    <s v="Contract: General Contract"/>
    <s v="Supplier"/>
    <m/>
    <x v="321"/>
    <s v="Easynet_General Agreement_May2012.pdf"/>
    <s v=".pdf"/>
    <d v="2014-04-17T00:00:00"/>
    <s v="as\afok"/>
    <m/>
    <s v="FHA 00 016 ind.11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m/>
    <m/>
    <x v="0"/>
    <x v="1"/>
    <m/>
    <x v="0"/>
  </r>
  <r>
    <n v="2395"/>
    <x v="62"/>
    <x v="62"/>
    <x v="55"/>
    <x v="5"/>
    <s v="SHOT XU"/>
    <n v="2336"/>
    <s v="Contract: Quality Appendix"/>
    <s v="Supplier"/>
    <m/>
    <x v="53"/>
    <s v="Easynet_General Agreement_May2012.pdf"/>
    <s v=".pdf"/>
    <d v="2014-04-17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m/>
    <m/>
    <x v="0"/>
    <x v="1"/>
    <m/>
    <x v="0"/>
  </r>
  <r>
    <n v="2394"/>
    <x v="62"/>
    <x v="62"/>
    <x v="55"/>
    <x v="5"/>
    <s v="SHOT XU"/>
    <n v="2335"/>
    <s v="Contract: Supply Chain Appendix"/>
    <s v="Supplier"/>
    <m/>
    <x v="53"/>
    <s v="Easynet_General Agreement_May2012.pdf"/>
    <s v=".pdf"/>
    <d v="2014-04-17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m/>
    <m/>
    <x v="0"/>
    <x v="1"/>
    <m/>
    <x v="0"/>
  </r>
  <r>
    <n v="2396"/>
    <x v="62"/>
    <x v="62"/>
    <x v="55"/>
    <x v="5"/>
    <s v="SHOT XU"/>
    <n v="2337"/>
    <s v="Declaration letter of group organization"/>
    <s v="Supplier"/>
    <m/>
    <x v="322"/>
    <s v="Easynet_General Agreement_May2012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x v="0"/>
    <x v="1"/>
    <m/>
    <x v="0"/>
  </r>
  <r>
    <n v="2393"/>
    <x v="62"/>
    <x v="62"/>
    <x v="55"/>
    <x v="5"/>
    <s v="SHOT XU"/>
    <n v="2334"/>
    <s v="Environmental Declaration"/>
    <s v="Supplier"/>
    <m/>
    <x v="44"/>
    <s v="Easynet_General Agreement_May2012.pdf"/>
    <s v=".pdf"/>
    <d v="2014-04-17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x v="0"/>
    <x v="1"/>
    <m/>
    <x v="0"/>
  </r>
  <r>
    <n v="2390"/>
    <x v="62"/>
    <x v="62"/>
    <x v="55"/>
    <x v="5"/>
    <s v="SHOT XU"/>
    <n v="2331"/>
    <s v="Environmental Declaration"/>
    <s v="Supplier"/>
    <m/>
    <x v="323"/>
    <s v="Env_Declaration Easynet 20110512.xls"/>
    <s v=".xls"/>
    <d v="2014-04-17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x v="0"/>
    <x v="1"/>
    <m/>
    <x v="0"/>
  </r>
  <r>
    <n v="2391"/>
    <x v="62"/>
    <x v="62"/>
    <x v="55"/>
    <x v="5"/>
    <s v="SHOT XU"/>
    <n v="2332"/>
    <s v="Responsible Purchasing Charter"/>
    <s v="Supplier"/>
    <m/>
    <x v="154"/>
    <s v="Easynet_Responsible Purchaser Charter_17Aug2012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x v="0"/>
    <x v="1"/>
    <m/>
    <x v="0"/>
  </r>
  <r>
    <n v="2397"/>
    <x v="62"/>
    <x v="62"/>
    <x v="55"/>
    <x v="5"/>
    <s v="SHOT XU"/>
    <n v="2338"/>
    <s v="SEF"/>
    <s v="Supplier"/>
    <m/>
    <x v="123"/>
    <s v="EASYNET_SEF_ 2012May.xlsx"/>
    <s v=".xlsx"/>
    <d v="2014-04-17T00:00:00"/>
    <s v="as\afok"/>
    <m/>
    <s v="2012"/>
    <x v="0"/>
    <x v="0"/>
    <x v="0"/>
    <x v="0"/>
    <m/>
    <m/>
    <m/>
    <m/>
    <n v="72"/>
    <m/>
    <m/>
    <m/>
    <m/>
    <m/>
    <m/>
    <m/>
    <m/>
    <m/>
    <m/>
    <m/>
    <m/>
    <x v="0"/>
    <x v="0"/>
    <x v="0"/>
    <x v="0"/>
    <m/>
    <m/>
    <m/>
    <n v="1"/>
    <m/>
    <m/>
    <s v="FP"/>
    <m/>
    <m/>
    <m/>
    <x v="0"/>
    <x v="1"/>
    <m/>
    <x v="0"/>
  </r>
  <r>
    <n v="2398"/>
    <x v="62"/>
    <x v="62"/>
    <x v="55"/>
    <x v="5"/>
    <s v="SHOT XU"/>
    <n v="2339"/>
    <s v="SIF"/>
    <s v="Supplier"/>
    <m/>
    <x v="146"/>
    <s v="Easynet_SIF_8May2012.xls"/>
    <s v=".xls"/>
    <d v="2014-04-17T00:00:00"/>
    <s v="as\afok"/>
    <m/>
    <s v="2012"/>
    <x v="0"/>
    <x v="0"/>
    <x v="0"/>
    <x v="0"/>
    <m/>
    <m/>
    <m/>
    <m/>
    <m/>
    <n v="2012"/>
    <n v="13000000"/>
    <n v="12000000"/>
    <n v="8293000"/>
    <n v="13240000"/>
    <n v="12430000"/>
    <m/>
    <m/>
    <n v="19"/>
    <n v="18"/>
    <n v="10.78"/>
    <m/>
    <x v="0"/>
    <x v="0"/>
    <x v="0"/>
    <x v="0"/>
    <m/>
    <m/>
    <m/>
    <n v="1"/>
    <n v="1"/>
    <m/>
    <s v="FP"/>
    <m/>
    <m/>
    <m/>
    <x v="0"/>
    <x v="1"/>
    <m/>
    <x v="0"/>
  </r>
  <r>
    <n v="2389"/>
    <x v="62"/>
    <x v="62"/>
    <x v="55"/>
    <x v="5"/>
    <s v="SHOT XU"/>
    <n v="2330"/>
    <s v="SPR"/>
    <s v="Supplier"/>
    <m/>
    <x v="324"/>
    <s v="SPR 2012 Easynet.pptx"/>
    <s v=".pptx"/>
    <d v="2014-04-17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x v="0"/>
    <x v="1"/>
    <m/>
    <x v="0"/>
  </r>
  <r>
    <n v="1225"/>
    <x v="63"/>
    <x v="63"/>
    <x v="56"/>
    <x v="2"/>
    <s v="GODFREY LI"/>
    <n v="1201"/>
    <s v="Contract: General Contract"/>
    <s v="Supplier"/>
    <m/>
    <x v="325"/>
    <s v="Elecpro_General Agreement_20081212.pdf"/>
    <s v=".pdf"/>
    <d v="2014-03-27T00:00:00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x v="9"/>
    <x v="1"/>
    <m/>
    <x v="25"/>
  </r>
  <r>
    <n v="1222"/>
    <x v="63"/>
    <x v="63"/>
    <x v="56"/>
    <x v="2"/>
    <s v="GODFREY LI"/>
    <n v="1198"/>
    <s v="Environmental Declaration"/>
    <s v="Supplier"/>
    <m/>
    <x v="326"/>
    <s v="Elecpro_Env_Declaration_26May2010.xls"/>
    <s v=".xls"/>
    <d v="2014-03-27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230"/>
    <x v="63"/>
    <x v="63"/>
    <x v="56"/>
    <x v="2"/>
    <s v="GODFREY LI"/>
    <n v="1206"/>
    <s v="Foodstuffs declaration"/>
    <s v="Supplier"/>
    <m/>
    <x v="327"/>
    <s v="Elecpro FRD00069 ind.04 20090623.pdf"/>
    <s v=".pdf"/>
    <d v="2014-03-27T00:00:00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m/>
    <x v="9"/>
    <x v="1"/>
    <m/>
    <x v="25"/>
  </r>
  <r>
    <n v="1227"/>
    <x v="63"/>
    <x v="63"/>
    <x v="56"/>
    <x v="2"/>
    <s v="GODFREY LI"/>
    <n v="1203"/>
    <s v="ISO 14001"/>
    <s v="Supplier"/>
    <d v="2011-05-26T00:00:00"/>
    <x v="328"/>
    <s v="Elecpro_ISO14001_2011.jpg"/>
    <s v=".jpg"/>
    <d v="2014-03-2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226"/>
    <x v="63"/>
    <x v="63"/>
    <x v="56"/>
    <x v="2"/>
    <s v="GODFREY LI"/>
    <n v="1202"/>
    <s v="ISO 9001"/>
    <s v="Supplier"/>
    <d v="2011-08-27T00:00:00"/>
    <x v="329"/>
    <s v="Elecpro_ISO9001_2011.jpg"/>
    <s v=".jpg"/>
    <d v="2014-03-2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221"/>
    <x v="63"/>
    <x v="63"/>
    <x v="56"/>
    <x v="2"/>
    <s v="GODFREY LI"/>
    <n v="1197"/>
    <s v="NDA (Non Disclosure Agreement)"/>
    <s v="Supplier"/>
    <m/>
    <x v="330"/>
    <s v="Elecpro - NDA 17Dec10.pdf"/>
    <s v=".pdf"/>
    <d v="2014-03-2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224"/>
    <x v="63"/>
    <x v="63"/>
    <x v="56"/>
    <x v="2"/>
    <s v="GODFREY LI"/>
    <n v="1200"/>
    <s v="Responsible Purchasing Charter"/>
    <s v="Supplier"/>
    <m/>
    <x v="270"/>
    <s v="Elecpro - Responsible Purchasing Charter (CH).pdf"/>
    <s v=".pdf"/>
    <d v="2014-03-27T00:00:00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223"/>
    <x v="63"/>
    <x v="63"/>
    <x v="56"/>
    <x v="2"/>
    <s v="GODFREY LI"/>
    <n v="1199"/>
    <s v="Responsible Purchasing Charter"/>
    <s v="Supplier"/>
    <m/>
    <x v="270"/>
    <s v="Elecpro - Responsible Purchasing Charter (ENG).pdf"/>
    <s v=".pdf"/>
    <d v="2014-03-27T00:00:00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229"/>
    <x v="63"/>
    <x v="63"/>
    <x v="56"/>
    <x v="2"/>
    <s v="GODFREY LI"/>
    <n v="1205"/>
    <s v="SEF"/>
    <s v="Supplier"/>
    <m/>
    <x v="55"/>
    <s v="SEF_Elecpro_ 201206.xlsx"/>
    <s v=".xlsx"/>
    <d v="2014-03-27T00:00:00"/>
    <s v="as\afok"/>
    <m/>
    <s v="2012"/>
    <x v="0"/>
    <x v="0"/>
    <x v="0"/>
    <x v="0"/>
    <m/>
    <m/>
    <m/>
    <m/>
    <n v="59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220"/>
    <x v="63"/>
    <x v="63"/>
    <x v="56"/>
    <x v="2"/>
    <s v="GODFREY LI"/>
    <n v="1196"/>
    <s v="SEF"/>
    <s v="Supplier"/>
    <m/>
    <x v="78"/>
    <s v="SEF 2013 - Elecpro.xlsx"/>
    <s v=".xlsx"/>
    <d v="2014-03-27T00:00:00"/>
    <s v="as\afok"/>
    <m/>
    <s v="2013"/>
    <x v="0"/>
    <x v="0"/>
    <x v="0"/>
    <x v="0"/>
    <m/>
    <m/>
    <m/>
    <m/>
    <n v="75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219"/>
    <x v="63"/>
    <x v="63"/>
    <x v="56"/>
    <x v="2"/>
    <s v="GODFREY LI"/>
    <n v="1195"/>
    <s v="SIF"/>
    <s v="Supplier"/>
    <m/>
    <x v="331"/>
    <s v="Elecpro - SIF 2012.XLSX"/>
    <s v=".xlsx"/>
    <d v="2014-03-27T00:00:00"/>
    <s v="as\afok"/>
    <m/>
    <s v="2012"/>
    <x v="0"/>
    <x v="0"/>
    <x v="0"/>
    <x v="0"/>
    <m/>
    <m/>
    <m/>
    <m/>
    <m/>
    <n v="2012"/>
    <n v="122000000"/>
    <n v="118000000"/>
    <n v="118000000"/>
    <n v="122000000"/>
    <n v="94000000"/>
    <m/>
    <m/>
    <n v="3"/>
    <n v="3"/>
    <n v="3"/>
    <m/>
    <x v="0"/>
    <x v="0"/>
    <x v="0"/>
    <x v="0"/>
    <m/>
    <m/>
    <m/>
    <n v="0"/>
    <m/>
    <m/>
    <s v="FP"/>
    <m/>
    <s v="SP"/>
    <m/>
    <x v="9"/>
    <x v="1"/>
    <m/>
    <x v="25"/>
  </r>
  <r>
    <n v="1218"/>
    <x v="63"/>
    <x v="63"/>
    <x v="56"/>
    <x v="2"/>
    <s v="GODFREY LI"/>
    <n v="1194"/>
    <s v="SIF"/>
    <s v="Supplier"/>
    <m/>
    <x v="332"/>
    <s v="Elecpro - SIF 2013.xls"/>
    <s v=".xls"/>
    <d v="2014-03-27T00:00:00"/>
    <s v="as\afok"/>
    <m/>
    <s v="2013"/>
    <x v="0"/>
    <x v="0"/>
    <x v="0"/>
    <x v="0"/>
    <m/>
    <m/>
    <m/>
    <m/>
    <m/>
    <n v="2013"/>
    <n v="122000000"/>
    <n v="118000000"/>
    <n v="118000000"/>
    <n v="122000000"/>
    <n v="94000000"/>
    <m/>
    <m/>
    <n v="3"/>
    <n v="3"/>
    <n v="3"/>
    <m/>
    <x v="0"/>
    <x v="0"/>
    <x v="0"/>
    <x v="0"/>
    <m/>
    <m/>
    <m/>
    <n v="0"/>
    <m/>
    <m/>
    <s v="FP"/>
    <m/>
    <s v="SP"/>
    <m/>
    <x v="9"/>
    <x v="1"/>
    <m/>
    <x v="25"/>
  </r>
  <r>
    <n v="1228"/>
    <x v="63"/>
    <x v="63"/>
    <x v="56"/>
    <x v="2"/>
    <s v="GODFREY LI"/>
    <n v="1204"/>
    <s v="SPR"/>
    <s v="Supplier"/>
    <m/>
    <x v="326"/>
    <s v="Elecpro_SPR_May2010.PPT"/>
    <s v=".ppt"/>
    <d v="2014-03-27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2"/>
    <x v="64"/>
    <x v="64"/>
    <x v="57"/>
    <x v="0"/>
    <s v="FELICITY YU"/>
    <n v="2"/>
    <s v="Contract: General Contract"/>
    <s v="Supplier"/>
    <d v="2015-12-31T00:00:00"/>
    <x v="333"/>
    <s v="ETI_General Agreement_16Feb2012.pdf"/>
    <s v=".pdf"/>
    <d v="2014-03-03T00:00:00"/>
    <s v="as\afok"/>
    <m/>
    <s v="FHA00016 ind10 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7"/>
  </r>
  <r>
    <n v="56"/>
    <x v="64"/>
    <x v="64"/>
    <x v="57"/>
    <x v="0"/>
    <s v="FELICITY YU"/>
    <n v="48"/>
    <s v="Contract: Quality Appendix"/>
    <s v="Supplier"/>
    <m/>
    <x v="333"/>
    <s v="ETI_General Agreement_16Feb2012.pdf"/>
    <s v=".pdf"/>
    <d v="2014-03-06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x v="9"/>
    <x v="1"/>
    <m/>
    <x v="7"/>
  </r>
  <r>
    <n v="57"/>
    <x v="64"/>
    <x v="64"/>
    <x v="57"/>
    <x v="0"/>
    <s v="FELICITY YU"/>
    <n v="49"/>
    <s v="Contract: Supply Chain Appendix"/>
    <s v="Supplier"/>
    <m/>
    <x v="333"/>
    <s v="ETI_General Agreement_16Feb2012.pdf"/>
    <s v=".pdf"/>
    <d v="2014-03-06T00:00:00"/>
    <s v="as\afok"/>
    <m/>
    <m/>
    <x v="0"/>
    <x v="10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x v="9"/>
    <x v="1"/>
    <m/>
    <x v="7"/>
  </r>
  <r>
    <n v="587"/>
    <x v="64"/>
    <x v="64"/>
    <x v="57"/>
    <x v="0"/>
    <s v="FELICITY YU"/>
    <n v="570"/>
    <s v="Declaration letter of group organization"/>
    <s v="Supplier"/>
    <m/>
    <x v="246"/>
    <s v="ETI_General Agreement_16Feb2012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x v="9"/>
    <x v="1"/>
    <m/>
    <x v="7"/>
  </r>
  <r>
    <n v="51"/>
    <x v="64"/>
    <x v="64"/>
    <x v="57"/>
    <x v="0"/>
    <s v="FELICITY YU"/>
    <n v="43"/>
    <s v="Environmental Declaration"/>
    <s v="Supplier"/>
    <m/>
    <x v="334"/>
    <s v="ETI_Env_Declaration_15May2010.xls"/>
    <s v=".xls"/>
    <d v="2014-03-06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7"/>
  </r>
  <r>
    <n v="58"/>
    <x v="64"/>
    <x v="64"/>
    <x v="57"/>
    <x v="0"/>
    <s v="FELICITY YU"/>
    <n v="50"/>
    <s v="Environmental Declaration"/>
    <s v="Supplier"/>
    <m/>
    <x v="333"/>
    <s v="ETI_General Agreement_16Feb2012.pdf"/>
    <s v=".pdf"/>
    <d v="2014-03-06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7"/>
  </r>
  <r>
    <n v="47"/>
    <x v="64"/>
    <x v="64"/>
    <x v="57"/>
    <x v="0"/>
    <s v="FELICITY YU"/>
    <n v="39"/>
    <s v="Exclusivity (EA)"/>
    <s v="Supplier"/>
    <m/>
    <x v="335"/>
    <s v="ELEC-TECH_Exclusivity_Grind and Brew Coffee machine_23Mar12.pdf"/>
    <s v=".pdf"/>
    <d v="2014-03-0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7"/>
  </r>
  <r>
    <n v="49"/>
    <x v="64"/>
    <x v="64"/>
    <x v="57"/>
    <x v="0"/>
    <s v="FELICITY YU"/>
    <n v="41"/>
    <s v="Foodstuffs declaration"/>
    <s v="Supplier"/>
    <m/>
    <x v="336"/>
    <s v="ETI_Food_Stuff_13Oct2010.pdf"/>
    <s v=".pdf"/>
    <d v="2014-03-06T00:00:00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7"/>
  </r>
  <r>
    <n v="48"/>
    <x v="64"/>
    <x v="64"/>
    <x v="57"/>
    <x v="0"/>
    <s v="FELICITY YU"/>
    <n v="40"/>
    <s v="IP (Intellectual Property)"/>
    <s v="Supplier"/>
    <m/>
    <x v="31"/>
    <s v="ELEC-TECH_IP_7064 Baby Phone Digital Video_18Apr12.pdf"/>
    <s v=".pdf"/>
    <d v="2014-03-0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7"/>
  </r>
  <r>
    <n v="50"/>
    <x v="64"/>
    <x v="64"/>
    <x v="57"/>
    <x v="0"/>
    <s v="FELICITY YU"/>
    <n v="42"/>
    <s v="Liability insurance"/>
    <s v="Supplier"/>
    <m/>
    <x v="337"/>
    <s v="ETI_PLI_24Jul12.pdf"/>
    <s v=".pdf"/>
    <d v="2014-03-0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7"/>
  </r>
  <r>
    <n v="46"/>
    <x v="64"/>
    <x v="64"/>
    <x v="57"/>
    <x v="0"/>
    <s v="FELICITY YU"/>
    <n v="38"/>
    <s v="LOC (Letter of Confidentiality)"/>
    <s v="Supplier"/>
    <m/>
    <x v="338"/>
    <s v="ETI_LOC_2009.pdf"/>
    <s v=".pdf"/>
    <d v="2014-03-0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7"/>
  </r>
  <r>
    <n v="53"/>
    <x v="64"/>
    <x v="64"/>
    <x v="57"/>
    <x v="0"/>
    <s v="FELICITY YU"/>
    <n v="45"/>
    <s v="Responsible Purchasing Charter"/>
    <s v="Supplier"/>
    <m/>
    <x v="281"/>
    <s v="ETI_Responsible Purchasing Charter (Vesta)_3Aug12.pdf"/>
    <s v=".pdf"/>
    <d v="2014-03-06T00:00:00"/>
    <s v="as\afok"/>
    <s v="Vesta Electrical Appliance Manufacturing (ZhongShan) Co. Ltd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7"/>
  </r>
  <r>
    <n v="52"/>
    <x v="64"/>
    <x v="64"/>
    <x v="57"/>
    <x v="0"/>
    <s v="FELICITY YU"/>
    <n v="44"/>
    <s v="Responsible Purchasing Charter"/>
    <s v="Supplier"/>
    <m/>
    <x v="51"/>
    <s v="ETI_Responsible Purchasing Charter_3Aug12.pdf"/>
    <s v=".pdf"/>
    <d v="2014-03-0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7"/>
  </r>
  <r>
    <n v="45"/>
    <x v="64"/>
    <x v="64"/>
    <x v="57"/>
    <x v="0"/>
    <s v="FELICITY YU"/>
    <n v="37"/>
    <s v="SEF"/>
    <s v="Supplier"/>
    <m/>
    <x v="339"/>
    <s v="SEF ElecTech 20130809.xlsx"/>
    <s v=".xlsx"/>
    <d v="2014-03-06T00:00:00"/>
    <s v="as\afok"/>
    <m/>
    <s v="2013"/>
    <x v="0"/>
    <x v="0"/>
    <x v="0"/>
    <x v="0"/>
    <m/>
    <m/>
    <m/>
    <m/>
    <n v="69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7"/>
  </r>
  <r>
    <n v="44"/>
    <x v="64"/>
    <x v="64"/>
    <x v="57"/>
    <x v="0"/>
    <s v="FELICITY YU"/>
    <n v="36"/>
    <s v="SEF"/>
    <s v="Supplier"/>
    <m/>
    <x v="259"/>
    <s v="SEF_Elec_Tech_20120830.xlsx"/>
    <s v=".xlsx"/>
    <d v="2014-03-06T00:00:00"/>
    <s v="as\afok"/>
    <m/>
    <s v="2012"/>
    <x v="0"/>
    <x v="0"/>
    <x v="0"/>
    <x v="0"/>
    <m/>
    <m/>
    <m/>
    <m/>
    <n v="72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7"/>
  </r>
  <r>
    <n v="54"/>
    <x v="64"/>
    <x v="64"/>
    <x v="57"/>
    <x v="0"/>
    <s v="FELICITY YU"/>
    <n v="46"/>
    <s v="SIF"/>
    <s v="Supplier"/>
    <m/>
    <x v="340"/>
    <s v="Elec_Tech_SIF2011_17Mar11.xls"/>
    <s v=".xls"/>
    <d v="2014-03-06T00:00:00"/>
    <s v="as\afok"/>
    <m/>
    <s v="2011"/>
    <x v="0"/>
    <x v="0"/>
    <x v="0"/>
    <x v="0"/>
    <m/>
    <m/>
    <m/>
    <m/>
    <m/>
    <n v="2011"/>
    <n v="300000000"/>
    <n v="290000000"/>
    <n v="228000000"/>
    <n v="328000000"/>
    <n v="300000000"/>
    <n v="11"/>
    <n v="10"/>
    <n v="12"/>
    <n v="15"/>
    <n v="7"/>
    <m/>
    <x v="0"/>
    <x v="0"/>
    <x v="0"/>
    <x v="0"/>
    <m/>
    <m/>
    <m/>
    <n v="1"/>
    <m/>
    <m/>
    <s v="FP"/>
    <m/>
    <s v="SP"/>
    <m/>
    <x v="9"/>
    <x v="1"/>
    <m/>
    <x v="7"/>
  </r>
  <r>
    <n v="55"/>
    <x v="64"/>
    <x v="64"/>
    <x v="57"/>
    <x v="0"/>
    <s v="FELICITY YU"/>
    <n v="47"/>
    <s v="SIF"/>
    <s v="Supplier"/>
    <m/>
    <x v="341"/>
    <s v="Elec_Tech_SIF2012_11Mar12.xls"/>
    <s v=".xls"/>
    <d v="2014-03-06T00:00:00"/>
    <s v="as\afok"/>
    <m/>
    <s v="2012"/>
    <x v="0"/>
    <x v="0"/>
    <x v="0"/>
    <x v="0"/>
    <m/>
    <m/>
    <m/>
    <m/>
    <m/>
    <n v="2012"/>
    <n v="686000000"/>
    <n v="487000000"/>
    <n v="290000000"/>
    <n v="228000000"/>
    <n v="328000000"/>
    <n v="6"/>
    <n v="8"/>
    <n v="10"/>
    <n v="12"/>
    <n v="15"/>
    <m/>
    <x v="0"/>
    <x v="0"/>
    <x v="0"/>
    <x v="0"/>
    <m/>
    <m/>
    <m/>
    <n v="1"/>
    <m/>
    <m/>
    <s v="FP"/>
    <m/>
    <s v="SP"/>
    <m/>
    <x v="9"/>
    <x v="1"/>
    <m/>
    <x v="7"/>
  </r>
  <r>
    <n v="43"/>
    <x v="64"/>
    <x v="64"/>
    <x v="57"/>
    <x v="0"/>
    <s v="FELICITY YU"/>
    <n v="35"/>
    <s v="SPR"/>
    <s v="Supplier"/>
    <m/>
    <x v="342"/>
    <s v="ETI SPR 20111003.pptx"/>
    <s v=".pptx"/>
    <d v="2014-03-06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7"/>
  </r>
  <r>
    <n v="1"/>
    <x v="65"/>
    <x v="65"/>
    <x v="58"/>
    <x v="5"/>
    <s v="SHOT XU"/>
    <n v="1"/>
    <s v="Contract: General Contract"/>
    <s v="Supplier"/>
    <d v="2014-12-31T00:00:00"/>
    <x v="343"/>
    <s v="EUP FHA00016 ind.07 20071001.pdf"/>
    <s v=".pdf"/>
    <d v="2014-03-03T00:00:00"/>
    <s v="as\afok"/>
    <m/>
    <s v="FHA00016 ind.07 "/>
    <x v="1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n v="1"/>
    <m/>
    <m/>
    <n v="0"/>
    <m/>
    <n v="1"/>
    <s v="FP"/>
    <s v="CP"/>
    <s v="SP"/>
    <s v="MOULD"/>
    <x v="3"/>
    <x v="1"/>
    <n v="1"/>
    <x v="26"/>
  </r>
  <r>
    <n v="1834"/>
    <x v="66"/>
    <x v="66"/>
    <x v="59"/>
    <x v="4"/>
    <s v="MAVERICK LAU"/>
    <n v="1791"/>
    <s v="Contract: General Contract"/>
    <s v="Supplier"/>
    <m/>
    <x v="195"/>
    <s v="Everking_agreement_APR2012.pdf"/>
    <s v=".pdf"/>
    <d v="2014-04-09T00:00:00"/>
    <s v="as\afok"/>
    <m/>
    <s v="V7"/>
    <x v="1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x v="2"/>
    <x v="1"/>
    <m/>
    <x v="18"/>
  </r>
  <r>
    <n v="1836"/>
    <x v="66"/>
    <x v="66"/>
    <x v="59"/>
    <x v="4"/>
    <s v="MAVERICK LAU"/>
    <n v="1793"/>
    <s v="Contract: Quality Appendix"/>
    <s v="Supplier"/>
    <m/>
    <x v="302"/>
    <s v="Everking_agreement_APR2012.pdf"/>
    <s v=".pdf"/>
    <d v="2014-04-09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x v="2"/>
    <x v="1"/>
    <m/>
    <x v="18"/>
  </r>
  <r>
    <n v="1837"/>
    <x v="66"/>
    <x v="66"/>
    <x v="59"/>
    <x v="4"/>
    <s v="MAVERICK LAU"/>
    <n v="1794"/>
    <s v="Contract: Supply Chain Appendix"/>
    <s v="Supplier"/>
    <m/>
    <x v="195"/>
    <s v="Everking_agreement_APR2012.pdf"/>
    <s v=".pdf"/>
    <d v="2014-04-09T00:00:00"/>
    <s v="as\afok"/>
    <m/>
    <m/>
    <x v="0"/>
    <x v="10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x v="2"/>
    <x v="1"/>
    <m/>
    <x v="18"/>
  </r>
  <r>
    <n v="1828"/>
    <x v="66"/>
    <x v="66"/>
    <x v="59"/>
    <x v="4"/>
    <s v="MAVERICK LAU"/>
    <n v="1785"/>
    <s v="Contract: Supply Chain Appendix"/>
    <s v="Supplier"/>
    <m/>
    <x v="344"/>
    <s v="Supply_chain_appendixV.10_Everking_4Jul13.pdf"/>
    <s v=".pdf"/>
    <d v="2014-04-09T00:00:00"/>
    <s v="as\afok"/>
    <m/>
    <s v="V10"/>
    <x v="0"/>
    <x v="1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x v="2"/>
    <x v="1"/>
    <m/>
    <x v="18"/>
  </r>
  <r>
    <n v="1838"/>
    <x v="66"/>
    <x v="66"/>
    <x v="59"/>
    <x v="4"/>
    <s v="MAVERICK LAU"/>
    <n v="1795"/>
    <s v="Declaration letter of group organization"/>
    <s v="Supplier"/>
    <m/>
    <x v="195"/>
    <s v="Everking_agreement_APR2012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8"/>
  </r>
  <r>
    <n v="1835"/>
    <x v="66"/>
    <x v="66"/>
    <x v="59"/>
    <x v="4"/>
    <s v="MAVERICK LAU"/>
    <n v="1792"/>
    <s v="Environmental Declaration"/>
    <s v="Supplier"/>
    <m/>
    <x v="195"/>
    <s v="Everking_agreement_APR2012.pdf"/>
    <s v=".pdf"/>
    <d v="2014-04-09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8"/>
  </r>
  <r>
    <n v="1833"/>
    <x v="66"/>
    <x v="66"/>
    <x v="59"/>
    <x v="4"/>
    <s v="MAVERICK LAU"/>
    <n v="1790"/>
    <s v="Environmental Declaration"/>
    <s v="Supplier"/>
    <m/>
    <x v="345"/>
    <s v="Ever_King_Env_Declaration_02Apr2010.tif"/>
    <s v=".tif"/>
    <d v="2014-04-09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8"/>
  </r>
  <r>
    <n v="1832"/>
    <x v="66"/>
    <x v="66"/>
    <x v="59"/>
    <x v="4"/>
    <s v="MAVERICK LAU"/>
    <n v="1789"/>
    <s v="Responsible Purchasing Charter"/>
    <s v="Supplier"/>
    <m/>
    <x v="69"/>
    <s v="EverKing_Responsible_Purchasing_Charter_02Aug12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8"/>
  </r>
  <r>
    <n v="1831"/>
    <x v="66"/>
    <x v="66"/>
    <x v="59"/>
    <x v="4"/>
    <s v="MAVERICK LAU"/>
    <n v="1788"/>
    <s v="SEF"/>
    <s v="Supplier"/>
    <m/>
    <x v="270"/>
    <s v="SEF-Ever King-20120828-76.xlsx"/>
    <s v=".xlsx"/>
    <d v="2014-04-09T00:00:00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8"/>
  </r>
  <r>
    <n v="1830"/>
    <x v="66"/>
    <x v="66"/>
    <x v="59"/>
    <x v="4"/>
    <s v="MAVERICK LAU"/>
    <n v="1787"/>
    <s v="SEF"/>
    <s v="Supplier"/>
    <m/>
    <x v="346"/>
    <s v="SEF-Ever King-20120319-75.xlsx"/>
    <s v=".xlsx"/>
    <d v="2014-04-09T00:00:00"/>
    <s v="as\afok"/>
    <m/>
    <s v="2012"/>
    <x v="0"/>
    <x v="0"/>
    <x v="0"/>
    <x v="0"/>
    <m/>
    <m/>
    <m/>
    <m/>
    <n v="75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8"/>
  </r>
  <r>
    <n v="1839"/>
    <x v="66"/>
    <x v="66"/>
    <x v="59"/>
    <x v="4"/>
    <s v="MAVERICK LAU"/>
    <n v="1796"/>
    <s v="SIF"/>
    <s v="Supplier"/>
    <m/>
    <x v="290"/>
    <s v="Ever_King_SIF2012_14May12.xlsx"/>
    <s v=".xlsx"/>
    <d v="2014-04-09T00:00:00"/>
    <s v="as\afok"/>
    <m/>
    <s v="2012"/>
    <x v="0"/>
    <x v="0"/>
    <x v="0"/>
    <x v="0"/>
    <m/>
    <m/>
    <m/>
    <m/>
    <m/>
    <n v="2012"/>
    <m/>
    <n v="200000"/>
    <n v="150000"/>
    <m/>
    <m/>
    <n v="1.8"/>
    <n v="1.5"/>
    <m/>
    <m/>
    <m/>
    <s v="CP Panel"/>
    <x v="0"/>
    <x v="0"/>
    <x v="1"/>
    <x v="1"/>
    <m/>
    <m/>
    <m/>
    <n v="1"/>
    <n v="1"/>
    <m/>
    <m/>
    <s v="CP"/>
    <m/>
    <m/>
    <x v="2"/>
    <x v="1"/>
    <m/>
    <x v="18"/>
  </r>
  <r>
    <n v="1829"/>
    <x v="66"/>
    <x v="66"/>
    <x v="59"/>
    <x v="4"/>
    <s v="MAVERICK LAU"/>
    <n v="1786"/>
    <s v="SIF"/>
    <s v="Supplier"/>
    <m/>
    <x v="347"/>
    <s v="Ever King_SIF2013.xlsx"/>
    <s v=".xlsx"/>
    <d v="2014-04-09T00:00:00"/>
    <s v="as\afok"/>
    <m/>
    <s v="2013"/>
    <x v="0"/>
    <x v="0"/>
    <x v="0"/>
    <x v="0"/>
    <m/>
    <m/>
    <m/>
    <m/>
    <m/>
    <n v="2013"/>
    <m/>
    <n v="1500000"/>
    <n v="2000000"/>
    <m/>
    <m/>
    <n v="1.8"/>
    <n v="1.4"/>
    <m/>
    <m/>
    <m/>
    <s v="CP Panel"/>
    <x v="0"/>
    <x v="0"/>
    <x v="1"/>
    <x v="1"/>
    <m/>
    <m/>
    <m/>
    <n v="1"/>
    <m/>
    <m/>
    <m/>
    <s v="CP"/>
    <m/>
    <m/>
    <x v="2"/>
    <x v="1"/>
    <m/>
    <x v="18"/>
  </r>
  <r>
    <n v="2184"/>
    <x v="67"/>
    <x v="67"/>
    <x v="60"/>
    <x v="4"/>
    <s v="WILLIAM TSANG"/>
    <n v="2127"/>
    <s v="Contract: General Contract"/>
    <s v="Supplier"/>
    <m/>
    <x v="348"/>
    <s v="Evershine_SupplyAgreement_V8_22Nov2013.pdf"/>
    <s v=".pdf"/>
    <d v="2014-04-14T00:00:00"/>
    <s v="as\afok"/>
    <m/>
    <s v="V8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x v="2"/>
    <x v="1"/>
    <m/>
    <x v="8"/>
  </r>
  <r>
    <n v="2187"/>
    <x v="67"/>
    <x v="67"/>
    <x v="60"/>
    <x v="4"/>
    <s v="WILLIAM TSANG"/>
    <n v="2130"/>
    <s v="Contract: Quality Appendix"/>
    <s v="Supplier"/>
    <m/>
    <x v="349"/>
    <s v="Evershine_Appendix_4_QualityPolicy_22Nov2013.pdf"/>
    <s v=".pdf"/>
    <d v="2014-04-14T00:00:0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x v="2"/>
    <x v="1"/>
    <m/>
    <x v="8"/>
  </r>
  <r>
    <n v="2189"/>
    <x v="67"/>
    <x v="67"/>
    <x v="60"/>
    <x v="4"/>
    <s v="WILLIAM TSANG"/>
    <n v="2132"/>
    <s v="Contract: Supply Chain Appendix"/>
    <s v="Supplier"/>
    <m/>
    <x v="94"/>
    <s v="supply_chain_appendixV.10_Evershine_13Aug13.pdf"/>
    <s v=".pdf"/>
    <d v="2014-04-14T00:00:00"/>
    <s v="as\afok"/>
    <m/>
    <s v="V10"/>
    <x v="0"/>
    <x v="3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x v="2"/>
    <x v="1"/>
    <m/>
    <x v="8"/>
  </r>
  <r>
    <n v="2188"/>
    <x v="67"/>
    <x v="67"/>
    <x v="60"/>
    <x v="4"/>
    <s v="WILLIAM TSANG"/>
    <n v="2131"/>
    <s v="Declaration letter of group organization"/>
    <s v="Supplier"/>
    <m/>
    <x v="350"/>
    <s v="Evershine_Appendix_6_22Nov2013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8"/>
  </r>
  <r>
    <n v="2186"/>
    <x v="67"/>
    <x v="67"/>
    <x v="60"/>
    <x v="4"/>
    <s v="WILLIAM TSANG"/>
    <n v="2129"/>
    <s v="Environmental Declaration"/>
    <s v="Supplier"/>
    <m/>
    <x v="348"/>
    <s v="Evershine_Appendix_3_EnvironnementalDeclaration_22Nov2013.pdf"/>
    <s v=".pdf"/>
    <d v="2014-04-14T00:00:00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8"/>
  </r>
  <r>
    <n v="2185"/>
    <x v="67"/>
    <x v="67"/>
    <x v="60"/>
    <x v="4"/>
    <s v="WILLIAM TSANG"/>
    <n v="2128"/>
    <s v="Responsible Purchasing Charter"/>
    <s v="Supplier"/>
    <m/>
    <x v="348"/>
    <s v="Evershine_ResponsiblePurchasingCharter_22Nov2013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8"/>
  </r>
  <r>
    <n v="2191"/>
    <x v="67"/>
    <x v="67"/>
    <x v="60"/>
    <x v="4"/>
    <s v="WILLIAM TSANG"/>
    <n v="2134"/>
    <s v="SEF"/>
    <s v="Supplier"/>
    <m/>
    <x v="137"/>
    <s v="EVERSHINE_Supplier_Evaluation_May_2012.xlsx"/>
    <s v=".xlsx"/>
    <d v="2014-04-14T00:00:00"/>
    <s v="as\afok"/>
    <m/>
    <s v="2012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8"/>
  </r>
  <r>
    <n v="2190"/>
    <x v="67"/>
    <x v="67"/>
    <x v="60"/>
    <x v="4"/>
    <s v="WILLIAM TSANG"/>
    <n v="2133"/>
    <s v="SIF"/>
    <s v="Supplier"/>
    <m/>
    <x v="351"/>
    <s v="Evershine_SIF2013.xls"/>
    <s v=".xls"/>
    <d v="2014-04-14T00:00:00"/>
    <s v="as\afok"/>
    <m/>
    <s v="2013"/>
    <x v="0"/>
    <x v="0"/>
    <x v="0"/>
    <x v="0"/>
    <m/>
    <m/>
    <m/>
    <m/>
    <m/>
    <n v="2013"/>
    <n v="32000000"/>
    <n v="14000000"/>
    <n v="11500000"/>
    <n v="9000000"/>
    <n v="8500000"/>
    <n v="5"/>
    <m/>
    <m/>
    <m/>
    <m/>
    <m/>
    <x v="0"/>
    <x v="0"/>
    <x v="0"/>
    <x v="0"/>
    <m/>
    <m/>
    <m/>
    <n v="1"/>
    <m/>
    <m/>
    <m/>
    <s v="CP"/>
    <m/>
    <m/>
    <x v="2"/>
    <x v="1"/>
    <m/>
    <x v="8"/>
  </r>
  <r>
    <n v="2192"/>
    <x v="67"/>
    <x v="67"/>
    <x v="60"/>
    <x v="4"/>
    <s v="WILLIAM TSANG"/>
    <n v="2135"/>
    <s v="SIF"/>
    <s v="Supplier"/>
    <m/>
    <x v="199"/>
    <s v="Evershine_SIF2012_17Apr12.xls"/>
    <s v=".xls"/>
    <d v="2014-04-14T00:00:00"/>
    <s v="as\afok"/>
    <m/>
    <s v="2012"/>
    <x v="0"/>
    <x v="0"/>
    <x v="0"/>
    <x v="0"/>
    <m/>
    <m/>
    <m/>
    <m/>
    <m/>
    <n v="2012"/>
    <n v="14000000"/>
    <n v="11500000"/>
    <n v="9000000"/>
    <n v="8500000"/>
    <n v="5900000"/>
    <m/>
    <n v="5"/>
    <m/>
    <m/>
    <m/>
    <m/>
    <x v="0"/>
    <x v="0"/>
    <x v="0"/>
    <x v="0"/>
    <m/>
    <m/>
    <m/>
    <n v="1"/>
    <n v="1"/>
    <m/>
    <m/>
    <s v="CP"/>
    <m/>
    <m/>
    <x v="2"/>
    <x v="1"/>
    <m/>
    <x v="8"/>
  </r>
  <r>
    <n v="2016"/>
    <x v="68"/>
    <x v="68"/>
    <x v="61"/>
    <x v="4"/>
    <s v="RICKY LAM"/>
    <n v="1959"/>
    <s v="Contract: General Contract"/>
    <s v="Supplier"/>
    <m/>
    <x v="352"/>
    <s v="Excelight_SupplyAgreementV8_2013.pdf"/>
    <s v=".pdf"/>
    <d v="2014-04-11T00:00:00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27"/>
  </r>
  <r>
    <n v="2002"/>
    <x v="68"/>
    <x v="68"/>
    <x v="61"/>
    <x v="4"/>
    <s v="RICKY LAM"/>
    <n v="1945"/>
    <s v="Contract: General Contract"/>
    <s v="Supplier"/>
    <m/>
    <x v="183"/>
    <s v="Excelight_Agreement_MAY2012.pdf"/>
    <s v=".pdf"/>
    <d v="2014-04-10T00:00:00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27"/>
  </r>
  <r>
    <n v="2018"/>
    <x v="68"/>
    <x v="68"/>
    <x v="61"/>
    <x v="4"/>
    <s v="RICKY LAM"/>
    <n v="1961"/>
    <s v="Contract: General Contract"/>
    <s v="Supplier"/>
    <m/>
    <x v="174"/>
    <s v="Excelight_AgreementV.8_16Aug13.pdf"/>
    <s v=".pdf"/>
    <d v="2014-04-11T00:00:00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n v="1"/>
    <m/>
    <m/>
    <s v="CP"/>
    <m/>
    <m/>
    <x v="2"/>
    <x v="1"/>
    <m/>
    <x v="27"/>
  </r>
  <r>
    <n v="2008"/>
    <x v="68"/>
    <x v="68"/>
    <x v="61"/>
    <x v="4"/>
    <s v="RICKY LAM"/>
    <n v="1951"/>
    <s v="Contract: General Contract"/>
    <s v="Supplier"/>
    <m/>
    <x v="132"/>
    <s v="Excelight_Agreement_Revised_Sep2012.pdf"/>
    <s v=".pdf"/>
    <d v="2014-04-10T00:00:00"/>
    <s v="as\afok"/>
    <m/>
    <m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27"/>
  </r>
  <r>
    <n v="2004"/>
    <x v="68"/>
    <x v="68"/>
    <x v="61"/>
    <x v="4"/>
    <s v="RICKY LAM"/>
    <n v="1947"/>
    <s v="Contract: Quality Appendix"/>
    <s v="Supplier"/>
    <m/>
    <x v="184"/>
    <s v="Excelight_Agreement_MAY2012.pdf"/>
    <s v=".pdf"/>
    <d v="2014-04-10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27"/>
  </r>
  <r>
    <n v="2005"/>
    <x v="68"/>
    <x v="68"/>
    <x v="61"/>
    <x v="4"/>
    <s v="RICKY LAM"/>
    <n v="1948"/>
    <s v="Contract: Supply Chain Appendix"/>
    <s v="Supplier"/>
    <m/>
    <x v="180"/>
    <s v="Excelight_Agreement_MAY2012.pdf"/>
    <s v=".pdf"/>
    <d v="2014-04-10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27"/>
  </r>
  <r>
    <n v="2015"/>
    <x v="68"/>
    <x v="68"/>
    <x v="61"/>
    <x v="4"/>
    <s v="RICKY LAM"/>
    <n v="1958"/>
    <s v="Contract: Supply Chain Appendix"/>
    <s v="Supplier"/>
    <m/>
    <x v="148"/>
    <s v="Excelight_SupplyChainAppendix_V10_24Oct2013.pdf"/>
    <s v=".pdf"/>
    <d v="2014-04-11T00:00:00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27"/>
  </r>
  <r>
    <n v="2014"/>
    <x v="68"/>
    <x v="68"/>
    <x v="61"/>
    <x v="4"/>
    <s v="RICKY LAM"/>
    <n v="1957"/>
    <s v="Contract: Supply Chain Appendix"/>
    <s v="Supplier"/>
    <m/>
    <x v="284"/>
    <s v="Excelight_Supply Chain Appendix V10_10Jul2013.pdf"/>
    <s v=".pdf"/>
    <d v="2014-04-10T00:00:00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27"/>
  </r>
  <r>
    <n v="2006"/>
    <x v="68"/>
    <x v="68"/>
    <x v="61"/>
    <x v="4"/>
    <s v="RICKY LAM"/>
    <n v="1949"/>
    <s v="Declaration letter of group organization"/>
    <s v="Supplier"/>
    <m/>
    <x v="353"/>
    <s v="Excelight_Agreement_MAY2012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27"/>
  </r>
  <r>
    <n v="2010"/>
    <x v="68"/>
    <x v="68"/>
    <x v="61"/>
    <x v="4"/>
    <s v="RICKY LAM"/>
    <n v="1953"/>
    <s v="Environmental Declaration"/>
    <s v="Supplier"/>
    <m/>
    <x v="240"/>
    <s v="Excelight_Environnement_Declaration.xls"/>
    <s v=".xls"/>
    <d v="2014-04-10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27"/>
  </r>
  <r>
    <n v="2003"/>
    <x v="68"/>
    <x v="68"/>
    <x v="61"/>
    <x v="4"/>
    <s v="RICKY LAM"/>
    <n v="1946"/>
    <s v="Environmental Declaration"/>
    <s v="Supplier"/>
    <m/>
    <x v="183"/>
    <s v="Excelight_Agreement_MAY2012.pdf"/>
    <s v=".pdf"/>
    <d v="2014-04-10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27"/>
  </r>
  <r>
    <n v="2011"/>
    <x v="68"/>
    <x v="68"/>
    <x v="61"/>
    <x v="4"/>
    <s v="RICKY LAM"/>
    <n v="1954"/>
    <s v="Responsible Purchasing Charter"/>
    <s v="Supplier"/>
    <m/>
    <x v="19"/>
    <s v="Excelight_Responsible_Purchasing_Charter_07Aug12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27"/>
  </r>
  <r>
    <n v="2012"/>
    <x v="68"/>
    <x v="68"/>
    <x v="61"/>
    <x v="4"/>
    <s v="RICKY LAM"/>
    <n v="1955"/>
    <s v="SEF"/>
    <s v="Supplier"/>
    <m/>
    <x v="47"/>
    <s v="Excelight_SEF_July2012R1.xlsx"/>
    <s v=".xlsx"/>
    <d v="2014-04-10T00:00:00"/>
    <s v="as\afok"/>
    <m/>
    <s v="2012"/>
    <x v="0"/>
    <x v="0"/>
    <x v="0"/>
    <x v="0"/>
    <m/>
    <m/>
    <m/>
    <m/>
    <n v="79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27"/>
  </r>
  <r>
    <n v="2007"/>
    <x v="68"/>
    <x v="68"/>
    <x v="61"/>
    <x v="4"/>
    <s v="RICKY LAM"/>
    <n v="1950"/>
    <s v="SIF"/>
    <s v="Supplier"/>
    <m/>
    <x v="354"/>
    <s v="Excelight_SIF2012_11May12.xlsx"/>
    <s v=".xlsx"/>
    <d v="2014-04-10T00:00:00"/>
    <s v="as\afok"/>
    <m/>
    <s v="2012"/>
    <x v="0"/>
    <x v="0"/>
    <x v="0"/>
    <x v="0"/>
    <m/>
    <m/>
    <m/>
    <m/>
    <m/>
    <n v="2012"/>
    <n v="8000000"/>
    <n v="7000000"/>
    <n v="5000000"/>
    <n v="5000000"/>
    <m/>
    <n v="1.5"/>
    <n v="1.3"/>
    <n v="1"/>
    <n v="1"/>
    <n v="1"/>
    <s v="CP Panel"/>
    <x v="0"/>
    <x v="0"/>
    <x v="1"/>
    <x v="3"/>
    <m/>
    <m/>
    <m/>
    <n v="1"/>
    <m/>
    <m/>
    <m/>
    <s v="CP"/>
    <m/>
    <m/>
    <x v="2"/>
    <x v="1"/>
    <m/>
    <x v="27"/>
  </r>
  <r>
    <n v="2013"/>
    <x v="68"/>
    <x v="68"/>
    <x v="61"/>
    <x v="4"/>
    <s v="RICKY LAM"/>
    <n v="1956"/>
    <s v="SIF"/>
    <s v="Supplier"/>
    <m/>
    <x v="164"/>
    <s v="Excelight_SIF2013.xlsx"/>
    <s v=".xlsx"/>
    <d v="2014-04-10T00:00:00"/>
    <s v="as\afok"/>
    <m/>
    <s v="2013"/>
    <x v="0"/>
    <x v="0"/>
    <x v="0"/>
    <x v="0"/>
    <m/>
    <m/>
    <m/>
    <m/>
    <m/>
    <n v="2013"/>
    <n v="10000000"/>
    <n v="8000000"/>
    <n v="7000000"/>
    <n v="5000000"/>
    <n v="5000000"/>
    <n v="2"/>
    <n v="1.5"/>
    <n v="1.3"/>
    <n v="1"/>
    <n v="1"/>
    <s v="CP Panel"/>
    <x v="0"/>
    <x v="0"/>
    <x v="1"/>
    <x v="3"/>
    <m/>
    <m/>
    <m/>
    <n v="1"/>
    <m/>
    <m/>
    <m/>
    <s v="CP"/>
    <m/>
    <m/>
    <x v="2"/>
    <x v="1"/>
    <m/>
    <x v="27"/>
  </r>
  <r>
    <n v="2017"/>
    <x v="68"/>
    <x v="68"/>
    <x v="61"/>
    <x v="4"/>
    <s v="RICKY LAM"/>
    <n v="1960"/>
    <s v="SPR"/>
    <s v="Supplier"/>
    <m/>
    <x v="355"/>
    <s v="SPR_Excelight_20Jun2013.pptx"/>
    <s v=".pptx"/>
    <d v="2014-04-11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27"/>
  </r>
  <r>
    <n v="2009"/>
    <x v="68"/>
    <x v="68"/>
    <x v="61"/>
    <x v="4"/>
    <s v="RICKY LAM"/>
    <n v="1952"/>
    <s v="SPR"/>
    <s v="Supplier"/>
    <m/>
    <x v="47"/>
    <s v="Excelight_SPR_July2012.pptx"/>
    <s v=".pptx"/>
    <d v="2014-04-10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27"/>
  </r>
  <r>
    <n v="32"/>
    <x v="69"/>
    <x v="69"/>
    <x v="62"/>
    <x v="0"/>
    <s v="KA WING KELVIN CHAN"/>
    <n v="27"/>
    <s v="Contract: General Contract"/>
    <s v="Supplier"/>
    <d v="2014-12-31T00:00:00"/>
    <x v="356"/>
    <s v="FAIRFORM-DEVELOPMENT AND SUPPLY AGRERMENT_06022009.PDF"/>
    <s v=".pdf"/>
    <d v="2014-03-04T00:00:00"/>
    <s v="as\afok"/>
    <m/>
    <s v="FHA00016 ind.09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0"/>
    <m/>
    <m/>
    <s v="FP"/>
    <m/>
    <s v="SP"/>
    <m/>
    <x v="9"/>
    <x v="1"/>
    <m/>
    <x v="10"/>
  </r>
  <r>
    <n v="371"/>
    <x v="69"/>
    <x v="69"/>
    <x v="62"/>
    <x v="0"/>
    <s v="KA WING KELVIN CHAN"/>
    <n v="358"/>
    <s v="ISO 14001"/>
    <s v="Supplier"/>
    <d v="2013-03-01T00:00:00"/>
    <x v="357"/>
    <s v="Fairform_ISO 14001_1Mar2013.JPG"/>
    <s v=".jpg"/>
    <d v="2014-03-1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m/>
    <x v="9"/>
    <x v="1"/>
    <m/>
    <x v="10"/>
  </r>
  <r>
    <n v="369"/>
    <x v="69"/>
    <x v="69"/>
    <x v="62"/>
    <x v="0"/>
    <s v="KA WING KELVIN CHAN"/>
    <n v="356"/>
    <s v="ISO 9001"/>
    <s v="Supplier"/>
    <d v="2013-03-16T00:00:00"/>
    <x v="358"/>
    <s v="Fairform_ISO 9001_16Mar2013.JPG"/>
    <s v=".jpg"/>
    <d v="2014-03-1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m/>
    <x v="9"/>
    <x v="1"/>
    <m/>
    <x v="10"/>
  </r>
  <r>
    <n v="370"/>
    <x v="69"/>
    <x v="69"/>
    <x v="62"/>
    <x v="0"/>
    <s v="KA WING KELVIN CHAN"/>
    <n v="357"/>
    <s v="Other business certifications (ex : FSC for Packaging)"/>
    <s v="Supplier"/>
    <d v="2013-02-11T00:00:00"/>
    <x v="359"/>
    <s v="Fairform_ISO 13485_11Feb2013.pdf"/>
    <s v=".pdf"/>
    <d v="2014-03-14T00:00:00"/>
    <s v="as\afok"/>
    <s v="ISO 13485_x000d__x000a_"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m/>
    <x v="9"/>
    <x v="1"/>
    <m/>
    <x v="10"/>
  </r>
  <r>
    <n v="376"/>
    <x v="69"/>
    <x v="69"/>
    <x v="62"/>
    <x v="0"/>
    <s v="KA WING KELVIN CHAN"/>
    <n v="363"/>
    <s v="Responsible Purchasing Charter"/>
    <s v="Supplier"/>
    <m/>
    <x v="360"/>
    <s v="Fairform RPC 2013.pdf"/>
    <s v=".pdf"/>
    <d v="2014-03-1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n v="1"/>
    <s v="FP"/>
    <m/>
    <s v="SP"/>
    <m/>
    <x v="9"/>
    <x v="1"/>
    <m/>
    <x v="10"/>
  </r>
  <r>
    <n v="373"/>
    <x v="69"/>
    <x v="69"/>
    <x v="62"/>
    <x v="0"/>
    <s v="KA WING KELVIN CHAN"/>
    <n v="360"/>
    <s v="SEF"/>
    <s v="Supplier"/>
    <m/>
    <x v="361"/>
    <s v="SEF Fairform 2013.XLSX"/>
    <s v=".xlsx"/>
    <d v="2014-03-14T00:00:00"/>
    <s v="as\afok"/>
    <m/>
    <s v="2013"/>
    <x v="0"/>
    <x v="0"/>
    <x v="0"/>
    <x v="0"/>
    <m/>
    <m/>
    <m/>
    <m/>
    <n v="77"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m/>
    <x v="9"/>
    <x v="1"/>
    <m/>
    <x v="10"/>
  </r>
  <r>
    <n v="372"/>
    <x v="69"/>
    <x v="69"/>
    <x v="62"/>
    <x v="0"/>
    <s v="KA WING KELVIN CHAN"/>
    <n v="359"/>
    <s v="SEF"/>
    <s v="Supplier"/>
    <m/>
    <x v="47"/>
    <s v="SEF - Fairform 2012.xlsx"/>
    <s v=".xlsx"/>
    <d v="2014-03-14T00:00:00"/>
    <s v="as\afok"/>
    <m/>
    <s v="2012"/>
    <x v="0"/>
    <x v="0"/>
    <x v="0"/>
    <x v="0"/>
    <m/>
    <m/>
    <m/>
    <m/>
    <n v="77"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m/>
    <x v="9"/>
    <x v="1"/>
    <m/>
    <x v="10"/>
  </r>
  <r>
    <n v="374"/>
    <x v="69"/>
    <x v="69"/>
    <x v="62"/>
    <x v="0"/>
    <s v="KA WING KELVIN CHAN"/>
    <n v="361"/>
    <s v="SIF"/>
    <s v="Supplier"/>
    <m/>
    <x v="362"/>
    <s v="SIF2012 FAIRFORM.xls"/>
    <s v=".xls"/>
    <d v="2014-03-14T00:00:00"/>
    <s v="as\afok"/>
    <m/>
    <s v="2012"/>
    <x v="0"/>
    <x v="0"/>
    <x v="0"/>
    <x v="0"/>
    <m/>
    <m/>
    <m/>
    <m/>
    <m/>
    <n v="2012"/>
    <n v="20000000"/>
    <n v="19000000"/>
    <n v="20000000"/>
    <n v="15000000"/>
    <n v="20000000"/>
    <n v="26"/>
    <n v="26"/>
    <n v="22"/>
    <n v="15.5"/>
    <n v="4.9000000000000004"/>
    <s v="FP panel"/>
    <x v="1"/>
    <x v="3"/>
    <x v="0"/>
    <x v="0"/>
    <m/>
    <m/>
    <m/>
    <n v="0"/>
    <m/>
    <m/>
    <s v="FP"/>
    <m/>
    <s v="SP"/>
    <m/>
    <x v="9"/>
    <x v="1"/>
    <m/>
    <x v="10"/>
  </r>
  <r>
    <n v="375"/>
    <x v="69"/>
    <x v="69"/>
    <x v="62"/>
    <x v="0"/>
    <s v="KA WING KELVIN CHAN"/>
    <n v="362"/>
    <s v="SPR"/>
    <s v="Supplier"/>
    <m/>
    <x v="362"/>
    <s v="SPR - Fairform_Aug2012.pptx"/>
    <s v=".pptx"/>
    <d v="2014-03-14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m/>
    <x v="9"/>
    <x v="1"/>
    <m/>
    <x v="10"/>
  </r>
  <r>
    <n v="1393"/>
    <x v="70"/>
    <x v="70"/>
    <x v="63"/>
    <x v="5"/>
    <s v="JASMINE YANG"/>
    <n v="1361"/>
    <s v="ISO 14001"/>
    <s v="Supplier"/>
    <d v="2013-03-25T00:00:00"/>
    <x v="363"/>
    <s v="ISO14001_FANRONG_2010.3-2013.3.jpg"/>
    <s v=".jpg"/>
    <d v="2014-04-0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28"/>
  </r>
  <r>
    <n v="1396"/>
    <x v="70"/>
    <x v="70"/>
    <x v="63"/>
    <x v="5"/>
    <s v="JASMINE YANG"/>
    <n v="1364"/>
    <s v="LOC (Letter of Confidentiality)"/>
    <s v="Supplier"/>
    <m/>
    <x v="364"/>
    <s v="LOC_Jiaxing_Fanrong_2011.pdf"/>
    <s v=".pdf"/>
    <d v="2014-04-0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28"/>
  </r>
  <r>
    <n v="1395"/>
    <x v="70"/>
    <x v="70"/>
    <x v="63"/>
    <x v="5"/>
    <s v="JASMINE YANG"/>
    <n v="1363"/>
    <s v="Responsible Purchasing Charter"/>
    <s v="Supplier"/>
    <m/>
    <x v="132"/>
    <s v="FANRONG_Responsible Purchaser Charter_1Sep2012.pdf"/>
    <s v=".pdf"/>
    <d v="2014-04-0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28"/>
  </r>
  <r>
    <n v="1392"/>
    <x v="70"/>
    <x v="70"/>
    <x v="63"/>
    <x v="5"/>
    <s v="JASMINE YANG"/>
    <n v="1360"/>
    <s v="SEF"/>
    <s v="Supplier"/>
    <m/>
    <x v="365"/>
    <s v="Fanrong SupplierEvaluation201104.xlsx"/>
    <s v=".xlsx"/>
    <d v="2014-04-01T00:00:00"/>
    <s v="as\afok"/>
    <m/>
    <s v="2011"/>
    <x v="0"/>
    <x v="0"/>
    <x v="0"/>
    <x v="0"/>
    <m/>
    <m/>
    <m/>
    <m/>
    <n v="88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28"/>
  </r>
  <r>
    <n v="1391"/>
    <x v="70"/>
    <x v="70"/>
    <x v="63"/>
    <x v="5"/>
    <s v="JASMINE YANG"/>
    <n v="1359"/>
    <s v="SIF"/>
    <s v="Supplier"/>
    <m/>
    <x v="366"/>
    <s v="FANRONG_SIF2011.pdf"/>
    <s v=".pdf"/>
    <d v="2014-04-01T00:00:00"/>
    <s v="as\afok"/>
    <m/>
    <s v="2011"/>
    <x v="0"/>
    <x v="0"/>
    <x v="0"/>
    <x v="0"/>
    <m/>
    <m/>
    <m/>
    <m/>
    <m/>
    <n v="2011"/>
    <n v="5000000"/>
    <n v="4400000"/>
    <n v="2895000"/>
    <n v="2600000"/>
    <n v="2443000"/>
    <n v="70"/>
    <n v="68.63"/>
    <n v="60.86"/>
    <n v="55.79"/>
    <n v="53.99"/>
    <m/>
    <x v="0"/>
    <x v="0"/>
    <x v="0"/>
    <x v="0"/>
    <m/>
    <m/>
    <m/>
    <n v="0"/>
    <m/>
    <m/>
    <m/>
    <s v="CP"/>
    <m/>
    <m/>
    <x v="2"/>
    <x v="1"/>
    <m/>
    <x v="28"/>
  </r>
  <r>
    <n v="1394"/>
    <x v="70"/>
    <x v="70"/>
    <x v="63"/>
    <x v="5"/>
    <s v="JASMINE YANG"/>
    <n v="1362"/>
    <s v="SPR"/>
    <s v="Supplier"/>
    <m/>
    <x v="367"/>
    <s v="SPR_Fanrong Dec.2010_Weiwei 121310.pptx"/>
    <s v=".pptx"/>
    <d v="2014-04-01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28"/>
  </r>
  <r>
    <n v="18"/>
    <x v="71"/>
    <x v="71"/>
    <x v="64"/>
    <x v="3"/>
    <s v="WENDY HO"/>
    <n v="14"/>
    <s v="Contract: General Contract"/>
    <s v="Supplier"/>
    <d v="2014-12-31T00:00:00"/>
    <x v="368"/>
    <s v="FATIA_DEVELOPMENT AND SUPPLY AGREEMENT - 03122007.pdf"/>
    <s v=".pdf"/>
    <d v="2014-03-04T00:00:00"/>
    <s v="as\afok"/>
    <m/>
    <s v="FHA00016 ind.07"/>
    <x v="9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0"/>
    <m/>
    <m/>
    <s v="FP"/>
    <m/>
    <s v="SP"/>
    <s v="MOULD"/>
    <x v="4"/>
    <x v="1"/>
    <m/>
    <x v="29"/>
  </r>
  <r>
    <n v="94"/>
    <x v="71"/>
    <x v="71"/>
    <x v="64"/>
    <x v="3"/>
    <s v="WENDY HO"/>
    <n v="86"/>
    <s v="Exclusivity (EA)"/>
    <s v="Supplier"/>
    <m/>
    <x v="230"/>
    <s v="Fatia Exclusivity Summary 2011-03-11.xlsx"/>
    <s v=".xlsx"/>
    <d v="2014-03-07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s v="MOULD"/>
    <x v="4"/>
    <x v="1"/>
    <m/>
    <x v="29"/>
  </r>
  <r>
    <n v="96"/>
    <x v="71"/>
    <x v="71"/>
    <x v="64"/>
    <x v="3"/>
    <s v="WENDY HO"/>
    <n v="88"/>
    <s v="Exclusivity (EA)"/>
    <s v="Supplier"/>
    <m/>
    <x v="369"/>
    <s v="FATIA_ASPEN_EA_11Aug11.pdf"/>
    <s v=".pdf"/>
    <d v="2014-03-07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s v="MOULD"/>
    <x v="4"/>
    <x v="1"/>
    <m/>
    <x v="29"/>
  </r>
  <r>
    <n v="97"/>
    <x v="71"/>
    <x v="71"/>
    <x v="64"/>
    <x v="3"/>
    <s v="WENDY HO"/>
    <n v="89"/>
    <s v="Foodstuffs declaration"/>
    <s v="Supplier"/>
    <m/>
    <x v="146"/>
    <s v="FATIA_Foodstuff declaration_FRD00069_ind.05_2012-05-08.pdf"/>
    <s v=".pdf"/>
    <d v="2014-03-07T00:00:00"/>
    <s v="as\afok"/>
    <m/>
    <s v="FRD00069 ind.05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s v="MOULD"/>
    <x v="4"/>
    <x v="1"/>
    <m/>
    <x v="29"/>
  </r>
  <r>
    <n v="92"/>
    <x v="71"/>
    <x v="71"/>
    <x v="64"/>
    <x v="3"/>
    <s v="WENDY HO"/>
    <n v="84"/>
    <s v="Responsible Purchasing Charter"/>
    <s v="Supplier"/>
    <m/>
    <x v="108"/>
    <s v="Fatia - Responsible Purchasing Charter.pdf"/>
    <s v=".pdf"/>
    <d v="2014-03-07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s v="MOULD"/>
    <x v="4"/>
    <x v="1"/>
    <m/>
    <x v="29"/>
  </r>
  <r>
    <n v="95"/>
    <x v="71"/>
    <x v="71"/>
    <x v="64"/>
    <x v="3"/>
    <s v="WENDY HO"/>
    <n v="87"/>
    <s v="SEF"/>
    <s v="Supplier"/>
    <m/>
    <x v="5"/>
    <s v="FATIA__SEF_Dec_2012.xlsx"/>
    <s v=".xlsx"/>
    <d v="2014-03-07T00:00:00"/>
    <s v="as\afok"/>
    <m/>
    <s v="2012"/>
    <x v="0"/>
    <x v="0"/>
    <x v="0"/>
    <x v="0"/>
    <m/>
    <m/>
    <m/>
    <m/>
    <n v="77"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s v="MOULD"/>
    <x v="4"/>
    <x v="1"/>
    <m/>
    <x v="29"/>
  </r>
  <r>
    <n v="93"/>
    <x v="71"/>
    <x v="71"/>
    <x v="64"/>
    <x v="3"/>
    <s v="WENDY HO"/>
    <n v="85"/>
    <s v="SIF"/>
    <s v="Supplier"/>
    <m/>
    <x v="127"/>
    <s v="Fatia - SIF 2012 (SEP10,2012).xls"/>
    <s v=".xls"/>
    <d v="2014-03-07T00:00:00"/>
    <s v="as\afok"/>
    <m/>
    <s v="2012"/>
    <x v="0"/>
    <x v="0"/>
    <x v="0"/>
    <x v="0"/>
    <m/>
    <m/>
    <m/>
    <m/>
    <m/>
    <n v="2012"/>
    <n v="51000000"/>
    <n v="51000000"/>
    <m/>
    <m/>
    <m/>
    <n v="10"/>
    <n v="15"/>
    <m/>
    <m/>
    <m/>
    <s v="FP panel"/>
    <x v="1"/>
    <x v="3"/>
    <x v="0"/>
    <x v="0"/>
    <m/>
    <m/>
    <m/>
    <n v="0"/>
    <m/>
    <m/>
    <s v="FP"/>
    <m/>
    <s v="SP"/>
    <s v="MOULD"/>
    <x v="4"/>
    <x v="1"/>
    <m/>
    <x v="29"/>
  </r>
  <r>
    <n v="99"/>
    <x v="71"/>
    <x v="71"/>
    <x v="64"/>
    <x v="3"/>
    <s v="WENDY HO"/>
    <n v="91"/>
    <s v="SIF"/>
    <s v="Supplier"/>
    <m/>
    <x v="370"/>
    <s v="FTA SIF 2013.xls"/>
    <s v=".xls"/>
    <d v="2014-03-07T00:00:00"/>
    <s v="as\afok"/>
    <m/>
    <s v="2013"/>
    <x v="0"/>
    <x v="0"/>
    <x v="0"/>
    <x v="0"/>
    <m/>
    <m/>
    <m/>
    <m/>
    <m/>
    <n v="2013"/>
    <m/>
    <n v="51000000"/>
    <m/>
    <m/>
    <m/>
    <m/>
    <n v="12"/>
    <m/>
    <m/>
    <m/>
    <s v="FP panel"/>
    <x v="1"/>
    <x v="3"/>
    <x v="0"/>
    <x v="0"/>
    <m/>
    <m/>
    <m/>
    <n v="0"/>
    <m/>
    <n v="1"/>
    <s v="FP"/>
    <m/>
    <s v="SP"/>
    <s v="MOULD"/>
    <x v="4"/>
    <x v="1"/>
    <m/>
    <x v="29"/>
  </r>
  <r>
    <n v="98"/>
    <x v="71"/>
    <x v="71"/>
    <x v="64"/>
    <x v="3"/>
    <s v="WENDY HO"/>
    <n v="90"/>
    <s v="SPR"/>
    <s v="Supplier"/>
    <m/>
    <x v="371"/>
    <s v="Fatia-SPR-Nov 2012.PPT"/>
    <s v=".ppt"/>
    <d v="2014-03-07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s v="MOULD"/>
    <x v="4"/>
    <x v="1"/>
    <m/>
    <x v="29"/>
  </r>
  <r>
    <n v="2381"/>
    <x v="72"/>
    <x v="72"/>
    <x v="65"/>
    <x v="5"/>
    <s v="RUBY YUAN"/>
    <n v="2322"/>
    <s v="Responsible Purchasing Charter"/>
    <s v="Supplier"/>
    <m/>
    <x v="320"/>
    <s v="KFC_RESPONSIBLE PURCHASING CHARTER_14Aug2012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0"/>
  </r>
  <r>
    <n v="2382"/>
    <x v="72"/>
    <x v="72"/>
    <x v="65"/>
    <x v="5"/>
    <s v="RUBY YUAN"/>
    <n v="2323"/>
    <s v="SIF"/>
    <s v="Supplier"/>
    <m/>
    <x v="22"/>
    <s v="KFC_SIF_Dec2011.xlsx"/>
    <s v=".xlsx"/>
    <d v="2014-04-17T00:00:00"/>
    <s v="as\afok"/>
    <m/>
    <s v="2011"/>
    <x v="0"/>
    <x v="0"/>
    <x v="0"/>
    <x v="0"/>
    <m/>
    <m/>
    <m/>
    <m/>
    <m/>
    <n v="2011"/>
    <n v="25454500"/>
    <n v="24090000"/>
    <n v="20007000"/>
    <n v="12300000"/>
    <n v="7455200"/>
    <m/>
    <m/>
    <m/>
    <m/>
    <m/>
    <m/>
    <x v="0"/>
    <x v="0"/>
    <x v="0"/>
    <x v="0"/>
    <m/>
    <m/>
    <m/>
    <n v="0"/>
    <m/>
    <n v="1"/>
    <m/>
    <s v="CP"/>
    <m/>
    <m/>
    <x v="2"/>
    <x v="1"/>
    <m/>
    <x v="0"/>
  </r>
  <r>
    <n v="2027"/>
    <x v="73"/>
    <x v="73"/>
    <x v="66"/>
    <x v="4"/>
    <s v="RICKY LAM"/>
    <n v="1970"/>
    <s v="Contract: General Contract"/>
    <s v="Supplier"/>
    <m/>
    <x v="372"/>
    <s v="Focus_Purchase_Agreement_2008.pdf"/>
    <s v=".pdf"/>
    <d v="2014-04-11T00:00:00"/>
    <s v="as\afok"/>
    <m/>
    <s v="V5"/>
    <x v="9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n v="1"/>
    <m/>
    <m/>
    <n v="0"/>
    <m/>
    <n v="1"/>
    <m/>
    <s v="CP"/>
    <s v="SP"/>
    <m/>
    <x v="12"/>
    <x v="1"/>
    <m/>
    <x v="30"/>
  </r>
  <r>
    <n v="2019"/>
    <x v="73"/>
    <x v="73"/>
    <x v="66"/>
    <x v="4"/>
    <s v="RICKY LAM"/>
    <n v="1962"/>
    <s v="Contract: Supply Chain Appendix"/>
    <s v="Supplier"/>
    <m/>
    <x v="373"/>
    <s v="Focus_Supply_Chain_Appendix_V10_05Aug2013.pdf"/>
    <s v=".pdf"/>
    <d v="2014-04-11T00:00:00"/>
    <s v="as\afok"/>
    <m/>
    <s v="V10"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8"/>
    <m/>
    <m/>
    <n v="1"/>
    <n v="0"/>
    <m/>
    <m/>
    <m/>
    <s v="CP"/>
    <s v="SP"/>
    <m/>
    <x v="12"/>
    <x v="1"/>
    <m/>
    <x v="30"/>
  </r>
  <r>
    <n v="2021"/>
    <x v="73"/>
    <x v="73"/>
    <x v="66"/>
    <x v="4"/>
    <s v="RICKY LAM"/>
    <n v="1964"/>
    <s v="Environmental Declaration"/>
    <s v="Supplier"/>
    <m/>
    <x v="326"/>
    <s v="Focus_Env_declaration_26May2010.xls"/>
    <s v=".xls"/>
    <d v="2014-04-11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0"/>
    <m/>
    <m/>
    <m/>
    <s v="CP"/>
    <s v="SP"/>
    <m/>
    <x v="12"/>
    <x v="1"/>
    <m/>
    <x v="30"/>
  </r>
  <r>
    <n v="2026"/>
    <x v="73"/>
    <x v="73"/>
    <x v="66"/>
    <x v="4"/>
    <s v="RICKY LAM"/>
    <n v="1969"/>
    <s v="LOC (Letter of Confidentiality)"/>
    <s v="Supplier"/>
    <m/>
    <x v="374"/>
    <s v="LOC_Focus_2011.pdf"/>
    <s v=".pdf"/>
    <d v="2014-04-11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0"/>
    <m/>
    <m/>
    <m/>
    <s v="CP"/>
    <s v="SP"/>
    <m/>
    <x v="12"/>
    <x v="1"/>
    <m/>
    <x v="30"/>
  </r>
  <r>
    <n v="2022"/>
    <x v="73"/>
    <x v="73"/>
    <x v="66"/>
    <x v="4"/>
    <s v="RICKY LAM"/>
    <n v="1965"/>
    <s v="Responsible Purchasing Charter"/>
    <s v="Supplier"/>
    <m/>
    <x v="8"/>
    <s v="Focus_Responsible_Purchasing_Charter_8Aug12.pdf"/>
    <s v=".pdf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0"/>
    <m/>
    <m/>
    <m/>
    <s v="CP"/>
    <s v="SP"/>
    <m/>
    <x v="12"/>
    <x v="1"/>
    <m/>
    <x v="30"/>
  </r>
  <r>
    <n v="2025"/>
    <x v="73"/>
    <x v="73"/>
    <x v="66"/>
    <x v="4"/>
    <s v="RICKY LAM"/>
    <n v="1968"/>
    <s v="SEF"/>
    <s v="Supplier"/>
    <m/>
    <x v="246"/>
    <s v="Focus_SEF_Dec2011_R2.xlsx"/>
    <s v=".xlsx"/>
    <d v="2014-04-11T00:00:00"/>
    <s v="as\afok"/>
    <m/>
    <s v="2011"/>
    <x v="0"/>
    <x v="0"/>
    <x v="0"/>
    <x v="0"/>
    <m/>
    <m/>
    <m/>
    <m/>
    <n v="86"/>
    <m/>
    <m/>
    <m/>
    <m/>
    <m/>
    <m/>
    <m/>
    <m/>
    <m/>
    <m/>
    <m/>
    <s v="CP Panel"/>
    <x v="0"/>
    <x v="0"/>
    <x v="1"/>
    <x v="8"/>
    <m/>
    <m/>
    <m/>
    <n v="0"/>
    <m/>
    <m/>
    <m/>
    <s v="CP"/>
    <s v="SP"/>
    <m/>
    <x v="12"/>
    <x v="1"/>
    <m/>
    <x v="30"/>
  </r>
  <r>
    <n v="2024"/>
    <x v="73"/>
    <x v="73"/>
    <x v="66"/>
    <x v="4"/>
    <s v="RICKY LAM"/>
    <n v="1967"/>
    <s v="SIF"/>
    <s v="Supplier"/>
    <m/>
    <x v="31"/>
    <s v="Focus_SIF2012_18Apr12.pdf"/>
    <s v=".pdf"/>
    <d v="2014-04-11T00:00:00"/>
    <s v="as\afok"/>
    <m/>
    <s v="2012"/>
    <x v="0"/>
    <x v="0"/>
    <x v="0"/>
    <x v="0"/>
    <m/>
    <m/>
    <m/>
    <m/>
    <m/>
    <n v="2012"/>
    <m/>
    <n v="8230000"/>
    <n v="9290000"/>
    <n v="7200000"/>
    <n v="10600000"/>
    <m/>
    <n v="10.95"/>
    <n v="8.91"/>
    <n v="8.48"/>
    <n v="4.1900000000000004"/>
    <s v="CP Panel"/>
    <x v="0"/>
    <x v="0"/>
    <x v="1"/>
    <x v="8"/>
    <m/>
    <m/>
    <m/>
    <n v="0"/>
    <m/>
    <m/>
    <m/>
    <s v="CP"/>
    <s v="SP"/>
    <m/>
    <x v="12"/>
    <x v="1"/>
    <m/>
    <x v="30"/>
  </r>
  <r>
    <n v="2020"/>
    <x v="73"/>
    <x v="73"/>
    <x v="66"/>
    <x v="4"/>
    <s v="RICKY LAM"/>
    <n v="1963"/>
    <s v="SIF"/>
    <s v="Supplier"/>
    <m/>
    <x v="375"/>
    <s v="Focus_SIF2013.pdf"/>
    <s v=".pdf"/>
    <d v="2014-04-11T00:00:00"/>
    <s v="as\afok"/>
    <m/>
    <s v="2013"/>
    <x v="0"/>
    <x v="0"/>
    <x v="0"/>
    <x v="0"/>
    <m/>
    <m/>
    <m/>
    <m/>
    <m/>
    <n v="2013"/>
    <m/>
    <n v="8349000"/>
    <n v="8230000"/>
    <n v="8290000"/>
    <n v="7200000"/>
    <m/>
    <n v="13.65"/>
    <n v="10.95"/>
    <n v="8.91"/>
    <n v="8.48"/>
    <s v="CP Panel"/>
    <x v="0"/>
    <x v="0"/>
    <x v="1"/>
    <x v="8"/>
    <m/>
    <m/>
    <m/>
    <n v="0"/>
    <m/>
    <m/>
    <m/>
    <s v="CP"/>
    <s v="SP"/>
    <m/>
    <x v="12"/>
    <x v="1"/>
    <m/>
    <x v="30"/>
  </r>
  <r>
    <n v="2023"/>
    <x v="73"/>
    <x v="73"/>
    <x v="66"/>
    <x v="4"/>
    <s v="RICKY LAM"/>
    <n v="1966"/>
    <s v="SPR"/>
    <s v="Supplier"/>
    <m/>
    <x v="1"/>
    <s v="SPR_Focus_NOV2010R1.pptx"/>
    <s v=".pptx"/>
    <d v="2014-04-11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0"/>
    <m/>
    <m/>
    <m/>
    <s v="CP"/>
    <s v="SP"/>
    <m/>
    <x v="12"/>
    <x v="1"/>
    <m/>
    <x v="30"/>
  </r>
  <r>
    <n v="2587"/>
    <x v="74"/>
    <x v="74"/>
    <x v="67"/>
    <x v="0"/>
    <s v="KITTY LAI"/>
    <n v="2436"/>
    <s v="Contract: General Contract"/>
    <s v="Supplier"/>
    <m/>
    <x v="376"/>
    <s v="Forturn Art_General Agreement_8Jun12.pdf"/>
    <s v=".pdf"/>
    <d v="2014-04-23T00:00:00"/>
    <s v="as\afok"/>
    <m/>
    <m/>
    <x v="7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m/>
    <s v="MOULD"/>
    <x v="13"/>
    <x v="1"/>
    <m/>
    <x v="0"/>
  </r>
  <r>
    <n v="2590"/>
    <x v="74"/>
    <x v="74"/>
    <x v="67"/>
    <x v="0"/>
    <s v="KITTY LAI"/>
    <n v="2439"/>
    <s v="Contract: Quality Appendix"/>
    <s v="Supplier"/>
    <m/>
    <x v="376"/>
    <s v="Forturn Art_General Agreement_8Jun12.pdf"/>
    <s v=".pdf"/>
    <d v="2014-04-23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m/>
    <s v="MOULD"/>
    <x v="13"/>
    <x v="1"/>
    <m/>
    <x v="0"/>
  </r>
  <r>
    <n v="2589"/>
    <x v="74"/>
    <x v="74"/>
    <x v="67"/>
    <x v="0"/>
    <s v="KITTY LAI"/>
    <n v="2438"/>
    <s v="Contract: Supply Chain Appendix"/>
    <s v="Supplier"/>
    <m/>
    <x v="376"/>
    <s v="Forturn Art_General Agreement_8Jun12.pdf"/>
    <s v=".pdf"/>
    <d v="2014-04-23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m/>
    <s v="MOULD"/>
    <x v="13"/>
    <x v="1"/>
    <m/>
    <x v="0"/>
  </r>
  <r>
    <n v="2591"/>
    <x v="74"/>
    <x v="74"/>
    <x v="67"/>
    <x v="0"/>
    <s v="KITTY LAI"/>
    <n v="2440"/>
    <s v="Declaration letter of group organization"/>
    <s v="Supplier"/>
    <m/>
    <x v="377"/>
    <s v="Forturn Art_General Agreement_8Jun12.pdf"/>
    <s v=".pdf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s v="MOULD"/>
    <x v="13"/>
    <x v="1"/>
    <m/>
    <x v="0"/>
  </r>
  <r>
    <n v="2588"/>
    <x v="74"/>
    <x v="74"/>
    <x v="67"/>
    <x v="0"/>
    <s v="KITTY LAI"/>
    <n v="2437"/>
    <s v="Environmental Declaration"/>
    <s v="Supplier"/>
    <m/>
    <x v="378"/>
    <s v="Forturn Art_General Agreement_8Jun12.pdf"/>
    <s v=".pdf"/>
    <d v="2014-04-23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s v="MOULD"/>
    <x v="13"/>
    <x v="1"/>
    <m/>
    <x v="0"/>
  </r>
  <r>
    <n v="2584"/>
    <x v="74"/>
    <x v="74"/>
    <x v="67"/>
    <x v="0"/>
    <s v="KITTY LAI"/>
    <n v="2433"/>
    <s v="Responsible Purchasing Charter"/>
    <s v="Supplier"/>
    <m/>
    <x v="69"/>
    <s v="Fortune Art_Responsible Purchasing Charter_9Aug12.pdf"/>
    <s v=".pdf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s v="MOULD"/>
    <x v="13"/>
    <x v="1"/>
    <m/>
    <x v="0"/>
  </r>
  <r>
    <n v="2592"/>
    <x v="74"/>
    <x v="74"/>
    <x v="67"/>
    <x v="0"/>
    <s v="KITTY LAI"/>
    <n v="2441"/>
    <s v="SEF"/>
    <s v="Supplier"/>
    <m/>
    <x v="248"/>
    <s v="SEF - Fonture Art 2013.xlsx"/>
    <s v=".xlsx"/>
    <d v="2014-04-23T00:00:00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n v="1"/>
    <m/>
    <s v="FP"/>
    <m/>
    <m/>
    <s v="MOULD"/>
    <x v="13"/>
    <x v="1"/>
    <m/>
    <x v="0"/>
  </r>
  <r>
    <n v="2586"/>
    <x v="74"/>
    <x v="74"/>
    <x v="67"/>
    <x v="0"/>
    <s v="KITTY LAI"/>
    <n v="2435"/>
    <s v="SIF"/>
    <s v="Supplier"/>
    <m/>
    <x v="38"/>
    <s v="Fortune Art_SIF 2013.xls"/>
    <s v=".xls"/>
    <d v="2014-04-23T00:00:00"/>
    <s v="as\afok"/>
    <m/>
    <s v="2013"/>
    <x v="0"/>
    <x v="0"/>
    <x v="0"/>
    <x v="0"/>
    <m/>
    <m/>
    <m/>
    <m/>
    <m/>
    <n v="2013"/>
    <n v="11000000"/>
    <n v="10154200"/>
    <n v="9309016"/>
    <n v="10593944"/>
    <n v="4835356"/>
    <n v="3"/>
    <n v="1"/>
    <n v="1"/>
    <n v="0.9"/>
    <m/>
    <m/>
    <x v="0"/>
    <x v="0"/>
    <x v="0"/>
    <x v="0"/>
    <m/>
    <m/>
    <m/>
    <n v="1"/>
    <m/>
    <m/>
    <s v="FP"/>
    <m/>
    <m/>
    <s v="MOULD"/>
    <x v="13"/>
    <x v="1"/>
    <m/>
    <x v="0"/>
  </r>
  <r>
    <n v="2585"/>
    <x v="74"/>
    <x v="74"/>
    <x v="67"/>
    <x v="0"/>
    <s v="KITTY LAI"/>
    <n v="2434"/>
    <s v="SIF"/>
    <s v="Supplier"/>
    <m/>
    <x v="288"/>
    <s v="Fortune Art - SIF2012.pdf"/>
    <s v=".pdf"/>
    <d v="2014-04-23T00:00:00"/>
    <s v="as\afok"/>
    <m/>
    <s v="2012"/>
    <x v="0"/>
    <x v="0"/>
    <x v="0"/>
    <x v="0"/>
    <m/>
    <m/>
    <m/>
    <m/>
    <m/>
    <n v="2012"/>
    <n v="10000000"/>
    <n v="10000000"/>
    <n v="10000000"/>
    <n v="10000000"/>
    <n v="5000000"/>
    <m/>
    <m/>
    <m/>
    <m/>
    <m/>
    <m/>
    <x v="0"/>
    <x v="0"/>
    <x v="0"/>
    <x v="0"/>
    <m/>
    <m/>
    <m/>
    <n v="1"/>
    <m/>
    <m/>
    <s v="FP"/>
    <m/>
    <m/>
    <s v="MOULD"/>
    <x v="13"/>
    <x v="1"/>
    <m/>
    <x v="0"/>
  </r>
  <r>
    <n v="1011"/>
    <x v="75"/>
    <x v="75"/>
    <x v="68"/>
    <x v="1"/>
    <s v="EVA LAI"/>
    <n v="988"/>
    <s v="Responsible Purchasing Charter"/>
    <s v="Supplier"/>
    <m/>
    <x v="270"/>
    <s v="Friendship_Responsible_Purchasing_Charter_28Aug12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x v="2"/>
    <x v="1"/>
    <m/>
    <x v="11"/>
  </r>
  <r>
    <n v="1012"/>
    <x v="75"/>
    <x v="75"/>
    <x v="68"/>
    <x v="1"/>
    <s v="EVA LAI"/>
    <n v="989"/>
    <s v="SEF"/>
    <s v="Supplier"/>
    <m/>
    <x v="89"/>
    <s v="Friendship_SEF_2012.xlsx"/>
    <s v=".xlsx"/>
    <d v="2014-03-24T00:00:00"/>
    <s v="as\afok"/>
    <m/>
    <s v="2012"/>
    <x v="0"/>
    <x v="0"/>
    <x v="0"/>
    <x v="0"/>
    <m/>
    <m/>
    <m/>
    <m/>
    <n v="74"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x v="2"/>
    <x v="1"/>
    <m/>
    <x v="11"/>
  </r>
  <r>
    <n v="1010"/>
    <x v="75"/>
    <x v="75"/>
    <x v="68"/>
    <x v="1"/>
    <s v="EVA LAI"/>
    <n v="987"/>
    <s v="SEF"/>
    <s v="Supplier"/>
    <m/>
    <x v="168"/>
    <s v="Friendship_SEF_201305-1.xlsx"/>
    <s v=".xlsx"/>
    <d v="2014-03-24T00:00:00"/>
    <s v="as\afok"/>
    <m/>
    <s v="2013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x v="2"/>
    <x v="1"/>
    <m/>
    <x v="11"/>
  </r>
  <r>
    <n v="1013"/>
    <x v="75"/>
    <x v="75"/>
    <x v="68"/>
    <x v="1"/>
    <s v="EVA LAI"/>
    <n v="990"/>
    <s v="SIF"/>
    <s v="Supplier"/>
    <m/>
    <x v="379"/>
    <s v="Friendship_SIF_2011.xlsx"/>
    <s v=".xlsx"/>
    <d v="2014-03-24T00:00:00"/>
    <s v="as\afok"/>
    <m/>
    <s v="2011"/>
    <x v="0"/>
    <x v="0"/>
    <x v="0"/>
    <x v="0"/>
    <m/>
    <m/>
    <m/>
    <m/>
    <m/>
    <n v="2011"/>
    <n v="68000000"/>
    <n v="66000000"/>
    <n v="68000000"/>
    <n v="62000000"/>
    <n v="61000000"/>
    <m/>
    <m/>
    <m/>
    <m/>
    <m/>
    <s v="CP Panel"/>
    <x v="0"/>
    <x v="0"/>
    <x v="1"/>
    <x v="6"/>
    <m/>
    <m/>
    <m/>
    <n v="0"/>
    <m/>
    <n v="1"/>
    <m/>
    <s v="CP"/>
    <m/>
    <m/>
    <x v="2"/>
    <x v="1"/>
    <m/>
    <x v="11"/>
  </r>
  <r>
    <n v="2405"/>
    <x v="76"/>
    <x v="76"/>
    <x v="69"/>
    <x v="5"/>
    <s v="SHOT XU"/>
    <n v="2346"/>
    <s v="Contract: General Contract"/>
    <s v="Supplier"/>
    <m/>
    <x v="380"/>
    <s v="Futian FHA000016 ind. 09 20090907.pdf"/>
    <s v=".pdf"/>
    <d v="2014-04-17T00:00:00"/>
    <s v="as\afok"/>
    <m/>
    <s v="FHA 00 016 ind.09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n v="1"/>
    <s v="FP"/>
    <m/>
    <m/>
    <m/>
    <x v="0"/>
    <x v="1"/>
    <m/>
    <x v="0"/>
  </r>
  <r>
    <n v="2401"/>
    <x v="76"/>
    <x v="76"/>
    <x v="69"/>
    <x v="5"/>
    <s v="SHOT XU"/>
    <n v="2342"/>
    <s v="Environmental Declaration"/>
    <s v="Supplier"/>
    <m/>
    <x v="381"/>
    <s v="Fu-Tian_Env_Declaration_25mar2010.xlsx"/>
    <s v=".xlsx"/>
    <d v="2014-04-17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m/>
    <x v="0"/>
    <x v="1"/>
    <m/>
    <x v="0"/>
  </r>
  <r>
    <n v="2403"/>
    <x v="76"/>
    <x v="76"/>
    <x v="69"/>
    <x v="5"/>
    <s v="SHOT XU"/>
    <n v="2344"/>
    <s v="Responsible Purchasing Charter"/>
    <s v="Supplier"/>
    <m/>
    <x v="228"/>
    <s v="Futian_Responsible Purchaser Charter_13Aug2012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m/>
    <x v="0"/>
    <x v="1"/>
    <m/>
    <x v="0"/>
  </r>
  <r>
    <n v="2404"/>
    <x v="76"/>
    <x v="76"/>
    <x v="69"/>
    <x v="5"/>
    <s v="SHOT XU"/>
    <n v="2345"/>
    <s v="SEF"/>
    <s v="Supplier"/>
    <m/>
    <x v="123"/>
    <s v="SEF_Futian_2012May.xlsx"/>
    <s v=".xlsx"/>
    <d v="2014-04-17T00:00:00"/>
    <s v="as\afok"/>
    <m/>
    <s v="2012"/>
    <x v="0"/>
    <x v="0"/>
    <x v="0"/>
    <x v="0"/>
    <m/>
    <m/>
    <m/>
    <m/>
    <n v="18"/>
    <m/>
    <m/>
    <m/>
    <m/>
    <m/>
    <m/>
    <m/>
    <m/>
    <m/>
    <m/>
    <m/>
    <m/>
    <x v="0"/>
    <x v="0"/>
    <x v="0"/>
    <x v="0"/>
    <m/>
    <m/>
    <m/>
    <n v="0"/>
    <m/>
    <m/>
    <s v="FP"/>
    <m/>
    <m/>
    <m/>
    <x v="0"/>
    <x v="1"/>
    <m/>
    <x v="0"/>
  </r>
  <r>
    <n v="2399"/>
    <x v="76"/>
    <x v="76"/>
    <x v="69"/>
    <x v="5"/>
    <s v="SHOT XU"/>
    <n v="2340"/>
    <s v="SIF"/>
    <s v="Supplier"/>
    <m/>
    <x v="382"/>
    <s v="Futian_SIF_Jan 2014.xlsx"/>
    <s v=".xlsx"/>
    <d v="2014-04-17T00:00:00"/>
    <s v="as\afok"/>
    <m/>
    <s v="2014"/>
    <x v="0"/>
    <x v="0"/>
    <x v="0"/>
    <x v="0"/>
    <m/>
    <m/>
    <m/>
    <m/>
    <m/>
    <n v="2014"/>
    <n v="9500000"/>
    <n v="8062298"/>
    <n v="7568000"/>
    <n v="9056000"/>
    <n v="7980000"/>
    <n v="6"/>
    <n v="1.4"/>
    <n v="4.8"/>
    <n v="0.5"/>
    <n v="3"/>
    <m/>
    <x v="0"/>
    <x v="0"/>
    <x v="0"/>
    <x v="0"/>
    <m/>
    <m/>
    <m/>
    <n v="0"/>
    <m/>
    <m/>
    <s v="FP"/>
    <m/>
    <m/>
    <m/>
    <x v="0"/>
    <x v="1"/>
    <m/>
    <x v="0"/>
  </r>
  <r>
    <n v="2402"/>
    <x v="76"/>
    <x v="76"/>
    <x v="69"/>
    <x v="5"/>
    <s v="SHOT XU"/>
    <n v="2343"/>
    <s v="SIF"/>
    <s v="Supplier"/>
    <m/>
    <x v="228"/>
    <s v="FUTIAN_SIF_13Aug2012.xlsx"/>
    <s v=".xlsx"/>
    <d v="2014-04-17T00:00:00"/>
    <s v="as\afok"/>
    <m/>
    <s v="2012"/>
    <x v="0"/>
    <x v="0"/>
    <x v="0"/>
    <x v="0"/>
    <m/>
    <m/>
    <m/>
    <m/>
    <m/>
    <n v="2012"/>
    <m/>
    <n v="9056000"/>
    <n v="7980000"/>
    <n v="6857500"/>
    <n v="7786550"/>
    <n v="1.2"/>
    <n v="0.5"/>
    <n v="3"/>
    <n v="5"/>
    <n v="19"/>
    <m/>
    <x v="0"/>
    <x v="0"/>
    <x v="0"/>
    <x v="0"/>
    <m/>
    <m/>
    <m/>
    <n v="0"/>
    <m/>
    <m/>
    <s v="FP"/>
    <m/>
    <m/>
    <m/>
    <x v="0"/>
    <x v="1"/>
    <m/>
    <x v="0"/>
  </r>
  <r>
    <n v="2400"/>
    <x v="76"/>
    <x v="76"/>
    <x v="69"/>
    <x v="5"/>
    <s v="SHOT XU"/>
    <n v="2341"/>
    <s v="SPR"/>
    <s v="Supplier"/>
    <m/>
    <x v="383"/>
    <s v="SPR 2012 FUTIAN.pptx"/>
    <s v=".pptx"/>
    <d v="2014-04-17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m/>
    <x v="0"/>
    <x v="1"/>
    <m/>
    <x v="0"/>
  </r>
  <r>
    <n v="1420"/>
    <x v="77"/>
    <x v="77"/>
    <x v="70"/>
    <x v="5"/>
    <s v="JASMINE YANG"/>
    <n v="1386"/>
    <s v="Contract: General Contract"/>
    <s v="Supplier"/>
    <m/>
    <x v="384"/>
    <s v="Shanghai_Fujitech_Purchase_Agreement_2009.pdf"/>
    <s v=".pdf"/>
    <d v="2014-04-01T00:00:00"/>
    <s v="as\afok"/>
    <m/>
    <s v="V5"/>
    <x v="7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31"/>
  </r>
  <r>
    <n v="1415"/>
    <x v="77"/>
    <x v="77"/>
    <x v="70"/>
    <x v="5"/>
    <s v="JASMINE YANG"/>
    <n v="1366"/>
    <s v="Contract: General Contract"/>
    <s v="Supplier"/>
    <m/>
    <x v="385"/>
    <s v="Fujitech_Supply Agreement_14Jun2012(renewed Lead time).PDF"/>
    <s v=".pdf"/>
    <d v="2014-04-01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31"/>
  </r>
  <r>
    <n v="1421"/>
    <x v="77"/>
    <x v="77"/>
    <x v="70"/>
    <x v="5"/>
    <s v="JASMINE YANG"/>
    <n v="1387"/>
    <s v="Contract: Quality Appendix"/>
    <s v="Supplier"/>
    <m/>
    <x v="384"/>
    <s v="Shanghai_Fujitech_Purchase_Agreement_2009.pdf"/>
    <s v=".pdf"/>
    <d v="2014-04-01T00:00:00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n v="1"/>
    <m/>
    <m/>
    <s v="CP"/>
    <m/>
    <m/>
    <x v="2"/>
    <x v="1"/>
    <m/>
    <x v="31"/>
  </r>
  <r>
    <n v="1400"/>
    <x v="77"/>
    <x v="77"/>
    <x v="70"/>
    <x v="5"/>
    <s v="JASMINE YANG"/>
    <n v="1368"/>
    <s v="Contract: Quality Appendix"/>
    <s v="Supplier"/>
    <m/>
    <x v="196"/>
    <s v="Fujitech_Supply Agreement_14Jun2012(renewed Lead time).PDF"/>
    <s v=".pdf"/>
    <d v="2014-04-01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31"/>
  </r>
  <r>
    <n v="1401"/>
    <x v="77"/>
    <x v="77"/>
    <x v="70"/>
    <x v="5"/>
    <s v="JASMINE YANG"/>
    <n v="1369"/>
    <s v="Contract: Supply Chain Appendix"/>
    <s v="Supplier"/>
    <m/>
    <x v="386"/>
    <s v="Fujitech_Supply Agreement_14Jun2012(renewed Lead time).PDF"/>
    <s v=".pdf"/>
    <d v="2014-04-01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31"/>
  </r>
  <r>
    <n v="1402"/>
    <x v="77"/>
    <x v="77"/>
    <x v="70"/>
    <x v="5"/>
    <s v="JASMINE YANG"/>
    <n v="1370"/>
    <s v="Declaration letter of group organization"/>
    <s v="Supplier"/>
    <m/>
    <x v="387"/>
    <s v="Fujitech_Supply Agreement_14Jun2012(renewed Lead time).PDF"/>
    <s v=".pdf"/>
    <d v="2014-04-0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399"/>
    <x v="77"/>
    <x v="77"/>
    <x v="70"/>
    <x v="5"/>
    <s v="JASMINE YANG"/>
    <n v="1367"/>
    <s v="Environmental Declaration"/>
    <s v="Supplier"/>
    <m/>
    <x v="385"/>
    <s v="Fujitech_Supply Agreement_14Jun2012(renewed Lead time).PDF"/>
    <s v=".pdf"/>
    <d v="2014-04-01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04"/>
    <x v="77"/>
    <x v="77"/>
    <x v="70"/>
    <x v="5"/>
    <s v="JASMINE YANG"/>
    <n v="1372"/>
    <s v="ISO 14001"/>
    <s v="Supplier"/>
    <d v="2011-10-12T00:00:00"/>
    <x v="388"/>
    <s v="Fujitech_ISo14001_23Mar2010.pdf"/>
    <s v=".pdf"/>
    <d v="2014-04-0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06"/>
    <x v="77"/>
    <x v="77"/>
    <x v="70"/>
    <x v="5"/>
    <s v="JASMINE YANG"/>
    <n v="1374"/>
    <s v="LOC (Letter of Confidentiality)"/>
    <s v="Product / Project"/>
    <m/>
    <x v="389"/>
    <s v="LOC_Shanghai_Fujitech_(Nara_project).pdf"/>
    <s v=".pdf"/>
    <d v="2014-04-01T00:00:00"/>
    <s v="as\afok"/>
    <m/>
    <m/>
    <x v="0"/>
    <x v="0"/>
    <x v="0"/>
    <x v="0"/>
    <s v="Nara project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05"/>
    <x v="77"/>
    <x v="77"/>
    <x v="70"/>
    <x v="5"/>
    <s v="JASMINE YANG"/>
    <n v="1373"/>
    <s v="LOC (Letter of Confidentiality)"/>
    <s v="Supplier"/>
    <m/>
    <x v="390"/>
    <s v="LOC_Fujitech.pdf"/>
    <s v=".pdf"/>
    <d v="2014-04-0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19"/>
    <x v="77"/>
    <x v="77"/>
    <x v="70"/>
    <x v="5"/>
    <s v="JASMINE YANG"/>
    <n v="1385"/>
    <s v="LOC (Letter of Confidentiality)"/>
    <s v="Product / Project"/>
    <m/>
    <x v="391"/>
    <s v="LOC_Fujitech_Fresh2_Project.pdf"/>
    <s v=".pdf"/>
    <d v="2014-04-01T00:00:00"/>
    <s v="as\afok"/>
    <m/>
    <m/>
    <x v="0"/>
    <x v="0"/>
    <x v="0"/>
    <x v="0"/>
    <s v="Fresh2 Project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18"/>
    <x v="77"/>
    <x v="77"/>
    <x v="70"/>
    <x v="5"/>
    <s v="JASMINE YANG"/>
    <n v="1384"/>
    <s v="LOC (Letter of Confidentiality)"/>
    <s v="Product / Project"/>
    <m/>
    <x v="391"/>
    <s v="LOC_Fujitech_Rome Tokyo_project.pdf"/>
    <s v=".pdf"/>
    <d v="2014-04-01T00:00:00"/>
    <s v="as\afok"/>
    <m/>
    <m/>
    <x v="0"/>
    <x v="0"/>
    <x v="0"/>
    <x v="0"/>
    <s v="Rome &amp; Tokyo project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07"/>
    <x v="77"/>
    <x v="77"/>
    <x v="70"/>
    <x v="5"/>
    <s v="JASMINE YANG"/>
    <n v="1375"/>
    <s v="Responsible Purchasing Charter"/>
    <s v="Supplier"/>
    <m/>
    <x v="242"/>
    <s v="Fujitech_Responsible Purchaser Charter_6Aug2012.pdf"/>
    <s v=".pdf"/>
    <d v="2014-04-0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08"/>
    <x v="77"/>
    <x v="77"/>
    <x v="70"/>
    <x v="5"/>
    <s v="JASMINE YANG"/>
    <n v="1376"/>
    <s v="SEF"/>
    <s v="Supplier"/>
    <m/>
    <x v="112"/>
    <s v="Fujitech_SEF_201207.xlsx"/>
    <s v=".xlsx"/>
    <d v="2014-04-01T00:00:00"/>
    <s v="as\afok"/>
    <m/>
    <s v="2012"/>
    <x v="0"/>
    <x v="0"/>
    <x v="0"/>
    <x v="0"/>
    <m/>
    <m/>
    <m/>
    <m/>
    <n v="87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17"/>
    <x v="77"/>
    <x v="77"/>
    <x v="70"/>
    <x v="5"/>
    <s v="JASMINE YANG"/>
    <n v="1383"/>
    <s v="SIF"/>
    <s v="Supplier"/>
    <m/>
    <x v="48"/>
    <s v="Fujitech_SIF_27Apr2012.xls"/>
    <s v=".xls"/>
    <d v="2014-04-01T00:00:00"/>
    <s v="as\afok"/>
    <m/>
    <s v="2012"/>
    <x v="0"/>
    <x v="0"/>
    <x v="0"/>
    <x v="0"/>
    <m/>
    <m/>
    <m/>
    <m/>
    <m/>
    <n v="2012"/>
    <n v="27000000"/>
    <n v="25000000"/>
    <n v="22000000"/>
    <n v="16000000"/>
    <n v="12700000"/>
    <n v="28.5"/>
    <n v="27"/>
    <n v="27"/>
    <n v="28"/>
    <n v="26"/>
    <s v="CP Panel"/>
    <x v="0"/>
    <x v="0"/>
    <x v="1"/>
    <x v="3"/>
    <m/>
    <m/>
    <m/>
    <n v="1"/>
    <m/>
    <m/>
    <m/>
    <s v="CP"/>
    <m/>
    <m/>
    <x v="2"/>
    <x v="1"/>
    <m/>
    <x v="31"/>
  </r>
  <r>
    <n v="1397"/>
    <x v="77"/>
    <x v="77"/>
    <x v="70"/>
    <x v="5"/>
    <s v="JASMINE YANG"/>
    <n v="1365"/>
    <s v="SIF"/>
    <s v="Supplier"/>
    <m/>
    <x v="392"/>
    <s v="Fujitech_SIF_Jan2014.xlsx"/>
    <s v=".xlsx"/>
    <d v="2014-04-01T00:00:00"/>
    <s v="as\afok"/>
    <m/>
    <s v="2014"/>
    <x v="0"/>
    <x v="0"/>
    <x v="0"/>
    <x v="0"/>
    <m/>
    <m/>
    <m/>
    <m/>
    <m/>
    <n v="2014"/>
    <n v="55000000"/>
    <n v="25800000"/>
    <n v="25000000"/>
    <n v="22000000"/>
    <n v="16000000"/>
    <n v="25"/>
    <n v="30"/>
    <n v="29"/>
    <n v="27"/>
    <n v="28"/>
    <s v="CP Panel"/>
    <x v="0"/>
    <x v="0"/>
    <x v="1"/>
    <x v="3"/>
    <m/>
    <m/>
    <m/>
    <n v="1"/>
    <m/>
    <m/>
    <m/>
    <s v="CP"/>
    <m/>
    <m/>
    <x v="2"/>
    <x v="1"/>
    <m/>
    <x v="31"/>
  </r>
  <r>
    <n v="1413"/>
    <x v="77"/>
    <x v="77"/>
    <x v="70"/>
    <x v="5"/>
    <s v="JASMINE YANG"/>
    <n v="1381"/>
    <s v="Social Audit"/>
    <s v="Supplier"/>
    <m/>
    <x v="393"/>
    <s v="SEB-HKSHA1786973-Shanghai Fujitech Plastic Co., Ltd-28 June. 2012-Photo Report.pdf"/>
    <s v=".pdf"/>
    <d v="2014-04-01T00:00:00"/>
    <s v="as\afok"/>
    <s v="Photo Report"/>
    <m/>
    <x v="0"/>
    <x v="0"/>
    <x v="0"/>
    <x v="0"/>
    <m/>
    <s v="SGS"/>
    <s v="Initial"/>
    <s v="Critical"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14"/>
    <x v="77"/>
    <x v="77"/>
    <x v="70"/>
    <x v="5"/>
    <s v="JASMINE YANG"/>
    <n v="1382"/>
    <s v="Social Audit"/>
    <s v="Supplier"/>
    <m/>
    <x v="393"/>
    <s v="SEB-HKSHA1786973-Shanghai Fujitech Plastic Co., Ltd-28 June. 2012-Report.pdf"/>
    <s v=".pdf"/>
    <d v="2014-04-01T00:00:00"/>
    <s v="as\afok"/>
    <m/>
    <m/>
    <x v="0"/>
    <x v="0"/>
    <x v="0"/>
    <x v="0"/>
    <m/>
    <s v="SGS"/>
    <s v="Initial"/>
    <s v="Critical"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09"/>
    <x v="77"/>
    <x v="77"/>
    <x v="70"/>
    <x v="5"/>
    <s v="JASMINE YANG"/>
    <n v="1377"/>
    <s v="Social Audit CAP"/>
    <s v="Supplier"/>
    <m/>
    <x v="393"/>
    <s v="Fujitech-HKSHA1786973-CAP.xlsx"/>
    <s v=".xlsx"/>
    <d v="2014-04-0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16"/>
    <x v="77"/>
    <x v="77"/>
    <x v="70"/>
    <x v="5"/>
    <s v="JASMINE YANG"/>
    <n v="1379"/>
    <s v="Social Audit CAP"/>
    <s v="Supplier"/>
    <m/>
    <x v="393"/>
    <s v="SEB-HKSHA1786973-Shanghai Fujitech Plastic Co., Ltd-28 June. 2012-CAP.pdf"/>
    <s v=".pdf"/>
    <d v="2014-04-0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12"/>
    <x v="77"/>
    <x v="77"/>
    <x v="70"/>
    <x v="5"/>
    <s v="JASMINE YANG"/>
    <n v="1380"/>
    <s v="Social Audit CAP"/>
    <s v="Supplier"/>
    <m/>
    <x v="393"/>
    <s v="SEB-HKSHA1786973-Shanghai Fujitech Plastic Co., Ltd-28 June. 2012-Onsite CAP.pdf"/>
    <s v=".pdf"/>
    <d v="2014-04-01T00:00:00"/>
    <s v="as\afok"/>
    <s v="Onsite CAP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10"/>
    <x v="77"/>
    <x v="77"/>
    <x v="70"/>
    <x v="5"/>
    <s v="JASMINE YANG"/>
    <n v="1378"/>
    <s v="SPR"/>
    <s v="Supplier"/>
    <m/>
    <x v="47"/>
    <s v="SPR 2012 Fujitech.pptx"/>
    <s v=".pptx"/>
    <d v="2014-04-01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03"/>
    <x v="77"/>
    <x v="77"/>
    <x v="70"/>
    <x v="5"/>
    <s v="JASMINE YANG"/>
    <n v="1371"/>
    <s v="SSR"/>
    <s v="Supplier"/>
    <m/>
    <x v="9"/>
    <s v="SSR MATRIX_FUJITECH 2013.pptx"/>
    <s v=".pptx"/>
    <d v="2014-04-01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598"/>
    <x v="78"/>
    <x v="78"/>
    <x v="71"/>
    <x v="3"/>
    <s v="JIMMY HO"/>
    <n v="1559"/>
    <s v="Contract: General Contract"/>
    <s v="Supplier"/>
    <m/>
    <x v="394"/>
    <s v="Fuxin supply agreement ind11 (new company name)-16May2013.pdf"/>
    <s v=".pdf"/>
    <d v="2014-04-04T00:00:00"/>
    <s v="as\afok"/>
    <m/>
    <s v="FHA 00 016 ind.11"/>
    <x v="1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m/>
    <m/>
    <s v="FP"/>
    <m/>
    <s v="SP"/>
    <s v="MOULD"/>
    <x v="4"/>
    <x v="1"/>
    <m/>
    <x v="17"/>
  </r>
  <r>
    <n v="1593"/>
    <x v="78"/>
    <x v="78"/>
    <x v="71"/>
    <x v="3"/>
    <s v="JIMMY HO"/>
    <n v="1554"/>
    <s v="Contract: General Contract"/>
    <s v="Supplier"/>
    <m/>
    <x v="236"/>
    <s v="Fuxin_General Agreement (ind.11) 2012-10-31.pdf"/>
    <s v=".pdf"/>
    <d v="2014-04-04T00:00:00"/>
    <s v="as\afok"/>
    <m/>
    <s v="FHA 00 016 ind.11"/>
    <x v="11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m/>
    <m/>
    <s v="FP"/>
    <m/>
    <s v="SP"/>
    <s v="MOULD"/>
    <x v="4"/>
    <x v="1"/>
    <m/>
    <x v="17"/>
  </r>
  <r>
    <n v="1596"/>
    <x v="78"/>
    <x v="78"/>
    <x v="71"/>
    <x v="3"/>
    <s v="JIMMY HO"/>
    <n v="1557"/>
    <s v="Contract: Quality Appendix"/>
    <s v="Supplier"/>
    <m/>
    <x v="236"/>
    <s v="Fuxin_General Agreement (ind.11) 2012-10-31.pdf"/>
    <s v=".pdf"/>
    <d v="2014-04-04T00:00:00"/>
    <s v="as\afok"/>
    <m/>
    <m/>
    <x v="0"/>
    <x v="0"/>
    <x v="0"/>
    <x v="7"/>
    <m/>
    <m/>
    <m/>
    <m/>
    <m/>
    <m/>
    <m/>
    <m/>
    <m/>
    <m/>
    <m/>
    <m/>
    <m/>
    <m/>
    <m/>
    <m/>
    <s v="FP panel"/>
    <x v="1"/>
    <x v="1"/>
    <x v="0"/>
    <x v="0"/>
    <m/>
    <n v="1"/>
    <m/>
    <n v="1"/>
    <m/>
    <m/>
    <s v="FP"/>
    <m/>
    <s v="SP"/>
    <s v="MOULD"/>
    <x v="4"/>
    <x v="1"/>
    <m/>
    <x v="17"/>
  </r>
  <r>
    <n v="1601"/>
    <x v="78"/>
    <x v="78"/>
    <x v="71"/>
    <x v="3"/>
    <s v="JIMMY HO"/>
    <n v="1562"/>
    <s v="Contract: Quality Appendix"/>
    <s v="Supplier"/>
    <m/>
    <x v="394"/>
    <s v="Fuxin supply agreement ind11 (new company name)-16May2013.pdf"/>
    <s v=".pdf"/>
    <d v="2014-04-04T00:00:00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1"/>
    <x v="0"/>
    <x v="0"/>
    <m/>
    <n v="1"/>
    <m/>
    <n v="1"/>
    <m/>
    <m/>
    <s v="FP"/>
    <m/>
    <s v="SP"/>
    <s v="MOULD"/>
    <x v="4"/>
    <x v="1"/>
    <m/>
    <x v="17"/>
  </r>
  <r>
    <n v="1595"/>
    <x v="78"/>
    <x v="78"/>
    <x v="71"/>
    <x v="3"/>
    <s v="JIMMY HO"/>
    <n v="1556"/>
    <s v="Contract: Supply Chain Appendix"/>
    <s v="Supplier"/>
    <m/>
    <x v="236"/>
    <s v="Fuxin_General Agreement (ind.11) 2012-10-31.pdf"/>
    <s v=".pdf"/>
    <d v="2014-04-04T00:00:00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1"/>
    <x v="0"/>
    <x v="0"/>
    <m/>
    <m/>
    <n v="1"/>
    <n v="1"/>
    <m/>
    <m/>
    <s v="FP"/>
    <m/>
    <s v="SP"/>
    <s v="MOULD"/>
    <x v="4"/>
    <x v="1"/>
    <m/>
    <x v="17"/>
  </r>
  <r>
    <n v="1600"/>
    <x v="78"/>
    <x v="78"/>
    <x v="71"/>
    <x v="3"/>
    <s v="JIMMY HO"/>
    <n v="1561"/>
    <s v="Contract: Supply Chain Appendix"/>
    <s v="Supplier"/>
    <m/>
    <x v="395"/>
    <s v="Fuxin supply agreement ind11 (new company name)-16May2013.pdf"/>
    <s v=".pdf"/>
    <d v="2014-04-04T00:00:00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1"/>
    <x v="0"/>
    <x v="0"/>
    <m/>
    <m/>
    <n v="1"/>
    <n v="1"/>
    <m/>
    <m/>
    <s v="FP"/>
    <m/>
    <s v="SP"/>
    <s v="MOULD"/>
    <x v="4"/>
    <x v="1"/>
    <m/>
    <x v="17"/>
  </r>
  <r>
    <n v="1602"/>
    <x v="78"/>
    <x v="78"/>
    <x v="71"/>
    <x v="3"/>
    <s v="JIMMY HO"/>
    <n v="1563"/>
    <s v="Declaration letter of group organization"/>
    <s v="Supplier"/>
    <m/>
    <x v="396"/>
    <s v="Fuxin supply agreement ind11 (new company name)-16May2013.pdf"/>
    <s v=".pdf"/>
    <d v="2014-04-0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x v="4"/>
    <x v="1"/>
    <m/>
    <x v="17"/>
  </r>
  <r>
    <n v="1597"/>
    <x v="78"/>
    <x v="78"/>
    <x v="71"/>
    <x v="3"/>
    <s v="JIMMY HO"/>
    <n v="1558"/>
    <s v="Declaration letter of group organization"/>
    <s v="Supplier"/>
    <m/>
    <x v="242"/>
    <s v="Fuxin_General Agreement (ind.11) 2012-10-31.pdf"/>
    <s v=".pdf"/>
    <d v="2014-04-0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x v="4"/>
    <x v="1"/>
    <m/>
    <x v="17"/>
  </r>
  <r>
    <n v="1599"/>
    <x v="78"/>
    <x v="78"/>
    <x v="71"/>
    <x v="3"/>
    <s v="JIMMY HO"/>
    <n v="1560"/>
    <s v="Environmental Declaration"/>
    <s v="Supplier"/>
    <m/>
    <x v="395"/>
    <s v="Fuxin supply agreement ind11 (new company name)-16May2013.pdf"/>
    <s v=".pdf"/>
    <d v="2014-04-04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x v="4"/>
    <x v="1"/>
    <m/>
    <x v="17"/>
  </r>
  <r>
    <n v="1591"/>
    <x v="78"/>
    <x v="78"/>
    <x v="71"/>
    <x v="3"/>
    <s v="JIMMY HO"/>
    <n v="1552"/>
    <s v="Environmental Declaration"/>
    <s v="Supplier"/>
    <m/>
    <x v="397"/>
    <s v="Fuxin_Env_Declaration_09Jun2010.xls"/>
    <s v=".xls"/>
    <d v="2014-04-04T00:00:00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x v="4"/>
    <x v="1"/>
    <m/>
    <x v="17"/>
  </r>
  <r>
    <n v="1594"/>
    <x v="78"/>
    <x v="78"/>
    <x v="71"/>
    <x v="3"/>
    <s v="JIMMY HO"/>
    <n v="1555"/>
    <s v="Environmental Declaration"/>
    <s v="Supplier"/>
    <m/>
    <x v="236"/>
    <s v="Fuxin_General Agreement (ind.11) 2012-10-31.pdf"/>
    <s v=".pdf"/>
    <d v="2014-04-04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x v="4"/>
    <x v="1"/>
    <m/>
    <x v="17"/>
  </r>
  <r>
    <n v="1603"/>
    <x v="78"/>
    <x v="78"/>
    <x v="71"/>
    <x v="3"/>
    <s v="JIMMY HO"/>
    <n v="1564"/>
    <s v="ISO 9001"/>
    <s v="Supplier"/>
    <d v="2012-06-08T00:00:00"/>
    <x v="398"/>
    <s v="Fuxin ISO9001 8Jun2012.pdf"/>
    <s v=".pdf"/>
    <d v="2014-04-0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x v="4"/>
    <x v="1"/>
    <m/>
    <x v="17"/>
  </r>
  <r>
    <n v="1604"/>
    <x v="78"/>
    <x v="78"/>
    <x v="71"/>
    <x v="3"/>
    <s v="JIMMY HO"/>
    <n v="1565"/>
    <s v="Responsible Purchasing Charter"/>
    <s v="Supplier"/>
    <m/>
    <x v="242"/>
    <s v="FUXIN - Responsible Purchasing Charter.pdf"/>
    <s v=".pdf"/>
    <d v="2014-04-0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n v="1"/>
    <m/>
    <s v="FP"/>
    <m/>
    <s v="SP"/>
    <s v="MOULD"/>
    <x v="4"/>
    <x v="1"/>
    <m/>
    <x v="17"/>
  </r>
  <r>
    <n v="1589"/>
    <x v="78"/>
    <x v="78"/>
    <x v="71"/>
    <x v="3"/>
    <s v="JIMMY HO"/>
    <n v="1550"/>
    <s v="SEF"/>
    <s v="Supplier"/>
    <m/>
    <x v="222"/>
    <s v="FUXIN__SEF_Dec 2012.xlsx"/>
    <s v=".xlsx"/>
    <d v="2014-04-04T00:00:00"/>
    <s v="as\afok"/>
    <m/>
    <s v="2012"/>
    <x v="0"/>
    <x v="0"/>
    <x v="0"/>
    <x v="0"/>
    <m/>
    <m/>
    <m/>
    <m/>
    <n v="84"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x v="4"/>
    <x v="1"/>
    <m/>
    <x v="17"/>
  </r>
  <r>
    <n v="1588"/>
    <x v="78"/>
    <x v="78"/>
    <x v="71"/>
    <x v="3"/>
    <s v="JIMMY HO"/>
    <n v="1549"/>
    <s v="SEF"/>
    <s v="Supplier"/>
    <m/>
    <x v="55"/>
    <s v="SEF_Fuxin_ 201206.xlsx"/>
    <s v=".xlsx"/>
    <d v="2014-04-04T00:00:00"/>
    <s v="as\afok"/>
    <m/>
    <s v="2012"/>
    <x v="0"/>
    <x v="0"/>
    <x v="0"/>
    <x v="0"/>
    <m/>
    <m/>
    <m/>
    <m/>
    <n v="85"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x v="4"/>
    <x v="1"/>
    <m/>
    <x v="17"/>
  </r>
  <r>
    <n v="1592"/>
    <x v="78"/>
    <x v="78"/>
    <x v="71"/>
    <x v="3"/>
    <s v="JIMMY HO"/>
    <n v="1553"/>
    <s v="SIF"/>
    <s v="Supplier"/>
    <m/>
    <x v="399"/>
    <s v="Fuxin -SIF 2013.xls"/>
    <s v=".xls"/>
    <d v="2014-04-04T00:00:00"/>
    <s v="as\afok"/>
    <m/>
    <s v="2013"/>
    <x v="0"/>
    <x v="0"/>
    <x v="0"/>
    <x v="0"/>
    <m/>
    <m/>
    <m/>
    <m/>
    <m/>
    <n v="2013"/>
    <n v="75000000"/>
    <n v="65000000"/>
    <n v="60000000"/>
    <n v="45000000"/>
    <n v="40000000"/>
    <n v="10"/>
    <n v="8.3000000000000007"/>
    <n v="10.3"/>
    <n v="6.5"/>
    <n v="3"/>
    <s v="FP panel"/>
    <x v="1"/>
    <x v="1"/>
    <x v="0"/>
    <x v="0"/>
    <m/>
    <m/>
    <m/>
    <n v="1"/>
    <m/>
    <m/>
    <s v="FP"/>
    <m/>
    <s v="SP"/>
    <s v="MOULD"/>
    <x v="4"/>
    <x v="1"/>
    <m/>
    <x v="17"/>
  </r>
  <r>
    <n v="1590"/>
    <x v="78"/>
    <x v="78"/>
    <x v="71"/>
    <x v="3"/>
    <s v="JIMMY HO"/>
    <n v="1551"/>
    <s v="SIF"/>
    <s v="Supplier"/>
    <m/>
    <x v="400"/>
    <s v="FUXIN_SIF 2012_8Mar12.xls"/>
    <s v=".xls"/>
    <d v="2014-04-04T00:00:00"/>
    <s v="as\afok"/>
    <m/>
    <s v="2012"/>
    <x v="0"/>
    <x v="0"/>
    <x v="0"/>
    <x v="0"/>
    <m/>
    <m/>
    <m/>
    <m/>
    <m/>
    <n v="2012"/>
    <m/>
    <m/>
    <n v="60000000"/>
    <n v="45000000"/>
    <n v="40000000"/>
    <m/>
    <m/>
    <n v="10.3"/>
    <n v="6.5"/>
    <n v="3"/>
    <s v="FP panel"/>
    <x v="1"/>
    <x v="1"/>
    <x v="0"/>
    <x v="0"/>
    <m/>
    <m/>
    <m/>
    <n v="1"/>
    <m/>
    <m/>
    <s v="FP"/>
    <m/>
    <s v="SP"/>
    <s v="MOULD"/>
    <x v="4"/>
    <x v="1"/>
    <m/>
    <x v="17"/>
  </r>
  <r>
    <n v="1587"/>
    <x v="78"/>
    <x v="78"/>
    <x v="71"/>
    <x v="3"/>
    <s v="JIMMY HO"/>
    <n v="1548"/>
    <s v="SPR"/>
    <s v="Supplier"/>
    <m/>
    <x v="401"/>
    <s v="Fuxin-SPR-Nov 2012.PPT"/>
    <s v=".ppt"/>
    <d v="2014-04-04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x v="4"/>
    <x v="1"/>
    <m/>
    <x v="17"/>
  </r>
  <r>
    <n v="1243"/>
    <x v="79"/>
    <x v="79"/>
    <x v="72"/>
    <x v="2"/>
    <s v="GODFREY LI"/>
    <n v="1217"/>
    <s v="Contract: General Contract"/>
    <s v="Supplier"/>
    <m/>
    <x v="48"/>
    <s v="GUANGDONG GALANZ_GENERAL AGREEMENT ind.11 2012-04-23.pdf"/>
    <s v=".pdf"/>
    <d v="2014-03-28T00:00:00"/>
    <s v="as\afok"/>
    <m/>
    <s v="FHA 00 016 ind.11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x v="4"/>
    <x v="1"/>
    <m/>
    <x v="25"/>
  </r>
  <r>
    <n v="1239"/>
    <x v="80"/>
    <x v="80"/>
    <x v="72"/>
    <x v="2"/>
    <s v="GODFREY LI"/>
    <n v="1213"/>
    <s v="Contract: General Contract"/>
    <s v="Supplier"/>
    <m/>
    <x v="299"/>
    <s v="Guangdong Galanz (MWO)_General Agreement_2012-04-30.pdf"/>
    <s v=".pdf"/>
    <d v="2014-03-28T00:00:00"/>
    <s v="as\afok"/>
    <m/>
    <s v="FHA 00 016 ind.11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25"/>
  </r>
  <r>
    <n v="1238"/>
    <x v="80"/>
    <x v="80"/>
    <x v="72"/>
    <x v="2"/>
    <s v="GODFREY LI"/>
    <n v="1212"/>
    <s v="Contract: General Contract"/>
    <s v="Supplier"/>
    <m/>
    <x v="402"/>
    <s v="GALANZ-DEVELOPMENT AND SUPPLY AGREEMENT-21052009 .pdf"/>
    <s v=".pdf"/>
    <d v="2014-03-28T00:00:00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25"/>
  </r>
  <r>
    <n v="1237"/>
    <x v="79"/>
    <x v="79"/>
    <x v="72"/>
    <x v="2"/>
    <s v="GODFREY LI"/>
    <n v="1212"/>
    <s v="Contract: General Contract"/>
    <s v="Supplier"/>
    <m/>
    <x v="402"/>
    <s v="GALANZ-DEVELOPMENT AND SUPPLY AGREEMENT-21052009 .pdf"/>
    <s v=".pdf"/>
    <d v="2014-03-28T00:00:00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x v="4"/>
    <x v="1"/>
    <m/>
    <x v="25"/>
  </r>
  <r>
    <n v="1247"/>
    <x v="80"/>
    <x v="80"/>
    <x v="72"/>
    <x v="2"/>
    <s v="GODFREY LI"/>
    <n v="1220"/>
    <s v="Contract: General Contract"/>
    <s v="Supplier"/>
    <m/>
    <x v="403"/>
    <s v="GALANZ_General Agreement_2012-02-06.pdf"/>
    <s v=".pdf"/>
    <d v="2014-03-28T00:00:00"/>
    <s v="as\afok"/>
    <m/>
    <s v="FHA 00 016 ind.10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25"/>
  </r>
  <r>
    <n v="1246"/>
    <x v="79"/>
    <x v="79"/>
    <x v="72"/>
    <x v="2"/>
    <s v="GODFREY LI"/>
    <n v="1220"/>
    <s v="Contract: General Contract"/>
    <s v="Supplier"/>
    <m/>
    <x v="403"/>
    <s v="GALANZ_General Agreement_2012-02-06.pdf"/>
    <s v=".pdf"/>
    <d v="2014-03-28T00:00:00"/>
    <s v="as\afok"/>
    <m/>
    <s v="FHA 00 016 ind.10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x v="4"/>
    <x v="1"/>
    <m/>
    <x v="25"/>
  </r>
  <r>
    <n v="1251"/>
    <x v="80"/>
    <x v="80"/>
    <x v="72"/>
    <x v="2"/>
    <s v="GODFREY LI"/>
    <n v="1222"/>
    <s v="Contract: Quality Appendix"/>
    <s v="Supplier"/>
    <m/>
    <x v="33"/>
    <s v="GALANZ_General Agreement_2012-02-06.pdf"/>
    <s v=".pdf"/>
    <d v="2014-03-28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x v="9"/>
    <x v="1"/>
    <m/>
    <x v="25"/>
  </r>
  <r>
    <n v="1241"/>
    <x v="80"/>
    <x v="80"/>
    <x v="72"/>
    <x v="2"/>
    <s v="GODFREY LI"/>
    <n v="1215"/>
    <s v="Contract: Quality Appendix"/>
    <s v="Supplier"/>
    <m/>
    <x v="299"/>
    <s v="Guangdong Galanz (MWO)_General Agreement_2012-04-30.pdf"/>
    <s v=".pdf"/>
    <d v="2014-03-28T00:00:00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x v="9"/>
    <x v="1"/>
    <m/>
    <x v="25"/>
  </r>
  <r>
    <n v="1245"/>
    <x v="79"/>
    <x v="79"/>
    <x v="72"/>
    <x v="2"/>
    <s v="GODFREY LI"/>
    <n v="1219"/>
    <s v="Contract: Quality Appendix"/>
    <s v="Supplier"/>
    <m/>
    <x v="48"/>
    <s v="GUANGDONG GALANZ_GENERAL AGREEMENT ind.11 2012-04-23.pdf"/>
    <s v=".pdf"/>
    <d v="2014-03-28T00:00:00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x v="4"/>
    <x v="1"/>
    <m/>
    <x v="25"/>
  </r>
  <r>
    <n v="1250"/>
    <x v="79"/>
    <x v="79"/>
    <x v="72"/>
    <x v="2"/>
    <s v="GODFREY LI"/>
    <n v="1222"/>
    <s v="Contract: Quality Appendix"/>
    <s v="Supplier"/>
    <m/>
    <x v="33"/>
    <s v="GALANZ_General Agreement_2012-02-06.pdf"/>
    <s v=".pdf"/>
    <d v="2014-03-28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x v="4"/>
    <x v="1"/>
    <m/>
    <x v="25"/>
  </r>
  <r>
    <n v="1244"/>
    <x v="79"/>
    <x v="79"/>
    <x v="72"/>
    <x v="2"/>
    <s v="GODFREY LI"/>
    <n v="1218"/>
    <s v="Contract: Supply Chain Appendix"/>
    <s v="Supplier"/>
    <m/>
    <x v="48"/>
    <s v="GUANGDONG GALANZ_GENERAL AGREEMENT ind.11 2012-04-23.pdf"/>
    <s v=".pdf"/>
    <d v="2014-03-28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x v="4"/>
    <x v="1"/>
    <m/>
    <x v="25"/>
  </r>
  <r>
    <n v="1240"/>
    <x v="80"/>
    <x v="80"/>
    <x v="72"/>
    <x v="2"/>
    <s v="GODFREY LI"/>
    <n v="1214"/>
    <s v="Contract: Supply Chain Appendix"/>
    <s v="Supplier"/>
    <m/>
    <x v="299"/>
    <s v="Guangdong Galanz (MWO)_General Agreement_2012-04-30.pdf"/>
    <s v=".pdf"/>
    <d v="2014-03-28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x v="9"/>
    <x v="1"/>
    <m/>
    <x v="25"/>
  </r>
  <r>
    <n v="1249"/>
    <x v="80"/>
    <x v="80"/>
    <x v="72"/>
    <x v="2"/>
    <s v="GODFREY LI"/>
    <n v="1221"/>
    <s v="Contract: Supply Chain Appendix"/>
    <s v="Supplier"/>
    <m/>
    <x v="403"/>
    <s v="GALANZ_General Agreement_2012-02-06.pdf"/>
    <s v=".pdf"/>
    <d v="2014-03-28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x v="9"/>
    <x v="1"/>
    <m/>
    <x v="25"/>
  </r>
  <r>
    <n v="1248"/>
    <x v="79"/>
    <x v="79"/>
    <x v="72"/>
    <x v="2"/>
    <s v="GODFREY LI"/>
    <n v="1221"/>
    <s v="Contract: Supply Chain Appendix"/>
    <s v="Supplier"/>
    <m/>
    <x v="403"/>
    <s v="GALANZ_General Agreement_2012-02-06.pdf"/>
    <s v=".pdf"/>
    <d v="2014-03-28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x v="4"/>
    <x v="1"/>
    <m/>
    <x v="25"/>
  </r>
  <r>
    <n v="1252"/>
    <x v="79"/>
    <x v="79"/>
    <x v="72"/>
    <x v="2"/>
    <s v="GODFREY LI"/>
    <n v="1223"/>
    <s v="Declaration letter of group organization"/>
    <s v="Supplier"/>
    <m/>
    <x v="149"/>
    <s v="GALANZ_General Agreement_2012-02-06.pdf"/>
    <s v=".pdf"/>
    <d v="2014-03-2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5"/>
  </r>
  <r>
    <n v="1253"/>
    <x v="80"/>
    <x v="80"/>
    <x v="72"/>
    <x v="2"/>
    <s v="GODFREY LI"/>
    <n v="1223"/>
    <s v="Declaration letter of group organization"/>
    <s v="Supplier"/>
    <m/>
    <x v="149"/>
    <s v="GALANZ_General Agreement_2012-02-06.pdf"/>
    <s v=".pdf"/>
    <d v="2014-03-2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5"/>
  </r>
  <r>
    <n v="1242"/>
    <x v="80"/>
    <x v="80"/>
    <x v="72"/>
    <x v="2"/>
    <s v="GODFREY LI"/>
    <n v="1216"/>
    <s v="Declaration letter of group organization"/>
    <s v="Supplier"/>
    <m/>
    <x v="48"/>
    <s v="Guangdong Galanz (MWO)_General Agreement_2012-04-30.pdf"/>
    <s v=".pdf"/>
    <d v="2014-03-2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5"/>
  </r>
  <r>
    <n v="1236"/>
    <x v="79"/>
    <x v="79"/>
    <x v="72"/>
    <x v="2"/>
    <s v="GODFREY LI"/>
    <n v="1211"/>
    <s v="Exclusivity (EA)"/>
    <s v="Product / Project"/>
    <m/>
    <x v="241"/>
    <s v="GALANZ_EA_CABO 9L Oven_2012-11-22.pdf"/>
    <s v=".pdf"/>
    <d v="2014-03-28T00:00:00"/>
    <s v="as\afok"/>
    <m/>
    <m/>
    <x v="0"/>
    <x v="0"/>
    <x v="0"/>
    <x v="0"/>
    <s v="CABO 9L Ove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5"/>
  </r>
  <r>
    <n v="1254"/>
    <x v="79"/>
    <x v="79"/>
    <x v="72"/>
    <x v="2"/>
    <s v="GODFREY LI"/>
    <n v="1224"/>
    <s v="IP (Intellectual Property)"/>
    <s v="Product / Project"/>
    <m/>
    <x v="241"/>
    <s v="GALANZ_IP_CABO 9L Oven_2012-11-22.pdf"/>
    <s v=".pdf"/>
    <d v="2014-03-28T00:00:00"/>
    <s v="as\afok"/>
    <m/>
    <m/>
    <x v="0"/>
    <x v="0"/>
    <x v="0"/>
    <x v="0"/>
    <s v="CABO 9L Ove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5"/>
  </r>
  <r>
    <n v="1232"/>
    <x v="80"/>
    <x v="80"/>
    <x v="72"/>
    <x v="2"/>
    <s v="GODFREY LI"/>
    <n v="1207"/>
    <s v="ISO 14001"/>
    <s v="Supplier"/>
    <d v="2010-06-04T00:00:00"/>
    <x v="404"/>
    <s v="Galanz_ISO14001_26Mar2010.pdf"/>
    <s v=".pdf"/>
    <d v="2014-03-2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5"/>
  </r>
  <r>
    <n v="1231"/>
    <x v="79"/>
    <x v="79"/>
    <x v="72"/>
    <x v="2"/>
    <s v="GODFREY LI"/>
    <n v="1207"/>
    <s v="ISO 14001"/>
    <s v="Supplier"/>
    <d v="2010-06-04T00:00:00"/>
    <x v="404"/>
    <s v="Galanz_ISO14001_26Mar2010.pdf"/>
    <s v=".pdf"/>
    <d v="2014-03-2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5"/>
  </r>
  <r>
    <n v="1256"/>
    <x v="79"/>
    <x v="79"/>
    <x v="72"/>
    <x v="2"/>
    <s v="GODFREY LI"/>
    <n v="1226"/>
    <s v="Responsible Purchasing Charter"/>
    <s v="Supplier"/>
    <m/>
    <x v="195"/>
    <s v="Galanz - Responsible Purchasing Charter.pdf"/>
    <s v=".pdf"/>
    <d v="2014-03-2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5"/>
  </r>
  <r>
    <n v="1255"/>
    <x v="80"/>
    <x v="80"/>
    <x v="72"/>
    <x v="2"/>
    <s v="GODFREY LI"/>
    <n v="1225"/>
    <s v="Responsible Purchasing Charter"/>
    <s v="Supplier"/>
    <m/>
    <x v="405"/>
    <s v="Galanz (MWO) - Responsible Purchasing Charter (CHI).pdf"/>
    <s v=".pdf"/>
    <d v="2014-03-28T00:00:00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5"/>
  </r>
  <r>
    <n v="1257"/>
    <x v="80"/>
    <x v="80"/>
    <x v="72"/>
    <x v="2"/>
    <s v="GODFREY LI"/>
    <n v="1227"/>
    <s v="Responsible Purchasing Charter"/>
    <s v="Supplier"/>
    <m/>
    <x v="405"/>
    <s v="Galanz (MWO) - Responsible Purchasing Charter (ENG).pdf"/>
    <s v=".pdf"/>
    <d v="2014-03-28T00:00:00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5"/>
  </r>
  <r>
    <n v="1233"/>
    <x v="79"/>
    <x v="79"/>
    <x v="72"/>
    <x v="2"/>
    <s v="GODFREY LI"/>
    <n v="1208"/>
    <s v="SEF"/>
    <s v="Supplier"/>
    <m/>
    <x v="55"/>
    <s v="GALANZ SEF 2012.xlsx"/>
    <s v=".xlsx"/>
    <d v="2014-03-28T00:00:00"/>
    <s v="as\afok"/>
    <m/>
    <s v="2012"/>
    <x v="0"/>
    <x v="0"/>
    <x v="0"/>
    <x v="0"/>
    <m/>
    <m/>
    <m/>
    <m/>
    <n v="71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5"/>
  </r>
  <r>
    <n v="1234"/>
    <x v="80"/>
    <x v="80"/>
    <x v="72"/>
    <x v="2"/>
    <s v="GODFREY LI"/>
    <n v="1209"/>
    <s v="SIF"/>
    <s v="Supplier"/>
    <m/>
    <x v="406"/>
    <s v="Galanz (MWO) - SIF 2012.xlsx"/>
    <s v=".xlsx"/>
    <d v="2014-03-28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5"/>
  </r>
  <r>
    <n v="1258"/>
    <x v="80"/>
    <x v="80"/>
    <x v="72"/>
    <x v="2"/>
    <s v="GODFREY LI"/>
    <n v="1228"/>
    <s v="SIF"/>
    <s v="Supplier"/>
    <m/>
    <x v="407"/>
    <s v="Galanz (MWO) - SIF 2013.xls"/>
    <s v=".xls"/>
    <d v="2014-03-28T00:00:00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5"/>
  </r>
  <r>
    <n v="1235"/>
    <x v="79"/>
    <x v="79"/>
    <x v="72"/>
    <x v="2"/>
    <s v="GODFREY LI"/>
    <n v="1210"/>
    <s v="SIF"/>
    <s v="Supplier"/>
    <m/>
    <x v="408"/>
    <s v="Galanz (Oven) - SIF 2012.xlsx"/>
    <s v=".xlsx"/>
    <d v="2014-03-28T00:00:00"/>
    <s v="as\afok"/>
    <m/>
    <s v="2012"/>
    <x v="0"/>
    <x v="0"/>
    <x v="0"/>
    <x v="0"/>
    <m/>
    <m/>
    <m/>
    <m/>
    <m/>
    <n v="2012"/>
    <m/>
    <m/>
    <n v="300000000"/>
    <n v="240000000"/>
    <n v="160000000"/>
    <m/>
    <m/>
    <n v="9.2999999999999999E-2"/>
    <n v="0.09"/>
    <n v="4.8000000000000001E-2"/>
    <m/>
    <x v="0"/>
    <x v="0"/>
    <x v="0"/>
    <x v="0"/>
    <m/>
    <m/>
    <m/>
    <n v="1"/>
    <m/>
    <m/>
    <s v="FP"/>
    <m/>
    <s v="SP"/>
    <s v="MOULD"/>
    <x v="4"/>
    <x v="1"/>
    <m/>
    <x v="25"/>
  </r>
  <r>
    <n v="1259"/>
    <x v="79"/>
    <x v="79"/>
    <x v="72"/>
    <x v="2"/>
    <s v="GODFREY LI"/>
    <n v="1229"/>
    <s v="SPR"/>
    <s v="Supplier"/>
    <m/>
    <x v="409"/>
    <s v="Galanz (Oven) - SIF 2013.xlsx"/>
    <s v=".xlsx"/>
    <d v="2014-03-28T00:00:00"/>
    <s v="as\afok"/>
    <m/>
    <s v="2013"/>
    <x v="0"/>
    <x v="0"/>
    <x v="0"/>
    <x v="0"/>
    <m/>
    <m/>
    <m/>
    <m/>
    <m/>
    <n v="2013"/>
    <n v="420000000"/>
    <n v="360000000"/>
    <n v="300000000"/>
    <n v="240000000"/>
    <n v="160000000"/>
    <n v="0.1"/>
    <n v="9.5000000000000001E-2"/>
    <n v="9.2999999999999999E-2"/>
    <n v="0.09"/>
    <n v="4.8000000000000001E-2"/>
    <m/>
    <x v="0"/>
    <x v="0"/>
    <x v="0"/>
    <x v="0"/>
    <m/>
    <m/>
    <m/>
    <n v="1"/>
    <n v="1"/>
    <m/>
    <s v="FP"/>
    <m/>
    <s v="SP"/>
    <s v="MOULD"/>
    <x v="4"/>
    <x v="1"/>
    <m/>
    <x v="25"/>
  </r>
  <r>
    <n v="2028"/>
    <x v="81"/>
    <x v="81"/>
    <x v="73"/>
    <x v="4"/>
    <s v="RICKY LAM"/>
    <n v="1971"/>
    <s v="Environmental Declaration"/>
    <s v="Supplier"/>
    <m/>
    <x v="277"/>
    <s v="Gearing_Env_Declaration_03Jun2010.xlsx"/>
    <s v=".xlsx"/>
    <d v="2014-04-11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28"/>
  </r>
  <r>
    <n v="2029"/>
    <x v="81"/>
    <x v="81"/>
    <x v="73"/>
    <x v="4"/>
    <s v="RICKY LAM"/>
    <n v="1972"/>
    <s v="SIF"/>
    <s v="Supplier"/>
    <m/>
    <x v="277"/>
    <s v="Gearing_SIF_07Jun2010.xls"/>
    <s v=".xls"/>
    <d v="2014-04-11T00:00:00"/>
    <s v="as\afok"/>
    <m/>
    <s v="2010"/>
    <x v="0"/>
    <x v="0"/>
    <x v="0"/>
    <x v="0"/>
    <m/>
    <m/>
    <m/>
    <m/>
    <m/>
    <n v="2010"/>
    <n v="13000000"/>
    <n v="12000000"/>
    <n v="11000000"/>
    <m/>
    <m/>
    <m/>
    <n v="0.8"/>
    <n v="0.5"/>
    <m/>
    <m/>
    <m/>
    <x v="0"/>
    <x v="0"/>
    <x v="0"/>
    <x v="0"/>
    <m/>
    <m/>
    <m/>
    <n v="0"/>
    <m/>
    <n v="1"/>
    <m/>
    <s v="CP"/>
    <m/>
    <m/>
    <x v="2"/>
    <x v="1"/>
    <m/>
    <x v="28"/>
  </r>
  <r>
    <n v="1617"/>
    <x v="82"/>
    <x v="82"/>
    <x v="74"/>
    <x v="3"/>
    <s v="JIMMY HO"/>
    <n v="1578"/>
    <s v="Contract: General Contract"/>
    <s v="Supplier"/>
    <m/>
    <x v="410"/>
    <s v="GEW FHA00016 ind.07 20080218.pdf"/>
    <s v=".pdf"/>
    <d v="2014-04-04T00:00:00"/>
    <s v="as\afok"/>
    <m/>
    <s v="FHA 00 016 ind.07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0"/>
    <m/>
    <n v="1"/>
    <s v="FP"/>
    <m/>
    <s v="SP"/>
    <m/>
    <x v="9"/>
    <x v="1"/>
    <m/>
    <x v="7"/>
  </r>
  <r>
    <n v="1610"/>
    <x v="82"/>
    <x v="82"/>
    <x v="74"/>
    <x v="3"/>
    <s v="JIMMY HO"/>
    <n v="1571"/>
    <s v="Environmental Declaration"/>
    <s v="Supplier"/>
    <m/>
    <x v="411"/>
    <s v="GEW_Env_Declaration_18Jun2010.xls"/>
    <s v=".xls"/>
    <d v="2014-04-04T00:00:00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m/>
    <x v="9"/>
    <x v="1"/>
    <m/>
    <x v="7"/>
  </r>
  <r>
    <n v="1608"/>
    <x v="82"/>
    <x v="82"/>
    <x v="74"/>
    <x v="3"/>
    <s v="JIMMY HO"/>
    <n v="1569"/>
    <s v="Exclusivity (EA)"/>
    <s v="Supplier"/>
    <m/>
    <x v="227"/>
    <s v="GEW Exclusivity Summary 2011-06-14.xlsx"/>
    <s v=".xlsx"/>
    <d v="2014-04-04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m/>
    <x v="9"/>
    <x v="1"/>
    <m/>
    <x v="7"/>
  </r>
  <r>
    <n v="1606"/>
    <x v="82"/>
    <x v="82"/>
    <x v="74"/>
    <x v="3"/>
    <s v="JIMMY HO"/>
    <n v="1567"/>
    <s v="Exclusivity (EA)"/>
    <s v="Supplier"/>
    <m/>
    <x v="79"/>
    <s v="GEW Exclusivity Summary.xlsx"/>
    <s v=".xlsx"/>
    <d v="2014-04-04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m/>
    <x v="9"/>
    <x v="1"/>
    <m/>
    <x v="7"/>
  </r>
  <r>
    <n v="1616"/>
    <x v="82"/>
    <x v="82"/>
    <x v="74"/>
    <x v="3"/>
    <s v="JIMMY HO"/>
    <n v="1577"/>
    <s v="Foodstuffs declaration"/>
    <s v="Supplier"/>
    <m/>
    <x v="412"/>
    <s v="GEW FRD00069 ind.04 20090812.pdf"/>
    <s v=".pdf"/>
    <d v="2014-04-04T00:00:00"/>
    <s v="as\afok"/>
    <m/>
    <s v="FRD 00 069 ind.04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m/>
    <x v="9"/>
    <x v="1"/>
    <m/>
    <x v="7"/>
  </r>
  <r>
    <n v="1614"/>
    <x v="82"/>
    <x v="82"/>
    <x v="74"/>
    <x v="3"/>
    <s v="JIMMY HO"/>
    <n v="1575"/>
    <s v="ISO 14001"/>
    <s v="Supplier"/>
    <d v="2013-01-04T00:00:00"/>
    <x v="413"/>
    <s v="GEW ISO9001 and ISO14001 17Feb2012.pdf"/>
    <s v=".pdf"/>
    <d v="2014-04-0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m/>
    <x v="9"/>
    <x v="1"/>
    <m/>
    <x v="7"/>
  </r>
  <r>
    <n v="1613"/>
    <x v="82"/>
    <x v="82"/>
    <x v="74"/>
    <x v="3"/>
    <s v="JIMMY HO"/>
    <n v="1574"/>
    <s v="ISO 9001"/>
    <s v="Supplier"/>
    <d v="2012-02-17T00:00:00"/>
    <x v="414"/>
    <s v="GEW ISO9001 and ISO14001 17Feb2012.pdf"/>
    <s v=".pdf"/>
    <d v="2014-04-0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m/>
    <x v="9"/>
    <x v="1"/>
    <m/>
    <x v="7"/>
  </r>
  <r>
    <n v="1607"/>
    <x v="82"/>
    <x v="82"/>
    <x v="74"/>
    <x v="3"/>
    <s v="JIMMY HO"/>
    <n v="1568"/>
    <s v="NDA (Non Disclosure Agreement)"/>
    <s v="Product / Project"/>
    <m/>
    <x v="256"/>
    <s v="GEW_NDA (A154) 2012-01-09.pdf"/>
    <s v=".pdf"/>
    <d v="2014-04-04T00:00:00"/>
    <s v="as\afok"/>
    <m/>
    <m/>
    <x v="0"/>
    <x v="0"/>
    <x v="0"/>
    <x v="0"/>
    <s v="A154"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m/>
    <x v="9"/>
    <x v="1"/>
    <m/>
    <x v="7"/>
  </r>
  <r>
    <n v="1611"/>
    <x v="82"/>
    <x v="82"/>
    <x v="74"/>
    <x v="3"/>
    <s v="JIMMY HO"/>
    <n v="1572"/>
    <s v="NDA (Non Disclosure Agreement)"/>
    <s v="Supplier"/>
    <m/>
    <x v="415"/>
    <s v="GEW_NDA_20110407.pdf"/>
    <s v=".pdf"/>
    <d v="2014-04-0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m/>
    <x v="9"/>
    <x v="1"/>
    <m/>
    <x v="7"/>
  </r>
  <r>
    <n v="1612"/>
    <x v="82"/>
    <x v="82"/>
    <x v="74"/>
    <x v="3"/>
    <s v="JIMMY HO"/>
    <n v="1573"/>
    <s v="Responsible Purchasing Charter"/>
    <s v="Supplier"/>
    <m/>
    <x v="8"/>
    <s v="GEW - Responsible Purchasing Charter.pdf"/>
    <s v=".pdf"/>
    <d v="2014-04-0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m/>
    <x v="9"/>
    <x v="1"/>
    <m/>
    <x v="7"/>
  </r>
  <r>
    <n v="1605"/>
    <x v="82"/>
    <x v="82"/>
    <x v="74"/>
    <x v="3"/>
    <s v="JIMMY HO"/>
    <n v="1566"/>
    <s v="SEF"/>
    <s v="Supplier"/>
    <m/>
    <x v="222"/>
    <s v="GEW_SEF_Dec 2012.XLSX"/>
    <s v=".xlsx"/>
    <d v="2014-04-04T00:00:00"/>
    <s v="as\afok"/>
    <m/>
    <s v="2012"/>
    <x v="0"/>
    <x v="0"/>
    <x v="0"/>
    <x v="0"/>
    <m/>
    <m/>
    <m/>
    <m/>
    <n v="59"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m/>
    <x v="9"/>
    <x v="1"/>
    <m/>
    <x v="7"/>
  </r>
  <r>
    <n v="1615"/>
    <x v="82"/>
    <x v="82"/>
    <x v="74"/>
    <x v="3"/>
    <s v="JIMMY HO"/>
    <n v="1576"/>
    <s v="SIF"/>
    <s v="Supplier"/>
    <m/>
    <x v="416"/>
    <s v="GEW_SIF_201212.xlsx"/>
    <s v=".xlsx"/>
    <d v="2014-04-04T00:00:00"/>
    <s v="as\afok"/>
    <m/>
    <s v="2012"/>
    <x v="0"/>
    <x v="0"/>
    <x v="0"/>
    <x v="0"/>
    <m/>
    <m/>
    <m/>
    <m/>
    <m/>
    <n v="2012"/>
    <n v="55000000"/>
    <n v="45000000"/>
    <n v="50000000"/>
    <n v="65000000"/>
    <n v="71000000"/>
    <n v="3"/>
    <n v="4.2"/>
    <n v="2"/>
    <n v="2.5"/>
    <n v="2.4"/>
    <s v="FP panel"/>
    <x v="1"/>
    <x v="3"/>
    <x v="0"/>
    <x v="0"/>
    <m/>
    <m/>
    <m/>
    <n v="0"/>
    <m/>
    <m/>
    <s v="FP"/>
    <m/>
    <s v="SP"/>
    <m/>
    <x v="9"/>
    <x v="1"/>
    <m/>
    <x v="7"/>
  </r>
  <r>
    <n v="1609"/>
    <x v="82"/>
    <x v="82"/>
    <x v="74"/>
    <x v="3"/>
    <s v="JIMMY HO"/>
    <n v="1570"/>
    <s v="SPR"/>
    <s v="Supplier"/>
    <m/>
    <x v="201"/>
    <s v="GEW_SPR_201212.pptx"/>
    <s v=".pptx"/>
    <d v="2014-04-04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m/>
    <x v="9"/>
    <x v="1"/>
    <m/>
    <x v="7"/>
  </r>
  <r>
    <n v="1021"/>
    <x v="83"/>
    <x v="83"/>
    <x v="75"/>
    <x v="1"/>
    <s v="EVA LAI"/>
    <n v="998"/>
    <s v="ISO 14001"/>
    <s v="Supplier"/>
    <d v="2011-02-15T00:00:00"/>
    <x v="417"/>
    <s v="GCB_ISO14001_29Mar2010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n v="1"/>
    <m/>
    <s v="CP"/>
    <m/>
    <m/>
    <x v="2"/>
    <x v="1"/>
    <m/>
    <x v="12"/>
  </r>
  <r>
    <n v="1020"/>
    <x v="83"/>
    <x v="83"/>
    <x v="75"/>
    <x v="1"/>
    <s v="EVA LAI"/>
    <n v="997"/>
    <s v="LOC (Letter of Confidentiality)"/>
    <s v="Supplier"/>
    <m/>
    <x v="374"/>
    <s v="LOC_Global_Circuit_2011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12"/>
  </r>
  <r>
    <n v="1018"/>
    <x v="83"/>
    <x v="83"/>
    <x v="75"/>
    <x v="1"/>
    <s v="EVA LAI"/>
    <n v="995"/>
    <s v="Responsible Purchasing Charter"/>
    <s v="Supplier"/>
    <m/>
    <x v="235"/>
    <s v="GLOBAL_CIRCUITS_Responsible_Purchasing_Charter_02Aug12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12"/>
  </r>
  <r>
    <n v="1019"/>
    <x v="83"/>
    <x v="83"/>
    <x v="75"/>
    <x v="1"/>
    <s v="EVA LAI"/>
    <n v="996"/>
    <s v="SEF"/>
    <s v="Supplier"/>
    <m/>
    <x v="30"/>
    <s v="GCB_SEF_2012.xlsx"/>
    <s v=".xlsx"/>
    <d v="2014-03-24T00:00:00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12"/>
  </r>
  <r>
    <n v="1014"/>
    <x v="83"/>
    <x v="83"/>
    <x v="75"/>
    <x v="1"/>
    <s v="EVA LAI"/>
    <n v="991"/>
    <s v="SEF"/>
    <s v="Supplier"/>
    <m/>
    <x v="418"/>
    <s v="GCB_SEF_2013-1.xls"/>
    <s v=".xls"/>
    <d v="2014-03-24T00:00:00"/>
    <s v="as\afok"/>
    <m/>
    <s v="2013"/>
    <x v="0"/>
    <x v="0"/>
    <x v="0"/>
    <x v="0"/>
    <m/>
    <m/>
    <m/>
    <m/>
    <n v="69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12"/>
  </r>
  <r>
    <n v="1016"/>
    <x v="83"/>
    <x v="83"/>
    <x v="75"/>
    <x v="1"/>
    <s v="EVA LAI"/>
    <n v="993"/>
    <s v="SEF"/>
    <s v="Supplier"/>
    <m/>
    <x v="89"/>
    <s v="GCB_SEF_2012-2.xlsx"/>
    <s v=".xlsx"/>
    <d v="2014-03-24T00:00:00"/>
    <s v="as\afok"/>
    <m/>
    <s v="2012"/>
    <x v="0"/>
    <x v="0"/>
    <x v="0"/>
    <x v="0"/>
    <m/>
    <m/>
    <m/>
    <m/>
    <n v="74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12"/>
  </r>
  <r>
    <n v="1015"/>
    <x v="83"/>
    <x v="83"/>
    <x v="75"/>
    <x v="1"/>
    <s v="EVA LAI"/>
    <n v="992"/>
    <s v="SIF"/>
    <s v="Supplier"/>
    <m/>
    <x v="287"/>
    <s v="GCB_SIF 2013.xls"/>
    <s v=".xls"/>
    <d v="2014-03-24T00:00:00"/>
    <s v="as\afok"/>
    <m/>
    <s v="2013"/>
    <x v="0"/>
    <x v="0"/>
    <x v="0"/>
    <x v="0"/>
    <m/>
    <m/>
    <m/>
    <m/>
    <m/>
    <n v="2013"/>
    <n v="100000000"/>
    <n v="98000000"/>
    <n v="90000000"/>
    <n v="90000000"/>
    <n v="65000000"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12"/>
  </r>
  <r>
    <n v="1017"/>
    <x v="83"/>
    <x v="83"/>
    <x v="75"/>
    <x v="1"/>
    <s v="EVA LAI"/>
    <n v="994"/>
    <s v="SPR"/>
    <s v="Supplier"/>
    <m/>
    <x v="201"/>
    <s v="GCB-SPR- Dec 2012.pptx"/>
    <s v=".pptx"/>
    <d v="2014-03-24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12"/>
  </r>
  <r>
    <n v="2030"/>
    <x v="84"/>
    <x v="84"/>
    <x v="76"/>
    <x v="4"/>
    <s v="RICKY LAM"/>
    <n v="1973"/>
    <s v="Environmental Declaration"/>
    <s v="Supplier"/>
    <m/>
    <x v="225"/>
    <s v="Global_Tat_Env_Declaration_30Mar2010.xls"/>
    <s v=".xls"/>
    <d v="2014-04-11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32"/>
  </r>
  <r>
    <n v="2031"/>
    <x v="84"/>
    <x v="84"/>
    <x v="76"/>
    <x v="4"/>
    <s v="RICKY LAM"/>
    <n v="1974"/>
    <s v="Responsible Purchasing Charter"/>
    <s v="Supplier"/>
    <m/>
    <x v="245"/>
    <s v="Global_tat_Responsible_Purchasing_Charter_10Aug12.pdf"/>
    <s v=".pdf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32"/>
  </r>
  <r>
    <n v="2032"/>
    <x v="84"/>
    <x v="84"/>
    <x v="76"/>
    <x v="4"/>
    <s v="RICKY LAM"/>
    <n v="1975"/>
    <s v="SIF"/>
    <s v="Supplier"/>
    <m/>
    <x v="419"/>
    <s v="Global Tat_SIF2013.xls"/>
    <s v=".xls"/>
    <d v="2014-04-11T00:00:00"/>
    <s v="as\afok"/>
    <m/>
    <s v="2013"/>
    <x v="0"/>
    <x v="0"/>
    <x v="0"/>
    <x v="0"/>
    <m/>
    <m/>
    <m/>
    <m/>
    <m/>
    <n v="2013"/>
    <n v="2200000"/>
    <n v="1900000"/>
    <n v="2000000"/>
    <n v="2300000"/>
    <n v="2100000"/>
    <n v="1"/>
    <n v="1"/>
    <n v="1"/>
    <n v="1"/>
    <n v="1"/>
    <m/>
    <x v="0"/>
    <x v="0"/>
    <x v="0"/>
    <x v="0"/>
    <m/>
    <m/>
    <m/>
    <n v="0"/>
    <m/>
    <n v="1"/>
    <m/>
    <s v="CP"/>
    <m/>
    <m/>
    <x v="2"/>
    <x v="1"/>
    <m/>
    <x v="32"/>
  </r>
  <r>
    <n v="833"/>
    <x v="85"/>
    <x v="85"/>
    <x v="77"/>
    <x v="1"/>
    <s v="DOUGLAS LAM"/>
    <n v="811"/>
    <s v="Responsible Purchasing Charter"/>
    <s v="Supplier"/>
    <m/>
    <x v="420"/>
    <s v="Gold_Tuning_Responsible Purchasing Charter_17sept2012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9"/>
  </r>
  <r>
    <n v="832"/>
    <x v="85"/>
    <x v="85"/>
    <x v="77"/>
    <x v="1"/>
    <s v="DOUGLAS LAM"/>
    <n v="810"/>
    <s v="SEF"/>
    <s v="Supplier"/>
    <m/>
    <x v="10"/>
    <s v="Gold Tuning_SEF_2012.xlsx"/>
    <s v=".xlsx"/>
    <d v="2014-03-21T00:00:00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9"/>
  </r>
  <r>
    <n v="831"/>
    <x v="85"/>
    <x v="85"/>
    <x v="77"/>
    <x v="1"/>
    <s v="DOUGLAS LAM"/>
    <n v="809"/>
    <s v="SEF"/>
    <s v="Supplier"/>
    <m/>
    <x v="9"/>
    <s v="Gold Tuning SEF 2013 -Manufacturer-20130601-83.xlsx"/>
    <s v=".xlsx"/>
    <d v="2014-03-21T00:00:00"/>
    <s v="as\afok"/>
    <m/>
    <s v="2013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9"/>
  </r>
  <r>
    <n v="834"/>
    <x v="85"/>
    <x v="85"/>
    <x v="77"/>
    <x v="1"/>
    <s v="DOUGLAS LAM"/>
    <n v="812"/>
    <s v="SIF"/>
    <s v="Supplier"/>
    <m/>
    <x v="421"/>
    <s v="Gold_Tuning_SIF_2009.pdf"/>
    <s v=".pdf"/>
    <d v="2014-03-21T00:00:00"/>
    <s v="as\afok"/>
    <m/>
    <s v="2009"/>
    <x v="0"/>
    <x v="0"/>
    <x v="0"/>
    <x v="0"/>
    <m/>
    <m/>
    <m/>
    <m/>
    <m/>
    <n v="2010"/>
    <n v="150000000"/>
    <n v="150000000"/>
    <n v="150000000"/>
    <m/>
    <m/>
    <n v="60"/>
    <n v="60"/>
    <n v="60"/>
    <m/>
    <m/>
    <s v="CP Panel"/>
    <x v="0"/>
    <x v="0"/>
    <x v="1"/>
    <x v="1"/>
    <m/>
    <m/>
    <m/>
    <n v="0"/>
    <m/>
    <n v="1"/>
    <m/>
    <s v="CP"/>
    <m/>
    <m/>
    <x v="2"/>
    <x v="1"/>
    <m/>
    <x v="9"/>
  </r>
  <r>
    <n v="829"/>
    <x v="85"/>
    <x v="85"/>
    <x v="77"/>
    <x v="1"/>
    <s v="DOUGLAS LAM"/>
    <n v="807"/>
    <s v="SPR"/>
    <s v="Supplier"/>
    <m/>
    <x v="422"/>
    <s v="ECM SPR 2010.pptx"/>
    <s v=".pptx"/>
    <d v="2014-03-21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9"/>
  </r>
  <r>
    <n v="830"/>
    <x v="85"/>
    <x v="85"/>
    <x v="77"/>
    <x v="1"/>
    <s v="DOUGLAS LAM"/>
    <n v="808"/>
    <s v="SSR"/>
    <s v="Supplier"/>
    <m/>
    <x v="116"/>
    <s v="ECM_SSR_20130710.pptx"/>
    <s v=".pptx"/>
    <d v="2014-03-21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9"/>
  </r>
  <r>
    <n v="2204"/>
    <x v="86"/>
    <x v="86"/>
    <x v="78"/>
    <x v="4"/>
    <s v="WILLIAM TSANG"/>
    <n v="2147"/>
    <s v="Contract: General Contract"/>
    <s v="Supplier"/>
    <m/>
    <x v="362"/>
    <s v="Sanwo_agreement_Aug12.pdf"/>
    <s v=".pdf"/>
    <d v="2014-04-14T00:00:00"/>
    <s v="as\afok"/>
    <m/>
    <m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0"/>
  </r>
  <r>
    <n v="2199"/>
    <x v="86"/>
    <x v="86"/>
    <x v="78"/>
    <x v="4"/>
    <s v="WILLIAM TSANG"/>
    <n v="2142"/>
    <s v="Contract: General Contract"/>
    <s v="Supplier"/>
    <m/>
    <x v="132"/>
    <s v="Sanwo_agreement_Revised_Sep2012.pdf"/>
    <s v=".pdf"/>
    <d v="2014-04-14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0"/>
  </r>
  <r>
    <n v="2201"/>
    <x v="86"/>
    <x v="86"/>
    <x v="78"/>
    <x v="4"/>
    <s v="WILLIAM TSANG"/>
    <n v="2144"/>
    <s v="Contract: Quality Appendix"/>
    <s v="Supplier"/>
    <m/>
    <x v="29"/>
    <s v="Sanwo_agreement_Revised_Sep2012.pdf"/>
    <s v=".pdf"/>
    <d v="2014-04-14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0"/>
  </r>
  <r>
    <n v="2202"/>
    <x v="86"/>
    <x v="86"/>
    <x v="78"/>
    <x v="4"/>
    <s v="WILLIAM TSANG"/>
    <n v="2145"/>
    <s v="Contract: Supply Chain Appendix"/>
    <s v="Supplier"/>
    <m/>
    <x v="228"/>
    <s v="Sanwo_agreement_Revised_Sep2012.pdf"/>
    <s v=".pdf"/>
    <d v="2014-04-14T00:00:00"/>
    <s v="as\afok"/>
    <m/>
    <m/>
    <x v="0"/>
    <x v="8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0"/>
  </r>
  <r>
    <n v="2203"/>
    <x v="86"/>
    <x v="86"/>
    <x v="78"/>
    <x v="4"/>
    <s v="WILLIAM TSANG"/>
    <n v="2146"/>
    <s v="Declaration letter of group organization"/>
    <s v="Supplier"/>
    <m/>
    <x v="423"/>
    <s v="Sanwo_agreement_Revised_Sep2012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0"/>
  </r>
  <r>
    <n v="2200"/>
    <x v="86"/>
    <x v="86"/>
    <x v="78"/>
    <x v="4"/>
    <s v="WILLIAM TSANG"/>
    <n v="2143"/>
    <s v="Environmental Declaration"/>
    <s v="Supplier"/>
    <m/>
    <x v="29"/>
    <s v="Sanwo_agreement_Revised_Sep2012.pdf"/>
    <s v=".pdf"/>
    <d v="2014-04-14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0"/>
  </r>
  <r>
    <n v="2195"/>
    <x v="86"/>
    <x v="86"/>
    <x v="78"/>
    <x v="4"/>
    <s v="WILLIAM TSANG"/>
    <n v="2138"/>
    <s v="ISO 9001"/>
    <s v="Supplier"/>
    <d v="2010-11-15T00:00:00"/>
    <x v="424"/>
    <s v="Goldric_ISO9001_ 16Jan2009.jpg"/>
    <s v=".jpg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0"/>
  </r>
  <r>
    <n v="2196"/>
    <x v="86"/>
    <x v="86"/>
    <x v="78"/>
    <x v="4"/>
    <s v="WILLIAM TSANG"/>
    <n v="2139"/>
    <s v="Responsible Purchasing Charter"/>
    <s v="Supplier"/>
    <m/>
    <x v="228"/>
    <s v="Sanwo_Responsible_Purchasing_Charter_13Aug12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0"/>
  </r>
  <r>
    <n v="2198"/>
    <x v="86"/>
    <x v="86"/>
    <x v="78"/>
    <x v="4"/>
    <s v="WILLIAM TSANG"/>
    <n v="2141"/>
    <s v="SEF"/>
    <s v="Supplier"/>
    <m/>
    <x v="180"/>
    <s v="SANWO_Supplier_Evaluation_Apr_2012.xlsx"/>
    <s v=".xlsx"/>
    <d v="2014-04-14T00:00:00"/>
    <s v="as\afok"/>
    <m/>
    <m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0"/>
  </r>
  <r>
    <n v="2205"/>
    <x v="86"/>
    <x v="86"/>
    <x v="78"/>
    <x v="4"/>
    <s v="WILLIAM TSANG"/>
    <n v="2148"/>
    <s v="SIF"/>
    <s v="Supplier"/>
    <m/>
    <x v="48"/>
    <s v="SANWO_SIF2012_20Apr12.xlsx"/>
    <s v=".xlsx"/>
    <d v="2014-04-14T00:00:00"/>
    <s v="as\afok"/>
    <m/>
    <s v="2012"/>
    <x v="0"/>
    <x v="0"/>
    <x v="0"/>
    <x v="0"/>
    <m/>
    <m/>
    <m/>
    <m/>
    <m/>
    <n v="2012"/>
    <n v="24000000"/>
    <n v="23000000"/>
    <n v="21000000"/>
    <n v="19120000"/>
    <n v="17000000"/>
    <n v="10"/>
    <n v="5.2"/>
    <n v="6"/>
    <n v="5"/>
    <n v="7"/>
    <s v="CP Panel"/>
    <x v="0"/>
    <x v="0"/>
    <x v="1"/>
    <x v="3"/>
    <m/>
    <m/>
    <m/>
    <n v="1"/>
    <n v="1"/>
    <m/>
    <m/>
    <s v="CP"/>
    <m/>
    <m/>
    <x v="2"/>
    <x v="1"/>
    <m/>
    <x v="0"/>
  </r>
  <r>
    <n v="2194"/>
    <x v="86"/>
    <x v="86"/>
    <x v="78"/>
    <x v="4"/>
    <s v="WILLIAM TSANG"/>
    <n v="2137"/>
    <s v="SIF"/>
    <s v="Supplier"/>
    <m/>
    <x v="147"/>
    <s v="SANWO_SIF2013.xlsx"/>
    <s v=".xlsx"/>
    <d v="2014-04-14T00:00:00"/>
    <s v="as\afok"/>
    <m/>
    <s v="2013"/>
    <x v="0"/>
    <x v="0"/>
    <x v="0"/>
    <x v="0"/>
    <m/>
    <m/>
    <m/>
    <m/>
    <m/>
    <n v="2013"/>
    <n v="28000000"/>
    <n v="19050000"/>
    <n v="23000000"/>
    <n v="21000000"/>
    <n v="19120000"/>
    <n v="10"/>
    <n v="4.5999999999999996"/>
    <n v="5.2"/>
    <n v="6"/>
    <n v="5"/>
    <s v="CP Panel"/>
    <x v="0"/>
    <x v="0"/>
    <x v="1"/>
    <x v="3"/>
    <m/>
    <m/>
    <m/>
    <n v="1"/>
    <m/>
    <m/>
    <m/>
    <s v="CP"/>
    <m/>
    <m/>
    <x v="2"/>
    <x v="1"/>
    <m/>
    <x v="0"/>
  </r>
  <r>
    <n v="2197"/>
    <x v="86"/>
    <x v="86"/>
    <x v="78"/>
    <x v="4"/>
    <s v="WILLIAM TSANG"/>
    <n v="2140"/>
    <s v="SPR"/>
    <s v="Supplier"/>
    <m/>
    <x v="354"/>
    <s v="SANWO_SPR_11May12.pptx"/>
    <s v=".pptx"/>
    <d v="2014-04-14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0"/>
  </r>
  <r>
    <n v="2193"/>
    <x v="86"/>
    <x v="86"/>
    <x v="78"/>
    <x v="4"/>
    <s v="WILLIAM TSANG"/>
    <n v="2136"/>
    <s v="SPR"/>
    <s v="Supplier"/>
    <m/>
    <x v="425"/>
    <s v="SPR_Sanwo_20131023.ppt"/>
    <s v=".ppt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0"/>
  </r>
  <r>
    <n v="1265"/>
    <x v="87"/>
    <x v="87"/>
    <x v="79"/>
    <x v="2"/>
    <s v="GODFREY LI"/>
    <n v="1235"/>
    <s v="Contract: General Contract"/>
    <s v="Supplier"/>
    <m/>
    <x v="426"/>
    <s v="GUANGLONG_General_agreement_FHA00016_Ind10 5Jan2012.pdf"/>
    <s v=".pdf"/>
    <d v="2014-03-28T00:00:00"/>
    <s v="as\afok"/>
    <m/>
    <s v="FHA 00 016 ind.10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11"/>
  </r>
  <r>
    <n v="1268"/>
    <x v="87"/>
    <x v="87"/>
    <x v="79"/>
    <x v="2"/>
    <s v="GODFREY LI"/>
    <n v="1238"/>
    <s v="Contract: Quality Appendix"/>
    <s v="Supplier"/>
    <m/>
    <x v="154"/>
    <s v="GUANGLONG_General_agreement_FHA00016_Ind10 5Jan2012.pdf"/>
    <s v=".pdf"/>
    <d v="2014-03-28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x v="9"/>
    <x v="1"/>
    <m/>
    <x v="11"/>
  </r>
  <r>
    <n v="1267"/>
    <x v="87"/>
    <x v="87"/>
    <x v="79"/>
    <x v="2"/>
    <s v="GODFREY LI"/>
    <n v="1237"/>
    <s v="Contract: Supply Chain Appendix"/>
    <s v="Supplier"/>
    <m/>
    <x v="154"/>
    <s v="GUANGLONG_General_agreement_FHA00016_Ind10 5Jan2012.pdf"/>
    <s v=".pdf"/>
    <d v="2014-03-28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x v="9"/>
    <x v="1"/>
    <m/>
    <x v="11"/>
  </r>
  <r>
    <n v="1269"/>
    <x v="87"/>
    <x v="87"/>
    <x v="79"/>
    <x v="2"/>
    <s v="GODFREY LI"/>
    <n v="1239"/>
    <s v="Declaration letter of group organization"/>
    <s v="Supplier"/>
    <m/>
    <x v="427"/>
    <s v="GUANGLONG_General_agreement_FHA00016_Ind10 5Jan2012.pdf"/>
    <s v=".pdf"/>
    <d v="2014-03-2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1"/>
  </r>
  <r>
    <n v="1266"/>
    <x v="87"/>
    <x v="87"/>
    <x v="79"/>
    <x v="2"/>
    <s v="GODFREY LI"/>
    <n v="1236"/>
    <s v="Environmental Declaration"/>
    <s v="Supplier"/>
    <m/>
    <x v="154"/>
    <s v="GUANGLONG_General_agreement_FHA00016_Ind10 5Jan2012.pdf"/>
    <s v=".pdf"/>
    <d v="2014-03-28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1"/>
  </r>
  <r>
    <n v="1262"/>
    <x v="87"/>
    <x v="87"/>
    <x v="79"/>
    <x v="2"/>
    <s v="GODFREY LI"/>
    <n v="1232"/>
    <s v="Exclusivity (EA)"/>
    <s v="Supplier"/>
    <m/>
    <x v="428"/>
    <s v="Guanglong Exclusivity Summary 2011-12-12.xlsx"/>
    <s v=".xlsx"/>
    <d v="2014-03-28T00:00:00"/>
    <s v="as\afok"/>
    <s v="Exclusivity Summary 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1"/>
  </r>
  <r>
    <n v="1270"/>
    <x v="87"/>
    <x v="87"/>
    <x v="79"/>
    <x v="2"/>
    <s v="GODFREY LI"/>
    <n v="1240"/>
    <s v="Exclusivity (EA)"/>
    <s v="Supplier"/>
    <m/>
    <x v="429"/>
    <s v="Guang Long_Exclusivity Agreement 20120103.pdf"/>
    <s v=".pdf"/>
    <d v="2014-03-28T00:00:00"/>
    <s v="as\afok"/>
    <m/>
    <s v="FRD 6E 030 ind.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x v="9"/>
    <x v="1"/>
    <m/>
    <x v="11"/>
  </r>
  <r>
    <n v="1263"/>
    <x v="87"/>
    <x v="87"/>
    <x v="79"/>
    <x v="2"/>
    <s v="GODFREY LI"/>
    <n v="1233"/>
    <s v="Responsible Purchasing Charter"/>
    <s v="Supplier"/>
    <m/>
    <x v="430"/>
    <s v="Guanglong - Responsible Purchasing Charter (ENG).pdf"/>
    <s v=".pdf"/>
    <d v="2014-03-28T00:00:00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1"/>
  </r>
  <r>
    <n v="1264"/>
    <x v="87"/>
    <x v="87"/>
    <x v="79"/>
    <x v="2"/>
    <s v="GODFREY LI"/>
    <n v="1234"/>
    <s v="Responsible Purchasing Charter"/>
    <s v="Supplier"/>
    <m/>
    <x v="154"/>
    <s v="Guanglong - Responsible Purchasing Charter (CH).pdf"/>
    <s v=".pdf"/>
    <d v="2014-03-28T00:00:00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1"/>
  </r>
  <r>
    <n v="1261"/>
    <x v="87"/>
    <x v="87"/>
    <x v="79"/>
    <x v="2"/>
    <s v="GODFREY LI"/>
    <n v="1231"/>
    <s v="SIF"/>
    <s v="Supplier"/>
    <m/>
    <x v="431"/>
    <s v="Guanglong - SIF 2013.XLSX"/>
    <s v=".xlsx"/>
    <d v="2014-03-28T00:00:00"/>
    <s v="as\afok"/>
    <m/>
    <s v="2013"/>
    <x v="0"/>
    <x v="0"/>
    <x v="0"/>
    <x v="0"/>
    <m/>
    <m/>
    <m/>
    <m/>
    <m/>
    <n v="2013"/>
    <n v="42000000"/>
    <n v="42000000"/>
    <n v="41000000"/>
    <n v="41000000"/>
    <n v="33000000"/>
    <n v="1"/>
    <n v="1"/>
    <n v="0"/>
    <n v="0"/>
    <n v="0"/>
    <m/>
    <x v="0"/>
    <x v="0"/>
    <x v="0"/>
    <x v="0"/>
    <m/>
    <m/>
    <m/>
    <n v="1"/>
    <m/>
    <m/>
    <s v="FP"/>
    <m/>
    <s v="SP"/>
    <m/>
    <x v="9"/>
    <x v="1"/>
    <m/>
    <x v="11"/>
  </r>
  <r>
    <n v="1675"/>
    <x v="88"/>
    <x v="88"/>
    <x v="80"/>
    <x v="5"/>
    <s v="JOHN YAN"/>
    <n v="1634"/>
    <s v="Environmental Declaration"/>
    <s v="Supplier"/>
    <m/>
    <x v="363"/>
    <s v="Guang_Yong_Env_Declaration_26Mar2010.xls"/>
    <s v=".xls"/>
    <d v="2014-04-07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1672"/>
    <x v="88"/>
    <x v="88"/>
    <x v="80"/>
    <x v="5"/>
    <s v="JOHN YAN"/>
    <n v="1631"/>
    <s v="Responsible Purchasing Charter"/>
    <s v="Supplier"/>
    <m/>
    <x v="51"/>
    <s v="Guangyong_Responsible Purchaser Charter_3Aug2012.pdf"/>
    <s v=".pdf"/>
    <d v="2014-04-0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673"/>
    <x v="88"/>
    <x v="88"/>
    <x v="80"/>
    <x v="5"/>
    <s v="JOHN YAN"/>
    <n v="1632"/>
    <s v="SEF"/>
    <s v="Supplier"/>
    <m/>
    <x v="385"/>
    <s v="Guangyong_SEF_201206.xlsx"/>
    <s v=".xlsx"/>
    <d v="2014-04-07T00:00:00"/>
    <s v="as\afok"/>
    <m/>
    <s v="2012"/>
    <x v="0"/>
    <x v="0"/>
    <x v="0"/>
    <x v="0"/>
    <m/>
    <m/>
    <m/>
    <m/>
    <n v="78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674"/>
    <x v="88"/>
    <x v="88"/>
    <x v="80"/>
    <x v="5"/>
    <s v="JOHN YAN"/>
    <n v="1633"/>
    <s v="SIF"/>
    <s v="Supplier"/>
    <m/>
    <x v="432"/>
    <s v="GUANG_YONG_SIF_2010.xls"/>
    <s v=".xls"/>
    <d v="2014-04-07T00:00:00"/>
    <s v="as\afok"/>
    <m/>
    <s v="2010"/>
    <x v="0"/>
    <x v="0"/>
    <x v="0"/>
    <x v="0"/>
    <m/>
    <m/>
    <m/>
    <m/>
    <m/>
    <n v="2010"/>
    <n v="25000000"/>
    <n v="19600915.739999998"/>
    <n v="22000000"/>
    <m/>
    <m/>
    <m/>
    <n v="16"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431"/>
    <x v="89"/>
    <x v="89"/>
    <x v="81"/>
    <x v="5"/>
    <s v="JASMINE YANG"/>
    <n v="1396"/>
    <s v="Contract: General Contract"/>
    <s v="Supplier"/>
    <m/>
    <x v="370"/>
    <s v="Ningbo Gul Tz_Supply Agreement_25Jan2013.PDF"/>
    <s v=".pdf"/>
    <d v="2014-04-01T00:00:00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n v="1"/>
    <m/>
    <m/>
    <n v="1"/>
    <m/>
    <m/>
    <m/>
    <s v="CP"/>
    <m/>
    <m/>
    <x v="2"/>
    <x v="1"/>
    <m/>
    <x v="6"/>
  </r>
  <r>
    <n v="1430"/>
    <x v="89"/>
    <x v="89"/>
    <x v="81"/>
    <x v="5"/>
    <s v="JASMINE YANG"/>
    <n v="1395"/>
    <s v="Contract: Quality Appendix"/>
    <s v="Supplier"/>
    <m/>
    <x v="370"/>
    <s v="Ningbo Gul Tz_Quality Appendix_25Jan2013.pdf"/>
    <s v=".pdf"/>
    <d v="2014-04-01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8"/>
    <m/>
    <n v="1"/>
    <m/>
    <n v="1"/>
    <m/>
    <m/>
    <m/>
    <s v="CP"/>
    <m/>
    <m/>
    <x v="2"/>
    <x v="1"/>
    <m/>
    <x v="6"/>
  </r>
  <r>
    <n v="1434"/>
    <x v="89"/>
    <x v="89"/>
    <x v="81"/>
    <x v="5"/>
    <s v="JASMINE YANG"/>
    <n v="1399"/>
    <s v="Contract: Quality Appendix"/>
    <s v="Supplier"/>
    <m/>
    <x v="433"/>
    <s v="Ningbo Gul Tz_Supply Agreement_25Jan2013.PDF"/>
    <s v=".pdf"/>
    <d v="2014-04-01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8"/>
    <m/>
    <n v="1"/>
    <m/>
    <n v="1"/>
    <m/>
    <m/>
    <m/>
    <s v="CP"/>
    <m/>
    <m/>
    <x v="2"/>
    <x v="1"/>
    <m/>
    <x v="6"/>
  </r>
  <r>
    <n v="1435"/>
    <x v="89"/>
    <x v="89"/>
    <x v="81"/>
    <x v="5"/>
    <s v="JASMINE YANG"/>
    <n v="1400"/>
    <s v="Contract: Supply Chain Appendix"/>
    <s v="Supplier"/>
    <m/>
    <x v="433"/>
    <s v="Ningbo Gul Tz_Supply Agreement_25Jan2013.PDF"/>
    <s v=".pdf"/>
    <d v="2014-04-01T00:00:00"/>
    <s v="as\afok"/>
    <m/>
    <m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8"/>
    <m/>
    <m/>
    <n v="1"/>
    <n v="1"/>
    <m/>
    <m/>
    <m/>
    <s v="CP"/>
    <m/>
    <m/>
    <x v="2"/>
    <x v="1"/>
    <m/>
    <x v="6"/>
  </r>
  <r>
    <n v="1437"/>
    <x v="89"/>
    <x v="89"/>
    <x v="81"/>
    <x v="5"/>
    <s v="JASMINE YANG"/>
    <n v="1402"/>
    <s v="Contract: Supply Chain Appendix"/>
    <s v="Supplier"/>
    <m/>
    <x v="434"/>
    <s v="Ningbo Gul Tz_Supply Chain Appendix V8_23Jul2013_(30d LT,3 percent).pdf"/>
    <s v=".pdf"/>
    <d v="2014-04-01T00:00:00"/>
    <s v="as\afok"/>
    <m/>
    <m/>
    <x v="0"/>
    <x v="7"/>
    <x v="2"/>
    <x v="0"/>
    <m/>
    <m/>
    <m/>
    <m/>
    <m/>
    <m/>
    <m/>
    <m/>
    <m/>
    <m/>
    <m/>
    <m/>
    <m/>
    <m/>
    <m/>
    <m/>
    <s v="CP Panel"/>
    <x v="0"/>
    <x v="0"/>
    <x v="1"/>
    <x v="8"/>
    <m/>
    <m/>
    <n v="1"/>
    <n v="1"/>
    <n v="1"/>
    <m/>
    <m/>
    <s v="CP"/>
    <m/>
    <m/>
    <x v="2"/>
    <x v="1"/>
    <m/>
    <x v="6"/>
  </r>
  <r>
    <n v="1429"/>
    <x v="89"/>
    <x v="89"/>
    <x v="81"/>
    <x v="5"/>
    <s v="JASMINE YANG"/>
    <n v="1394"/>
    <s v="Environmental Declaration"/>
    <s v="Supplier"/>
    <m/>
    <x v="435"/>
    <s v="Ningbo-Gul_Env_Declaration_19Jul2010.xls"/>
    <s v=".xls"/>
    <d v="2014-04-01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x v="2"/>
    <x v="1"/>
    <m/>
    <x v="6"/>
  </r>
  <r>
    <n v="1433"/>
    <x v="89"/>
    <x v="89"/>
    <x v="81"/>
    <x v="5"/>
    <s v="JASMINE YANG"/>
    <n v="1398"/>
    <s v="Environmental Declaration"/>
    <s v="Supplier"/>
    <m/>
    <x v="370"/>
    <s v="Ningbo Gul Tz_Supply Agreement_25Jan2013.PDF"/>
    <s v=".pdf"/>
    <d v="2014-04-01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x v="2"/>
    <x v="1"/>
    <m/>
    <x v="6"/>
  </r>
  <r>
    <n v="1426"/>
    <x v="89"/>
    <x v="89"/>
    <x v="81"/>
    <x v="5"/>
    <s v="JASMINE YANG"/>
    <n v="1392"/>
    <s v="ISO 14001"/>
    <s v="Supplier"/>
    <d v="2011-11-24T00:00:00"/>
    <x v="436"/>
    <s v="Ningbo-Gul_ISO14001_2011.pdf"/>
    <s v=".pdf"/>
    <d v="2014-04-0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x v="2"/>
    <x v="1"/>
    <m/>
    <x v="6"/>
  </r>
  <r>
    <n v="1427"/>
    <x v="89"/>
    <x v="89"/>
    <x v="81"/>
    <x v="5"/>
    <s v="JASMINE YANG"/>
    <n v="1393"/>
    <s v="ISO 9001"/>
    <s v="Supplier"/>
    <d v="2010-11-15T00:00:00"/>
    <x v="437"/>
    <s v="Ningbo-Gul_ISO9001_2010.pdf"/>
    <s v=".pdf"/>
    <d v="2014-04-0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x v="2"/>
    <x v="1"/>
    <m/>
    <x v="6"/>
  </r>
  <r>
    <n v="1425"/>
    <x v="89"/>
    <x v="89"/>
    <x v="81"/>
    <x v="5"/>
    <s v="JASMINE YANG"/>
    <n v="1391"/>
    <s v="LOC (Letter of Confidentiality)"/>
    <s v="Supplier"/>
    <m/>
    <x v="390"/>
    <s v="LOC_Ningbo_Gul.pdf"/>
    <s v=".pdf"/>
    <d v="2014-04-0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x v="2"/>
    <x v="1"/>
    <m/>
    <x v="6"/>
  </r>
  <r>
    <n v="1432"/>
    <x v="89"/>
    <x v="89"/>
    <x v="81"/>
    <x v="5"/>
    <s v="JASMINE YANG"/>
    <n v="1397"/>
    <s v="Responsible Purchasing Charter"/>
    <s v="Supplier"/>
    <m/>
    <x v="370"/>
    <s v="Ningbo Gul Tz_Supply Agreement_25Jan2013.PDF"/>
    <s v=".pdf"/>
    <d v="2014-04-0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x v="2"/>
    <x v="1"/>
    <m/>
    <x v="6"/>
  </r>
  <r>
    <n v="1424"/>
    <x v="89"/>
    <x v="89"/>
    <x v="81"/>
    <x v="5"/>
    <s v="JASMINE YANG"/>
    <n v="1390"/>
    <s v="Responsible Purchasing Charter"/>
    <s v="Supplier"/>
    <m/>
    <x v="221"/>
    <s v="Ningbo-Gul_Responsible Purchaser Charter_14Sep2012.pdf"/>
    <s v=".pdf"/>
    <d v="2014-04-0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x v="2"/>
    <x v="1"/>
    <m/>
    <x v="6"/>
  </r>
  <r>
    <n v="1423"/>
    <x v="89"/>
    <x v="89"/>
    <x v="81"/>
    <x v="5"/>
    <s v="JASMINE YANG"/>
    <n v="1389"/>
    <s v="SEF"/>
    <s v="Supplier"/>
    <m/>
    <x v="112"/>
    <s v="GUL TZ_SEF_201207.xlsx"/>
    <s v=".xlsx"/>
    <d v="2014-04-01T00:00:00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x v="2"/>
    <x v="1"/>
    <m/>
    <x v="6"/>
  </r>
  <r>
    <n v="1422"/>
    <x v="89"/>
    <x v="89"/>
    <x v="81"/>
    <x v="5"/>
    <s v="JASMINE YANG"/>
    <n v="1388"/>
    <s v="SIF"/>
    <s v="Supplier"/>
    <m/>
    <x v="438"/>
    <s v="Ningbo_Gul_SIF_2010.xls"/>
    <s v=".xls"/>
    <d v="2014-04-01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x v="2"/>
    <x v="1"/>
    <m/>
    <x v="6"/>
  </r>
  <r>
    <n v="1436"/>
    <x v="89"/>
    <x v="89"/>
    <x v="81"/>
    <x v="5"/>
    <s v="JASMINE YANG"/>
    <n v="1401"/>
    <s v="SPR"/>
    <s v="Supplier"/>
    <m/>
    <x v="9"/>
    <s v="SPR 2013 Gul.pptx"/>
    <s v=".pptx"/>
    <d v="2014-04-01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x v="2"/>
    <x v="1"/>
    <m/>
    <x v="6"/>
  </r>
  <r>
    <n v="1682"/>
    <x v="90"/>
    <x v="90"/>
    <x v="82"/>
    <x v="5"/>
    <s v="JOHN YAN"/>
    <n v="1641"/>
    <s v="Contract: General Contract"/>
    <s v="Supplier"/>
    <m/>
    <x v="119"/>
    <s v="Donghai_General Agreement_23Apr12.pdf"/>
    <s v=".pdf"/>
    <d v="2014-04-07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m/>
    <m/>
    <m/>
    <s v="CP"/>
    <m/>
    <m/>
    <x v="2"/>
    <x v="1"/>
    <m/>
    <x v="25"/>
  </r>
  <r>
    <n v="1684"/>
    <x v="90"/>
    <x v="90"/>
    <x v="82"/>
    <x v="5"/>
    <s v="JOHN YAN"/>
    <n v="1643"/>
    <s v="Contract: Quality Appendix"/>
    <s v="Supplier"/>
    <m/>
    <x v="196"/>
    <s v="Donghai_General Agreement_23Apr12.pdf"/>
    <s v=".pdf"/>
    <d v="2014-04-07T00:00:00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s v="CP"/>
    <m/>
    <m/>
    <x v="2"/>
    <x v="1"/>
    <m/>
    <x v="25"/>
  </r>
  <r>
    <n v="1678"/>
    <x v="90"/>
    <x v="90"/>
    <x v="82"/>
    <x v="5"/>
    <s v="JOHN YAN"/>
    <n v="1637"/>
    <s v="Contract: Quality Appendix"/>
    <s v="Supplier"/>
    <m/>
    <x v="196"/>
    <s v="Donghai_Quality Appendix_23Apr2012.pdf"/>
    <s v=".pdf"/>
    <d v="2014-04-07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s v="CP"/>
    <m/>
    <m/>
    <x v="2"/>
    <x v="1"/>
    <m/>
    <x v="25"/>
  </r>
  <r>
    <n v="1683"/>
    <x v="90"/>
    <x v="90"/>
    <x v="82"/>
    <x v="5"/>
    <s v="JOHN YAN"/>
    <n v="1642"/>
    <s v="Environmental Declaration"/>
    <s v="Supplier"/>
    <m/>
    <x v="119"/>
    <s v="Donghai_General Agreement_23Apr12.pdf"/>
    <s v=".pdf"/>
    <d v="2014-04-07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x v="2"/>
    <x v="1"/>
    <m/>
    <x v="25"/>
  </r>
  <r>
    <n v="1679"/>
    <x v="90"/>
    <x v="90"/>
    <x v="82"/>
    <x v="5"/>
    <s v="JOHN YAN"/>
    <n v="1638"/>
    <s v="Environmental Declaration"/>
    <s v="Supplier"/>
    <m/>
    <x v="119"/>
    <s v="Donghai_Env Declaration_23Apr2012.pdf"/>
    <s v=".pdf"/>
    <d v="2014-04-07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x v="2"/>
    <x v="1"/>
    <m/>
    <x v="25"/>
  </r>
  <r>
    <n v="1686"/>
    <x v="90"/>
    <x v="90"/>
    <x v="82"/>
    <x v="5"/>
    <s v="JOHN YAN"/>
    <n v="1645"/>
    <s v="LOC (Letter of Confidentiality)"/>
    <s v="Supplier"/>
    <m/>
    <x v="439"/>
    <s v="LOC_Haiyan_Donghai_2011.pdf"/>
    <s v=".pdf"/>
    <d v="2014-04-07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n v="1"/>
    <m/>
    <m/>
    <s v="CP"/>
    <m/>
    <m/>
    <x v="2"/>
    <x v="1"/>
    <m/>
    <x v="25"/>
  </r>
  <r>
    <n v="1681"/>
    <x v="90"/>
    <x v="90"/>
    <x v="82"/>
    <x v="5"/>
    <s v="JOHN YAN"/>
    <n v="1640"/>
    <s v="Responsible Purchasing Charter"/>
    <s v="Supplier"/>
    <m/>
    <x v="185"/>
    <s v="Donghai_Responsible Purchasing Charter_2Aug2012.pdf"/>
    <s v=".pdf"/>
    <d v="2014-04-07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x v="2"/>
    <x v="1"/>
    <m/>
    <x v="25"/>
  </r>
  <r>
    <n v="1680"/>
    <x v="90"/>
    <x v="90"/>
    <x v="82"/>
    <x v="5"/>
    <s v="JOHN YAN"/>
    <n v="1639"/>
    <s v="SEF"/>
    <s v="Supplier"/>
    <m/>
    <x v="440"/>
    <s v="Donghai_SEF_2012Jun.xlsx"/>
    <s v=".xlsx"/>
    <d v="2014-04-07T00:00:00"/>
    <s v="as\afok"/>
    <m/>
    <s v="2012"/>
    <x v="0"/>
    <x v="0"/>
    <x v="0"/>
    <x v="0"/>
    <m/>
    <m/>
    <m/>
    <m/>
    <n v="71"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x v="2"/>
    <x v="1"/>
    <m/>
    <x v="25"/>
  </r>
  <r>
    <n v="1676"/>
    <x v="90"/>
    <x v="90"/>
    <x v="82"/>
    <x v="5"/>
    <s v="JOHN YAN"/>
    <n v="1635"/>
    <s v="SIF"/>
    <s v="Supplier"/>
    <m/>
    <x v="194"/>
    <s v="Donghai_SIF_20140213.xlsx"/>
    <s v=".xlsx"/>
    <d v="2014-04-07T00:00:00"/>
    <s v="as\afok"/>
    <m/>
    <s v="2014"/>
    <x v="0"/>
    <x v="0"/>
    <x v="0"/>
    <x v="0"/>
    <m/>
    <m/>
    <m/>
    <m/>
    <m/>
    <n v="2014"/>
    <n v="150000000"/>
    <n v="130000000"/>
    <n v="120000000"/>
    <n v="100000000"/>
    <n v="90000000"/>
    <n v="30"/>
    <n v="21.15"/>
    <n v="3.8"/>
    <n v="2.93"/>
    <n v="2.87"/>
    <s v="CP Panel"/>
    <x v="0"/>
    <x v="0"/>
    <x v="1"/>
    <x v="6"/>
    <m/>
    <m/>
    <m/>
    <n v="1"/>
    <m/>
    <m/>
    <m/>
    <s v="CP"/>
    <m/>
    <m/>
    <x v="2"/>
    <x v="1"/>
    <m/>
    <x v="25"/>
  </r>
  <r>
    <n v="1685"/>
    <x v="90"/>
    <x v="90"/>
    <x v="82"/>
    <x v="5"/>
    <s v="JOHN YAN"/>
    <n v="1644"/>
    <s v="SIF"/>
    <s v="Supplier"/>
    <m/>
    <x v="441"/>
    <s v="DONGHAI_SIF_8May2012.xls"/>
    <s v=".xls"/>
    <d v="2014-04-07T00:00:00"/>
    <s v="as\afok"/>
    <m/>
    <s v="2012"/>
    <x v="0"/>
    <x v="0"/>
    <x v="0"/>
    <x v="0"/>
    <m/>
    <m/>
    <m/>
    <m/>
    <m/>
    <n v="2012"/>
    <n v="23800000"/>
    <n v="19050000"/>
    <n v="15870000"/>
    <n v="14290000"/>
    <n v="12700000"/>
    <m/>
    <n v="2.93"/>
    <n v="2.87"/>
    <n v="1.35"/>
    <n v="1.25"/>
    <s v="CP Panel"/>
    <x v="0"/>
    <x v="0"/>
    <x v="1"/>
    <x v="6"/>
    <m/>
    <m/>
    <m/>
    <n v="1"/>
    <m/>
    <m/>
    <m/>
    <s v="CP"/>
    <m/>
    <m/>
    <x v="2"/>
    <x v="1"/>
    <m/>
    <x v="25"/>
  </r>
  <r>
    <n v="1677"/>
    <x v="90"/>
    <x v="90"/>
    <x v="82"/>
    <x v="5"/>
    <s v="JOHN YAN"/>
    <n v="1636"/>
    <s v="SPR"/>
    <s v="Supplier"/>
    <m/>
    <x v="117"/>
    <s v="Donghai_SPR_2013.ppt"/>
    <s v=".ppt"/>
    <d v="2014-04-07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x v="2"/>
    <x v="1"/>
    <m/>
    <x v="25"/>
  </r>
  <r>
    <n v="1447"/>
    <x v="91"/>
    <x v="91"/>
    <x v="83"/>
    <x v="2"/>
    <s v="GODFREY LI"/>
    <n v="1244"/>
    <s v="Exclusivity (EA)"/>
    <s v="Supplier"/>
    <m/>
    <x v="442"/>
    <s v="Hallsmart Exclusivity 2011-06-28.xlsx"/>
    <s v=".xlsx"/>
    <d v="2014-03-28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m/>
    <x v="9"/>
    <x v="1"/>
    <m/>
    <x v="25"/>
  </r>
  <r>
    <n v="1275"/>
    <x v="91"/>
    <x v="91"/>
    <x v="83"/>
    <x v="2"/>
    <s v="GODFREY LI"/>
    <n v="1245"/>
    <s v="Exclusivity (EA)"/>
    <s v="Product / Project"/>
    <m/>
    <x v="403"/>
    <s v="Hallsmart Lima Rice Cooker_EA_2012-02-06.pdf"/>
    <s v=".pdf"/>
    <d v="2014-03-28T00:00:00"/>
    <s v="as\afok"/>
    <m/>
    <m/>
    <x v="0"/>
    <x v="0"/>
    <x v="0"/>
    <x v="0"/>
    <s v="Lima Rice Cooker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282"/>
    <x v="91"/>
    <x v="91"/>
    <x v="83"/>
    <x v="2"/>
    <s v="GODFREY LI"/>
    <n v="1252"/>
    <s v="Foodstuffs declaration"/>
    <s v="Supplier"/>
    <m/>
    <x v="443"/>
    <s v="Hallsmart FRD00069 ind.04 20090427.pdf"/>
    <s v=".pdf"/>
    <d v="2014-03-28T00:00:00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276"/>
    <x v="91"/>
    <x v="91"/>
    <x v="83"/>
    <x v="2"/>
    <s v="GODFREY LI"/>
    <n v="1246"/>
    <s v="IP (Intellectual Property)"/>
    <s v="Product / Project"/>
    <m/>
    <x v="403"/>
    <s v="Hallsmart Lima Rice Cooker_IP_2012-02-06.pdf"/>
    <s v=".pdf"/>
    <d v="2014-03-28T00:00:00"/>
    <s v="as\afok"/>
    <m/>
    <m/>
    <x v="0"/>
    <x v="0"/>
    <x v="0"/>
    <x v="0"/>
    <s v="Lima Rice Cooker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279"/>
    <x v="91"/>
    <x v="91"/>
    <x v="83"/>
    <x v="2"/>
    <s v="GODFREY LI"/>
    <n v="1249"/>
    <s v="ISO 14001"/>
    <s v="Supplier"/>
    <d v="2013-03-31T00:00:00"/>
    <x v="316"/>
    <s v="Hallsmart_ISO14001_27May2010_English.JPG"/>
    <s v=".jpg"/>
    <d v="2014-03-2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278"/>
    <x v="91"/>
    <x v="91"/>
    <x v="83"/>
    <x v="2"/>
    <s v="GODFREY LI"/>
    <n v="1248"/>
    <s v="ISO 14001"/>
    <s v="Supplier"/>
    <d v="2013-03-31T00:00:00"/>
    <x v="316"/>
    <s v="Hallsmart_ISO14001_27May2010_Chinese.JPG"/>
    <s v=".jpg"/>
    <d v="2014-03-28T00:00:00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280"/>
    <x v="91"/>
    <x v="91"/>
    <x v="83"/>
    <x v="2"/>
    <s v="GODFREY LI"/>
    <n v="1250"/>
    <s v="Responsible Purchasing Charter"/>
    <s v="Supplier"/>
    <m/>
    <x v="281"/>
    <s v="Hallsmart - Responsible Purchasing Charter.pdf"/>
    <s v=".pdf"/>
    <d v="2014-03-2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281"/>
    <x v="91"/>
    <x v="91"/>
    <x v="83"/>
    <x v="2"/>
    <s v="GODFREY LI"/>
    <n v="1251"/>
    <s v="SEF"/>
    <s v="Supplier"/>
    <m/>
    <x v="55"/>
    <s v="SEF_Hallsmart_201206.xlsx"/>
    <s v=".xlsx"/>
    <d v="2014-03-28T00:00:00"/>
    <s v="as\afok"/>
    <m/>
    <s v="2012"/>
    <x v="0"/>
    <x v="0"/>
    <x v="0"/>
    <x v="0"/>
    <m/>
    <m/>
    <m/>
    <m/>
    <n v="72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271"/>
    <x v="91"/>
    <x v="91"/>
    <x v="83"/>
    <x v="2"/>
    <s v="GODFREY LI"/>
    <n v="1241"/>
    <s v="SEF"/>
    <s v="Supplier"/>
    <m/>
    <x v="78"/>
    <s v="SEF 2013 - Hallsmart.xlsx"/>
    <s v=".xlsx"/>
    <d v="2014-03-28T00:00:00"/>
    <s v="as\afok"/>
    <m/>
    <s v="2013"/>
    <x v="0"/>
    <x v="0"/>
    <x v="0"/>
    <x v="0"/>
    <m/>
    <m/>
    <m/>
    <m/>
    <n v="64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273"/>
    <x v="91"/>
    <x v="91"/>
    <x v="83"/>
    <x v="2"/>
    <s v="GODFREY LI"/>
    <n v="1243"/>
    <s v="SIF"/>
    <s v="Supplier"/>
    <m/>
    <x v="444"/>
    <s v="Hallsmart - SIF 2012.xls"/>
    <s v=".xls"/>
    <d v="2014-03-28T00:00:00"/>
    <s v="as\afok"/>
    <m/>
    <s v="2012"/>
    <x v="0"/>
    <x v="0"/>
    <x v="0"/>
    <x v="0"/>
    <m/>
    <m/>
    <m/>
    <m/>
    <m/>
    <n v="2012"/>
    <n v="76700000"/>
    <n v="59000000"/>
    <n v="52000000"/>
    <n v="40000000"/>
    <n v="38000000"/>
    <n v="2"/>
    <n v="1.5"/>
    <n v="1"/>
    <n v="0.8"/>
    <n v="2.4"/>
    <m/>
    <x v="0"/>
    <x v="0"/>
    <x v="0"/>
    <x v="0"/>
    <m/>
    <m/>
    <m/>
    <n v="0"/>
    <m/>
    <m/>
    <s v="FP"/>
    <m/>
    <s v="SP"/>
    <m/>
    <x v="9"/>
    <x v="1"/>
    <m/>
    <x v="25"/>
  </r>
  <r>
    <n v="1272"/>
    <x v="91"/>
    <x v="91"/>
    <x v="83"/>
    <x v="2"/>
    <s v="GODFREY LI"/>
    <n v="1242"/>
    <s v="SIF"/>
    <s v="Supplier"/>
    <m/>
    <x v="445"/>
    <s v="Hallsmart - SIF 2013.xls"/>
    <s v=".xls"/>
    <d v="2014-03-28T00:00:00"/>
    <s v="as\afok"/>
    <m/>
    <s v="2013"/>
    <x v="0"/>
    <x v="0"/>
    <x v="0"/>
    <x v="0"/>
    <m/>
    <m/>
    <m/>
    <m/>
    <m/>
    <n v="2013"/>
    <n v="76700000"/>
    <n v="76700000"/>
    <n v="59000000"/>
    <n v="52000000"/>
    <n v="40000000"/>
    <m/>
    <n v="2"/>
    <n v="1.5"/>
    <n v="1"/>
    <n v="0.8"/>
    <m/>
    <x v="0"/>
    <x v="0"/>
    <x v="0"/>
    <x v="0"/>
    <m/>
    <m/>
    <m/>
    <n v="0"/>
    <m/>
    <m/>
    <s v="FP"/>
    <m/>
    <s v="SP"/>
    <m/>
    <x v="9"/>
    <x v="1"/>
    <m/>
    <x v="25"/>
  </r>
  <r>
    <n v="1277"/>
    <x v="91"/>
    <x v="91"/>
    <x v="83"/>
    <x v="2"/>
    <s v="GODFREY LI"/>
    <n v="1247"/>
    <s v="SPR"/>
    <s v="Supplier"/>
    <m/>
    <x v="446"/>
    <s v="Hallsmart_SPR_201011.PPT"/>
    <s v=".ppt"/>
    <d v="2014-03-28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786"/>
    <x v="92"/>
    <x v="92"/>
    <x v="84"/>
    <x v="0"/>
    <s v="KA WING KELVIN CHAN"/>
    <n v="1743"/>
    <s v="Contract: General Contract"/>
    <s v="Supplier"/>
    <m/>
    <x v="165"/>
    <s v="HSH_General Agreement_16Feb2012.pdf"/>
    <s v=".pdf"/>
    <d v="2014-04-08T00:00:00"/>
    <s v="as\afok"/>
    <m/>
    <s v="FHA 00 016 ind.11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x v="4"/>
    <x v="1"/>
    <m/>
    <x v="10"/>
  </r>
  <r>
    <n v="1790"/>
    <x v="92"/>
    <x v="92"/>
    <x v="84"/>
    <x v="0"/>
    <s v="KA WING KELVIN CHAN"/>
    <n v="1747"/>
    <s v="Contract: Quality Appendix"/>
    <s v="Supplier"/>
    <m/>
    <x v="165"/>
    <s v="HSH_General Agreement_16Feb2012.pdf"/>
    <s v=".pdf"/>
    <d v="2014-04-08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x v="4"/>
    <x v="1"/>
    <m/>
    <x v="10"/>
  </r>
  <r>
    <n v="1789"/>
    <x v="92"/>
    <x v="92"/>
    <x v="84"/>
    <x v="0"/>
    <s v="KA WING KELVIN CHAN"/>
    <n v="1746"/>
    <s v="Contract: Supply Chain Appendix"/>
    <s v="Supplier"/>
    <m/>
    <x v="165"/>
    <s v="HSH_General Agreement_16Feb2012.pdf"/>
    <s v=".pdf"/>
    <d v="2014-04-08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x v="4"/>
    <x v="1"/>
    <m/>
    <x v="10"/>
  </r>
  <r>
    <n v="1788"/>
    <x v="92"/>
    <x v="92"/>
    <x v="84"/>
    <x v="0"/>
    <s v="KA WING KELVIN CHAN"/>
    <n v="1745"/>
    <s v="Declaration letter of group organization"/>
    <s v="Supplier"/>
    <m/>
    <x v="447"/>
    <s v="HSH_General Agreement_16Feb2012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10"/>
  </r>
  <r>
    <n v="1787"/>
    <x v="92"/>
    <x v="92"/>
    <x v="84"/>
    <x v="0"/>
    <s v="KA WING KELVIN CHAN"/>
    <n v="1744"/>
    <s v="Environmental Declaration"/>
    <s v="Supplier"/>
    <m/>
    <x v="165"/>
    <s v="HSH_General Agreement_16Feb2012.pdf"/>
    <s v=".pdf"/>
    <d v="2014-04-08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10"/>
  </r>
  <r>
    <n v="1785"/>
    <x v="92"/>
    <x v="92"/>
    <x v="84"/>
    <x v="0"/>
    <s v="KA WING KELVIN CHAN"/>
    <n v="1742"/>
    <s v="Responsible Purchasing Charter"/>
    <s v="Supplier"/>
    <m/>
    <x v="72"/>
    <s v="HSH_Responsible Purchasing Charter_24Sep12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10"/>
  </r>
  <r>
    <n v="1784"/>
    <x v="92"/>
    <x v="92"/>
    <x v="84"/>
    <x v="0"/>
    <s v="KA WING KELVIN CHAN"/>
    <n v="1741"/>
    <s v="SEF"/>
    <s v="Supplier"/>
    <m/>
    <x v="89"/>
    <s v="SEF - HSH 2012 (update).XLSX"/>
    <s v=".xlsx"/>
    <d v="2014-04-08T00:00:00"/>
    <s v="as\afok"/>
    <m/>
    <s v="2012"/>
    <x v="0"/>
    <x v="0"/>
    <x v="0"/>
    <x v="0"/>
    <m/>
    <m/>
    <m/>
    <m/>
    <n v="71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10"/>
  </r>
  <r>
    <n v="1783"/>
    <x v="92"/>
    <x v="92"/>
    <x v="84"/>
    <x v="0"/>
    <s v="KA WING KELVIN CHAN"/>
    <n v="1740"/>
    <s v="SEF"/>
    <s v="Supplier"/>
    <m/>
    <x v="361"/>
    <s v="SEF HSH 2013.XLSX"/>
    <s v=".xlsx"/>
    <d v="2014-04-08T00:00:00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10"/>
  </r>
  <r>
    <n v="1791"/>
    <x v="92"/>
    <x v="92"/>
    <x v="84"/>
    <x v="0"/>
    <s v="KA WING KELVIN CHAN"/>
    <n v="1748"/>
    <s v="SIF"/>
    <s v="Supplier"/>
    <m/>
    <x v="83"/>
    <s v="HSH_SIF2011_27Feb12.xlsx"/>
    <s v=".xlsx"/>
    <d v="2014-04-08T00:00:00"/>
    <s v="as\afok"/>
    <m/>
    <s v="2011"/>
    <x v="0"/>
    <x v="0"/>
    <x v="0"/>
    <x v="0"/>
    <m/>
    <m/>
    <m/>
    <m/>
    <m/>
    <n v="2012"/>
    <n v="77000000"/>
    <n v="70000000"/>
    <n v="60000000"/>
    <n v="40000000"/>
    <n v="50000000"/>
    <n v="1"/>
    <m/>
    <m/>
    <m/>
    <m/>
    <m/>
    <x v="0"/>
    <x v="0"/>
    <x v="0"/>
    <x v="0"/>
    <m/>
    <m/>
    <m/>
    <n v="1"/>
    <m/>
    <m/>
    <s v="FP"/>
    <m/>
    <s v="SP"/>
    <s v="MOULD"/>
    <x v="4"/>
    <x v="1"/>
    <m/>
    <x v="10"/>
  </r>
  <r>
    <n v="1792"/>
    <x v="92"/>
    <x v="92"/>
    <x v="84"/>
    <x v="0"/>
    <s v="KA WING KELVIN CHAN"/>
    <n v="1749"/>
    <s v="SIF"/>
    <s v="Supplier"/>
    <m/>
    <x v="271"/>
    <s v="HSH_SIF 2013.xls"/>
    <s v=".xls"/>
    <d v="2014-04-08T00:00:00"/>
    <s v="as\afok"/>
    <m/>
    <s v="2013"/>
    <x v="0"/>
    <x v="0"/>
    <x v="0"/>
    <x v="0"/>
    <m/>
    <m/>
    <m/>
    <m/>
    <m/>
    <n v="2013"/>
    <n v="84000000"/>
    <n v="77000000"/>
    <n v="70000000"/>
    <n v="60000000"/>
    <n v="40000000"/>
    <m/>
    <m/>
    <m/>
    <m/>
    <m/>
    <m/>
    <x v="0"/>
    <x v="0"/>
    <x v="0"/>
    <x v="0"/>
    <m/>
    <m/>
    <m/>
    <n v="1"/>
    <n v="1"/>
    <m/>
    <s v="FP"/>
    <m/>
    <s v="SP"/>
    <s v="MOULD"/>
    <x v="4"/>
    <x v="1"/>
    <m/>
    <x v="10"/>
  </r>
  <r>
    <n v="19"/>
    <x v="93"/>
    <x v="93"/>
    <x v="85"/>
    <x v="5"/>
    <s v="SHOT XU"/>
    <n v="15"/>
    <s v="Contract: General Contract"/>
    <s v="Supplier"/>
    <d v="2015-12-31T00:00:00"/>
    <x v="113"/>
    <s v="Hanool_General Agreement_17Dec12.pdf"/>
    <s v=".pdf"/>
    <d v="2014-03-04T00:00:00"/>
    <s v="as\afok"/>
    <m/>
    <m/>
    <x v="2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5"/>
  </r>
  <r>
    <n v="317"/>
    <x v="93"/>
    <x v="93"/>
    <x v="85"/>
    <x v="5"/>
    <s v="SHOT XU"/>
    <n v="304"/>
    <s v="Contract: Quality Appendix"/>
    <s v="Supplier"/>
    <m/>
    <x v="113"/>
    <s v="Hanool_Quality Agreement_17Dec12.pdf"/>
    <s v=".pdf"/>
    <d v="2014-03-14T00:00:00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x v="9"/>
    <x v="1"/>
    <m/>
    <x v="5"/>
  </r>
  <r>
    <n v="316"/>
    <x v="93"/>
    <x v="93"/>
    <x v="85"/>
    <x v="5"/>
    <s v="SHOT XU"/>
    <n v="303"/>
    <s v="Contract: Supply Chain Appendix"/>
    <s v="Supplier"/>
    <m/>
    <x v="113"/>
    <s v="Hanool_Supplier Chain Agreement_17Dec12.pdf"/>
    <s v=".pdf"/>
    <d v="2014-03-14T00:00:00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x v="9"/>
    <x v="1"/>
    <m/>
    <x v="5"/>
  </r>
  <r>
    <n v="591"/>
    <x v="93"/>
    <x v="93"/>
    <x v="85"/>
    <x v="5"/>
    <s v="SHOT XU"/>
    <n v="574"/>
    <s v="Declaration letter of group organization"/>
    <s v="Supplier"/>
    <m/>
    <x v="113"/>
    <s v="Hanool_General Agreement_17Dec12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x v="9"/>
    <x v="1"/>
    <m/>
    <x v="5"/>
  </r>
  <r>
    <n v="318"/>
    <x v="93"/>
    <x v="93"/>
    <x v="85"/>
    <x v="5"/>
    <s v="SHOT XU"/>
    <n v="305"/>
    <s v="Environmental Declaration"/>
    <s v="Supplier"/>
    <m/>
    <x v="113"/>
    <s v="Hanool_Env Declaration_17Dec12.pdf"/>
    <s v=".pdf"/>
    <d v="2014-03-14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5"/>
  </r>
  <r>
    <n v="319"/>
    <x v="93"/>
    <x v="93"/>
    <x v="85"/>
    <x v="5"/>
    <s v="SHOT XU"/>
    <n v="306"/>
    <s v="Exclusivity (EA)"/>
    <s v="Supplier"/>
    <m/>
    <x v="113"/>
    <s v="Hanool_Exclusivity Agreement_17Dec12.pdf"/>
    <s v=".pdf"/>
    <d v="2014-03-1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5"/>
  </r>
  <r>
    <n v="320"/>
    <x v="93"/>
    <x v="93"/>
    <x v="85"/>
    <x v="5"/>
    <s v="SHOT XU"/>
    <n v="307"/>
    <s v="Exclusivity (EA)"/>
    <s v="Supplier"/>
    <m/>
    <x v="448"/>
    <s v="Hanool_Exclusivity Summary 2012-12-28.xlsx"/>
    <s v=".xlsx"/>
    <d v="2014-03-14T00:00:00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5"/>
  </r>
  <r>
    <n v="321"/>
    <x v="93"/>
    <x v="93"/>
    <x v="85"/>
    <x v="5"/>
    <s v="SHOT XU"/>
    <n v="308"/>
    <s v="SIF"/>
    <s v="Supplier"/>
    <m/>
    <x v="268"/>
    <s v="Hanool_SIF_21Nov2012.pdf"/>
    <s v=".pdf"/>
    <d v="2014-03-14T00:00:00"/>
    <s v="as\afok"/>
    <m/>
    <s v="2012"/>
    <x v="0"/>
    <x v="0"/>
    <x v="0"/>
    <x v="0"/>
    <m/>
    <m/>
    <m/>
    <m/>
    <m/>
    <n v="2012"/>
    <m/>
    <n v="4872439"/>
    <n v="3149171"/>
    <n v="3031499.24"/>
    <n v="1225696.22"/>
    <m/>
    <m/>
    <m/>
    <m/>
    <m/>
    <m/>
    <x v="0"/>
    <x v="0"/>
    <x v="0"/>
    <x v="0"/>
    <m/>
    <m/>
    <m/>
    <n v="1"/>
    <m/>
    <m/>
    <s v="FP"/>
    <m/>
    <s v="SP"/>
    <m/>
    <x v="9"/>
    <x v="1"/>
    <m/>
    <x v="5"/>
  </r>
  <r>
    <n v="2407"/>
    <x v="94"/>
    <x v="94"/>
    <x v="86"/>
    <x v="5"/>
    <s v="SHOT XU"/>
    <n v="2348"/>
    <s v="Responsible Purchasing Charter"/>
    <s v="Supplier"/>
    <m/>
    <x v="245"/>
    <s v="Heiger_Responsible Purchaser Charter_10Aug2012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m/>
    <x v="14"/>
    <x v="1"/>
    <m/>
    <x v="28"/>
  </r>
  <r>
    <n v="2408"/>
    <x v="94"/>
    <x v="94"/>
    <x v="86"/>
    <x v="5"/>
    <s v="SHOT XU"/>
    <n v="2349"/>
    <s v="SEF"/>
    <s v="Supplier"/>
    <m/>
    <x v="229"/>
    <s v="HEIGER_SEF_ 2012APR.xlsx"/>
    <s v=".xlsx"/>
    <d v="2014-04-17T00:00:00"/>
    <s v="as\afok"/>
    <m/>
    <s v="2012"/>
    <x v="0"/>
    <x v="0"/>
    <x v="0"/>
    <x v="0"/>
    <m/>
    <m/>
    <m/>
    <m/>
    <n v="61"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m/>
    <x v="14"/>
    <x v="1"/>
    <m/>
    <x v="28"/>
  </r>
  <r>
    <n v="2406"/>
    <x v="94"/>
    <x v="94"/>
    <x v="86"/>
    <x v="5"/>
    <s v="SHOT XU"/>
    <n v="2347"/>
    <s v="SIF"/>
    <s v="Supplier"/>
    <m/>
    <x v="449"/>
    <s v="Heiger_SIF_5May2012.xlsx"/>
    <s v=".xlsx"/>
    <d v="2014-04-17T00:00:00"/>
    <s v="as\afok"/>
    <m/>
    <s v="2012"/>
    <x v="0"/>
    <x v="0"/>
    <x v="0"/>
    <x v="0"/>
    <m/>
    <m/>
    <m/>
    <m/>
    <m/>
    <n v="2012"/>
    <m/>
    <n v="4600"/>
    <n v="4600"/>
    <n v="3600"/>
    <n v="2800"/>
    <m/>
    <n v="5"/>
    <n v="6"/>
    <n v="7"/>
    <n v="5"/>
    <m/>
    <x v="0"/>
    <x v="0"/>
    <x v="0"/>
    <x v="0"/>
    <m/>
    <m/>
    <m/>
    <n v="0"/>
    <m/>
    <m/>
    <s v="FP"/>
    <s v="CP"/>
    <s v="SP"/>
    <m/>
    <x v="14"/>
    <x v="1"/>
    <m/>
    <x v="28"/>
  </r>
  <r>
    <n v="2409"/>
    <x v="94"/>
    <x v="94"/>
    <x v="86"/>
    <x v="5"/>
    <s v="SHOT XU"/>
    <n v="2350"/>
    <s v="SPR"/>
    <s v="Supplier"/>
    <m/>
    <x v="67"/>
    <s v="SPR 2011 VPI visit HEIGER.pptx"/>
    <s v=".pptx"/>
    <d v="2014-04-17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s v="CP"/>
    <s v="SP"/>
    <m/>
    <x v="14"/>
    <x v="1"/>
    <m/>
    <x v="28"/>
  </r>
  <r>
    <n v="1687"/>
    <x v="95"/>
    <x v="95"/>
    <x v="87"/>
    <x v="5"/>
    <s v="JOHN YAN"/>
    <n v="1646"/>
    <s v="Responsible Purchasing Charter"/>
    <s v="Supplier"/>
    <m/>
    <x v="111"/>
    <s v="Heishan_Responsible Purchasing Charter_20140228.pdf"/>
    <s v=".pdf"/>
    <d v="2014-04-0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688"/>
    <x v="95"/>
    <x v="95"/>
    <x v="87"/>
    <x v="5"/>
    <s v="JOHN YAN"/>
    <n v="1647"/>
    <s v="SEF"/>
    <s v="Supplier"/>
    <m/>
    <x v="70"/>
    <s v="Heishan Supplier Evaluation 201112.xlsx"/>
    <s v=".xlsx"/>
    <d v="2014-04-07T00:00:00"/>
    <s v="as\afok"/>
    <m/>
    <s v="2011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689"/>
    <x v="95"/>
    <x v="95"/>
    <x v="87"/>
    <x v="5"/>
    <s v="JOHN YAN"/>
    <n v="1648"/>
    <s v="SIF"/>
    <s v="Supplier"/>
    <m/>
    <x v="450"/>
    <s v="SIF_2010_ZIBO_HEISHAN_GLASS.xls"/>
    <s v=".xls"/>
    <d v="2014-04-07T00:00:00"/>
    <s v="as\afok"/>
    <m/>
    <s v="2010"/>
    <x v="0"/>
    <x v="0"/>
    <x v="0"/>
    <x v="0"/>
    <m/>
    <m/>
    <m/>
    <m/>
    <m/>
    <n v="2010"/>
    <n v="45000000"/>
    <n v="30000000"/>
    <n v="22000000"/>
    <m/>
    <m/>
    <m/>
    <n v="0"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2323"/>
    <x v="96"/>
    <x v="96"/>
    <x v="88"/>
    <x v="1"/>
    <s v="MAY LEE"/>
    <n v="2264"/>
    <s v="Environmental Declaration"/>
    <s v="Supplier"/>
    <m/>
    <x v="451"/>
    <s v="Hengda_Env_Declaration_26Feb2010.xlsx"/>
    <s v=".xlsx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11"/>
  </r>
  <r>
    <n v="2320"/>
    <x v="96"/>
    <x v="96"/>
    <x v="88"/>
    <x v="1"/>
    <s v="MAY LEE"/>
    <n v="2261"/>
    <s v="Responsible Purchasing Charter"/>
    <s v="Supplier"/>
    <m/>
    <x v="51"/>
    <s v="Hengda_Responsible_Purchasing_Charter_03Aug12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11"/>
  </r>
  <r>
    <n v="2321"/>
    <x v="96"/>
    <x v="96"/>
    <x v="88"/>
    <x v="1"/>
    <s v="MAY LEE"/>
    <n v="2262"/>
    <s v="SEF"/>
    <s v="Supplier"/>
    <m/>
    <x v="53"/>
    <s v="Hengda_SEF_2012-1.xlsx"/>
    <s v=".xlsx"/>
    <d v="2014-04-16T00:00:00"/>
    <s v="as\afok"/>
    <m/>
    <s v="2012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11"/>
  </r>
  <r>
    <n v="2319"/>
    <x v="96"/>
    <x v="96"/>
    <x v="88"/>
    <x v="1"/>
    <s v="MAY LEE"/>
    <n v="2260"/>
    <s v="SEF"/>
    <s v="Supplier"/>
    <m/>
    <x v="52"/>
    <s v="Hengda_SEF_2012-2.xlsx"/>
    <s v=".xlsx"/>
    <d v="2014-04-16T00:00:00"/>
    <s v="as\afok"/>
    <m/>
    <s v="2012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11"/>
  </r>
  <r>
    <n v="2322"/>
    <x v="96"/>
    <x v="96"/>
    <x v="88"/>
    <x v="1"/>
    <s v="MAY LEE"/>
    <n v="2263"/>
    <s v="SIF"/>
    <s v="Supplier"/>
    <m/>
    <x v="452"/>
    <s v="HENGDA_SIF_2010.xls"/>
    <s v=".xls"/>
    <d v="2014-04-16T00:00:00"/>
    <s v="as\afok"/>
    <m/>
    <s v="2010"/>
    <x v="0"/>
    <x v="0"/>
    <x v="0"/>
    <x v="0"/>
    <m/>
    <m/>
    <m/>
    <m/>
    <m/>
    <n v="2010"/>
    <n v="2000000"/>
    <n v="1200000"/>
    <n v="1200000"/>
    <m/>
    <m/>
    <m/>
    <n v="10"/>
    <m/>
    <m/>
    <m/>
    <m/>
    <x v="0"/>
    <x v="0"/>
    <x v="0"/>
    <x v="0"/>
    <m/>
    <m/>
    <m/>
    <n v="0"/>
    <m/>
    <m/>
    <m/>
    <s v="CP"/>
    <m/>
    <m/>
    <x v="2"/>
    <x v="1"/>
    <m/>
    <x v="11"/>
  </r>
  <r>
    <n v="1448"/>
    <x v="97"/>
    <x v="97"/>
    <x v="89"/>
    <x v="5"/>
    <s v="JASMINE YANG"/>
    <n v="1412"/>
    <s v="Contract: General Contract"/>
    <s v="Supplier"/>
    <m/>
    <x v="8"/>
    <s v="Henghe_Supply Agreement_8Aug12.pdf"/>
    <s v=".pdf"/>
    <d v="2014-04-02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31"/>
  </r>
  <r>
    <n v="1454"/>
    <x v="97"/>
    <x v="97"/>
    <x v="89"/>
    <x v="5"/>
    <s v="JASMINE YANG"/>
    <n v="1418"/>
    <s v="Contract: General Contract"/>
    <s v="Supplier"/>
    <m/>
    <x v="453"/>
    <s v="Ningbo_Henghe_Purchase_Agreement_2009.pdf"/>
    <s v=".pdf"/>
    <d v="2014-04-02T00:00:00"/>
    <s v="as\afok"/>
    <m/>
    <s v="V5"/>
    <x v="7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31"/>
  </r>
  <r>
    <n v="1442"/>
    <x v="97"/>
    <x v="97"/>
    <x v="89"/>
    <x v="5"/>
    <s v="JASMINE YANG"/>
    <n v="1407"/>
    <s v="Contract: Quality Appendix"/>
    <s v="Supplier"/>
    <m/>
    <x v="281"/>
    <s v="Henghe_Quality Appendix_8Aug2012.pdf"/>
    <s v=".pdf"/>
    <d v="2014-04-02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31"/>
  </r>
  <r>
    <n v="1449"/>
    <x v="97"/>
    <x v="97"/>
    <x v="89"/>
    <x v="5"/>
    <s v="JASMINE YANG"/>
    <n v="1413"/>
    <s v="Contract: Quality Appendix"/>
    <s v="Supplier"/>
    <m/>
    <x v="454"/>
    <s v="Henghe_Supply Agreement_8Aug12.pdf"/>
    <s v=".pdf"/>
    <d v="2014-04-02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31"/>
  </r>
  <r>
    <n v="1455"/>
    <x v="97"/>
    <x v="97"/>
    <x v="89"/>
    <x v="5"/>
    <s v="JASMINE YANG"/>
    <n v="1419"/>
    <s v="Contract: Quality Appendix"/>
    <s v="Supplier"/>
    <m/>
    <x v="455"/>
    <s v="Ningbo_Henghe_Purchase_Agreement_2009.pdf"/>
    <s v=".pdf"/>
    <d v="2014-04-02T00:00:00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n v="1"/>
    <m/>
    <m/>
    <s v="CP"/>
    <m/>
    <m/>
    <x v="2"/>
    <x v="1"/>
    <m/>
    <x v="31"/>
  </r>
  <r>
    <n v="1439"/>
    <x v="97"/>
    <x v="97"/>
    <x v="89"/>
    <x v="5"/>
    <s v="JASMINE YANG"/>
    <n v="1404"/>
    <s v="Contract: Supply Chain Appendix"/>
    <s v="Supplier"/>
    <m/>
    <x v="456"/>
    <s v="Henghe_Supply Chain Appendix V10_27Sep2013 (35D LT 3percent).pdf"/>
    <s v=".pdf"/>
    <d v="2014-04-02T00:00:00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31"/>
  </r>
  <r>
    <n v="1443"/>
    <x v="97"/>
    <x v="97"/>
    <x v="89"/>
    <x v="5"/>
    <s v="JASMINE YANG"/>
    <n v="1408"/>
    <s v="ISO 14001"/>
    <s v="Supplier"/>
    <d v="2011-03-05T00:00:00"/>
    <x v="457"/>
    <s v="Ningbo_Henghe_ISO14001_30Mar2010.pdf"/>
    <s v=".pdf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41"/>
    <x v="97"/>
    <x v="97"/>
    <x v="89"/>
    <x v="5"/>
    <s v="JASMINE YANG"/>
    <n v="1406"/>
    <s v="ISO 14001"/>
    <s v="Supplier"/>
    <d v="2014-03-03T00:00:00"/>
    <x v="458"/>
    <s v="Henghe_ISO14001_3Mar2014.pdf"/>
    <s v=".pdf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46"/>
    <x v="97"/>
    <x v="97"/>
    <x v="89"/>
    <x v="5"/>
    <s v="JASMINE YANG"/>
    <n v="1411"/>
    <s v="LOC (Letter of Confidentiality)"/>
    <s v="Product / Project"/>
    <m/>
    <x v="391"/>
    <s v="LOC_Henghe_Fresh2_Project.pdf"/>
    <s v=".pdf"/>
    <d v="2014-04-02T00:00:00"/>
    <s v="as\afok"/>
    <m/>
    <m/>
    <x v="0"/>
    <x v="0"/>
    <x v="0"/>
    <x v="0"/>
    <s v="Fresh2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44"/>
    <x v="97"/>
    <x v="97"/>
    <x v="89"/>
    <x v="5"/>
    <s v="JASMINE YANG"/>
    <n v="1409"/>
    <s v="LOC (Letter of Confidentiality)"/>
    <s v="Supplier"/>
    <m/>
    <x v="390"/>
    <s v="LOC_Henghe.pdf"/>
    <s v=".pdf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45"/>
    <x v="97"/>
    <x v="97"/>
    <x v="89"/>
    <x v="5"/>
    <s v="JASMINE YANG"/>
    <n v="1410"/>
    <s v="LOC (Letter of Confidentiality)"/>
    <s v="Product / Project"/>
    <m/>
    <x v="389"/>
    <s v="LOC_Henghe_(Nara_project).pdf"/>
    <s v=".pdf"/>
    <d v="2014-04-02T00:00:00"/>
    <s v="as\afok"/>
    <m/>
    <m/>
    <x v="0"/>
    <x v="0"/>
    <x v="0"/>
    <x v="0"/>
    <s v="Nara project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53"/>
    <x v="97"/>
    <x v="97"/>
    <x v="89"/>
    <x v="5"/>
    <s v="JASMINE YANG"/>
    <n v="1417"/>
    <s v="LOC (Letter of Confidentiality)"/>
    <s v="Product / Project"/>
    <m/>
    <x v="391"/>
    <s v="LOC_Henghe_Rome Tokyo_Project.pdf"/>
    <s v=".pdf"/>
    <d v="2014-04-02T00:00:00"/>
    <s v="as\afok"/>
    <m/>
    <m/>
    <x v="0"/>
    <x v="0"/>
    <x v="0"/>
    <x v="0"/>
    <s v="Rome Tokyo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51"/>
    <x v="97"/>
    <x v="97"/>
    <x v="89"/>
    <x v="5"/>
    <s v="JASMINE YANG"/>
    <n v="1415"/>
    <s v="Responsible Purchasing Charter"/>
    <s v="Supplier"/>
    <m/>
    <x v="69"/>
    <s v="Henghe_Responsible Purchasing Charter_9Aug2012.pdf"/>
    <s v=".pdf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50"/>
    <x v="97"/>
    <x v="97"/>
    <x v="89"/>
    <x v="5"/>
    <s v="JASMINE YANG"/>
    <n v="1414"/>
    <s v="SEF"/>
    <s v="Supplier"/>
    <m/>
    <x v="459"/>
    <s v="Henghe_SEF_2012Jun.xlsx"/>
    <s v=".xlsx"/>
    <d v="2014-04-02T00:00:00"/>
    <s v="as\afok"/>
    <m/>
    <s v="2012"/>
    <x v="0"/>
    <x v="0"/>
    <x v="0"/>
    <x v="0"/>
    <m/>
    <m/>
    <m/>
    <m/>
    <n v="74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40"/>
    <x v="97"/>
    <x v="97"/>
    <x v="89"/>
    <x v="5"/>
    <s v="JASMINE YANG"/>
    <n v="1405"/>
    <s v="SIF"/>
    <s v="Supplier"/>
    <m/>
    <x v="460"/>
    <s v="Henghe_SIF_20130614.XLSX"/>
    <s v=".xlsx"/>
    <d v="2014-04-02T00:00:00"/>
    <s v="as\afok"/>
    <m/>
    <s v="2013"/>
    <x v="0"/>
    <x v="0"/>
    <x v="0"/>
    <x v="0"/>
    <m/>
    <m/>
    <m/>
    <m/>
    <m/>
    <n v="2013"/>
    <n v="63000000"/>
    <n v="54810000"/>
    <n v="44620000"/>
    <n v="35200000"/>
    <n v="30800000"/>
    <m/>
    <n v="22.8"/>
    <n v="23.3"/>
    <n v="17.600000000000001"/>
    <n v="11.9"/>
    <s v="CP Panel"/>
    <x v="0"/>
    <x v="0"/>
    <x v="1"/>
    <x v="3"/>
    <m/>
    <m/>
    <m/>
    <n v="1"/>
    <m/>
    <m/>
    <m/>
    <s v="CP"/>
    <m/>
    <m/>
    <x v="2"/>
    <x v="1"/>
    <m/>
    <x v="31"/>
  </r>
  <r>
    <n v="1438"/>
    <x v="97"/>
    <x v="97"/>
    <x v="89"/>
    <x v="5"/>
    <s v="JASMINE YANG"/>
    <n v="1403"/>
    <s v="SPR"/>
    <s v="Supplier"/>
    <m/>
    <x v="461"/>
    <s v="SPR 2013 Henghe.pptx"/>
    <s v=".pptx"/>
    <d v="2014-04-02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452"/>
    <x v="97"/>
    <x v="97"/>
    <x v="89"/>
    <x v="5"/>
    <s v="JASMINE YANG"/>
    <n v="1416"/>
    <s v="SPR"/>
    <s v="Supplier"/>
    <m/>
    <x v="47"/>
    <s v="SPR 2012 Henghe.pptx"/>
    <s v=".pptx"/>
    <d v="2014-04-02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1"/>
  </r>
  <r>
    <n v="1844"/>
    <x v="98"/>
    <x v="98"/>
    <x v="90"/>
    <x v="4"/>
    <s v="MAVERICK LAU"/>
    <n v="1801"/>
    <s v="Contract: General Contract"/>
    <s v="Supplier"/>
    <m/>
    <x v="229"/>
    <s v="Agreement_Hensen_APR12.pdf"/>
    <s v=".pdf"/>
    <d v="2014-04-09T00:00:00"/>
    <s v="as\afok"/>
    <m/>
    <s v="V7"/>
    <x v="11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m/>
    <m/>
    <x v="1"/>
    <x v="1"/>
    <m/>
    <x v="33"/>
  </r>
  <r>
    <n v="1852"/>
    <x v="98"/>
    <x v="98"/>
    <x v="90"/>
    <x v="4"/>
    <s v="MAVERICK LAU"/>
    <n v="1808"/>
    <s v="Contract: General Contract"/>
    <s v="Supplier"/>
    <m/>
    <x v="462"/>
    <s v="Henda_Purchase_Agreement_2008.pdf"/>
    <s v=".pdf"/>
    <d v="2014-04-09T00:00:00"/>
    <s v="as\afok"/>
    <m/>
    <s v="V5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m/>
    <m/>
    <x v="1"/>
    <x v="1"/>
    <m/>
    <x v="33"/>
  </r>
  <r>
    <n v="1846"/>
    <x v="98"/>
    <x v="98"/>
    <x v="90"/>
    <x v="4"/>
    <s v="MAVERICK LAU"/>
    <n v="1803"/>
    <s v="Contract: Quality Appendix"/>
    <s v="Supplier"/>
    <m/>
    <x v="463"/>
    <s v="Agreement_Hensen_APR12.pdf"/>
    <s v=".pdf"/>
    <d v="2014-04-09T00:00:0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s v="CP"/>
    <m/>
    <m/>
    <x v="1"/>
    <x v="1"/>
    <m/>
    <x v="33"/>
  </r>
  <r>
    <n v="1853"/>
    <x v="98"/>
    <x v="98"/>
    <x v="90"/>
    <x v="4"/>
    <s v="MAVERICK LAU"/>
    <n v="1809"/>
    <s v="Contract: Quality Appendix"/>
    <s v="Supplier"/>
    <m/>
    <x v="243"/>
    <s v="Henda_Purchase_Agreement_2008.pdf"/>
    <s v=".pdf"/>
    <d v="2014-04-09T00:00:00"/>
    <s v="as\afok"/>
    <m/>
    <s v="FHA 00 014 ind.07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n v="1"/>
    <m/>
    <s v="FP"/>
    <s v="CP"/>
    <m/>
    <m/>
    <x v="1"/>
    <x v="1"/>
    <m/>
    <x v="33"/>
  </r>
  <r>
    <n v="1847"/>
    <x v="98"/>
    <x v="98"/>
    <x v="90"/>
    <x v="4"/>
    <s v="MAVERICK LAU"/>
    <n v="1804"/>
    <s v="Contract: Supply Chain Appendix"/>
    <s v="Supplier"/>
    <m/>
    <x v="463"/>
    <s v="Agreement_Hensen_APR12.pdf"/>
    <s v=".pdf"/>
    <d v="2014-04-09T00:00:00"/>
    <s v="as\afok"/>
    <m/>
    <m/>
    <x v="0"/>
    <x v="8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s v="CP"/>
    <m/>
    <m/>
    <x v="1"/>
    <x v="1"/>
    <m/>
    <x v="33"/>
  </r>
  <r>
    <n v="1848"/>
    <x v="98"/>
    <x v="98"/>
    <x v="90"/>
    <x v="4"/>
    <s v="MAVERICK LAU"/>
    <n v="1805"/>
    <s v="Declaration letter of group organization"/>
    <s v="Supplier"/>
    <m/>
    <x v="464"/>
    <s v="Agreement_Hensen_APR12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x v="1"/>
    <x v="1"/>
    <m/>
    <x v="33"/>
  </r>
  <r>
    <n v="1849"/>
    <x v="98"/>
    <x v="98"/>
    <x v="90"/>
    <x v="4"/>
    <s v="MAVERICK LAU"/>
    <n v="1799"/>
    <s v="Environmental Declaration"/>
    <s v="Supplier"/>
    <m/>
    <x v="66"/>
    <s v="SUQIAN HENSEN_Env_Declaration_201106.xlsx"/>
    <s v=".xlsx"/>
    <d v="2014-04-09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x v="1"/>
    <x v="1"/>
    <m/>
    <x v="33"/>
  </r>
  <r>
    <n v="1845"/>
    <x v="98"/>
    <x v="98"/>
    <x v="90"/>
    <x v="4"/>
    <s v="MAVERICK LAU"/>
    <n v="1802"/>
    <s v="Environmental Declaration"/>
    <s v="Supplier"/>
    <m/>
    <x v="229"/>
    <s v="Agreement_Hensen_APR12.pdf"/>
    <s v=".pdf"/>
    <d v="2014-04-09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x v="1"/>
    <x v="1"/>
    <m/>
    <x v="33"/>
  </r>
  <r>
    <n v="1843"/>
    <x v="98"/>
    <x v="98"/>
    <x v="90"/>
    <x v="4"/>
    <s v="MAVERICK LAU"/>
    <n v="1800"/>
    <s v="Responsible Purchasing Charter"/>
    <s v="Supplier"/>
    <m/>
    <x v="19"/>
    <s v="HENSEN_Responsible_Purchasing_Charter_07Aug12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x v="1"/>
    <x v="1"/>
    <m/>
    <x v="33"/>
  </r>
  <r>
    <n v="1841"/>
    <x v="98"/>
    <x v="98"/>
    <x v="90"/>
    <x v="4"/>
    <s v="MAVERICK LAU"/>
    <n v="1798"/>
    <s v="SEF"/>
    <s v="Supplier"/>
    <m/>
    <x v="465"/>
    <s v="SEF-Hensen-20121119-74.xls"/>
    <s v=".xls"/>
    <d v="2014-04-09T00:00:00"/>
    <s v="as\afok"/>
    <m/>
    <s v="2012"/>
    <x v="0"/>
    <x v="0"/>
    <x v="0"/>
    <x v="0"/>
    <m/>
    <m/>
    <m/>
    <m/>
    <n v="74"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x v="1"/>
    <x v="1"/>
    <m/>
    <x v="33"/>
  </r>
  <r>
    <n v="1850"/>
    <x v="98"/>
    <x v="98"/>
    <x v="90"/>
    <x v="4"/>
    <s v="MAVERICK LAU"/>
    <n v="1806"/>
    <s v="SEF"/>
    <s v="Supplier"/>
    <m/>
    <x v="393"/>
    <s v="SEF-Hensen-28JUN2012-77.xls"/>
    <s v=".xls"/>
    <d v="2014-04-09T00:00:00"/>
    <s v="as\afok"/>
    <m/>
    <s v="2012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x v="1"/>
    <x v="1"/>
    <m/>
    <x v="33"/>
  </r>
  <r>
    <n v="1840"/>
    <x v="98"/>
    <x v="98"/>
    <x v="90"/>
    <x v="4"/>
    <s v="MAVERICK LAU"/>
    <n v="1797"/>
    <s v="SIF"/>
    <s v="Supplier"/>
    <m/>
    <x v="21"/>
    <s v="Hensen_SIF2013.xls"/>
    <s v=".xls"/>
    <d v="2014-04-09T00:00:00"/>
    <s v="as\afok"/>
    <m/>
    <s v="2013"/>
    <x v="0"/>
    <x v="0"/>
    <x v="0"/>
    <x v="0"/>
    <m/>
    <m/>
    <m/>
    <m/>
    <m/>
    <n v="2013"/>
    <m/>
    <n v="5000000"/>
    <n v="4000000"/>
    <n v="5000000"/>
    <n v="4000000"/>
    <m/>
    <n v="24"/>
    <n v="23"/>
    <n v="23"/>
    <n v="24"/>
    <m/>
    <x v="0"/>
    <x v="0"/>
    <x v="0"/>
    <x v="0"/>
    <m/>
    <m/>
    <m/>
    <n v="1"/>
    <m/>
    <m/>
    <s v="FP"/>
    <s v="CP"/>
    <m/>
    <m/>
    <x v="1"/>
    <x v="1"/>
    <m/>
    <x v="33"/>
  </r>
  <r>
    <n v="1851"/>
    <x v="98"/>
    <x v="98"/>
    <x v="90"/>
    <x v="4"/>
    <s v="MAVERICK LAU"/>
    <n v="1807"/>
    <s v="SPR"/>
    <s v="Supplier"/>
    <m/>
    <x v="466"/>
    <s v="SPR-Hensen-03JUL2012.pdf"/>
    <s v=".pdf"/>
    <d v="2014-04-09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x v="1"/>
    <x v="1"/>
    <m/>
    <x v="33"/>
  </r>
  <r>
    <n v="2331"/>
    <x v="99"/>
    <x v="99"/>
    <x v="91"/>
    <x v="1"/>
    <s v="MAY LEE"/>
    <n v="2272"/>
    <s v="Contract: Quality Appendix"/>
    <s v="Supplier"/>
    <m/>
    <x v="467"/>
    <s v="Hi-Tech_Precision_Quality Appendix_06mar2013.pdf"/>
    <s v=".pdf"/>
    <d v="2014-04-16T00:00:0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0"/>
    <m/>
    <n v="1"/>
    <m/>
    <s v="CP"/>
    <m/>
    <m/>
    <x v="2"/>
    <x v="1"/>
    <m/>
    <x v="34"/>
  </r>
  <r>
    <n v="2326"/>
    <x v="99"/>
    <x v="99"/>
    <x v="91"/>
    <x v="1"/>
    <s v="MAY LEE"/>
    <n v="2267"/>
    <s v="ISO 14001"/>
    <s v="Supplier"/>
    <d v="2012-03-22T00:00:00"/>
    <x v="468"/>
    <s v="HI-TECH_ISO14001_18May2010.jpg"/>
    <s v=".jpg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34"/>
  </r>
  <r>
    <n v="2325"/>
    <x v="99"/>
    <x v="99"/>
    <x v="91"/>
    <x v="1"/>
    <s v="MAY LEE"/>
    <n v="2266"/>
    <s v="ISO 9001"/>
    <s v="Supplier"/>
    <d v="2010-04-19T00:00:00"/>
    <x v="469"/>
    <s v="HI-TECH_ISO9001_18May2010.jpg"/>
    <s v=".jpg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34"/>
  </r>
  <r>
    <n v="2329"/>
    <x v="99"/>
    <x v="99"/>
    <x v="91"/>
    <x v="1"/>
    <s v="MAY LEE"/>
    <n v="2270"/>
    <s v="Responsible Purchasing Charter"/>
    <s v="Supplier"/>
    <m/>
    <x v="154"/>
    <s v="Hi-tech_Responsible Purchasing Charter_17Aug12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34"/>
  </r>
  <r>
    <n v="2330"/>
    <x v="99"/>
    <x v="99"/>
    <x v="91"/>
    <x v="1"/>
    <s v="MAY LEE"/>
    <n v="2271"/>
    <s v="SEF"/>
    <s v="Supplier"/>
    <m/>
    <x v="52"/>
    <s v="Hi-Tech_SEF_2012-2.xlsx"/>
    <s v=".xlsx"/>
    <d v="2014-04-16T00:00:00"/>
    <s v="as\afok"/>
    <m/>
    <s v="2012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34"/>
  </r>
  <r>
    <n v="2327"/>
    <x v="99"/>
    <x v="99"/>
    <x v="91"/>
    <x v="1"/>
    <s v="MAY LEE"/>
    <n v="2268"/>
    <s v="SEF"/>
    <s v="Supplier"/>
    <m/>
    <x v="470"/>
    <s v="Hitech_SEF_Apr2011.xls"/>
    <s v=".xls"/>
    <d v="2014-04-16T00:00:00"/>
    <s v="as\afok"/>
    <m/>
    <s v="2011"/>
    <x v="0"/>
    <x v="0"/>
    <x v="0"/>
    <x v="0"/>
    <m/>
    <m/>
    <m/>
    <m/>
    <n v="64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34"/>
  </r>
  <r>
    <n v="2328"/>
    <x v="99"/>
    <x v="99"/>
    <x v="91"/>
    <x v="1"/>
    <s v="MAY LEE"/>
    <n v="2269"/>
    <s v="SEF"/>
    <s v="Supplier"/>
    <m/>
    <x v="471"/>
    <s v="Hi-Tech_SEF_2012-1.xlsx"/>
    <s v=".xlsx"/>
    <d v="2014-04-16T00:00:00"/>
    <s v="as\afok"/>
    <m/>
    <s v="2012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34"/>
  </r>
  <r>
    <n v="2324"/>
    <x v="99"/>
    <x v="99"/>
    <x v="91"/>
    <x v="1"/>
    <s v="MAY LEE"/>
    <n v="2265"/>
    <s v="SIF"/>
    <s v="Supplier"/>
    <m/>
    <x v="2"/>
    <s v="Hi-Tech_SIF_ 2010.xls"/>
    <s v=".xls"/>
    <d v="2014-04-16T00:00:00"/>
    <s v="as\afok"/>
    <m/>
    <s v="2010"/>
    <x v="0"/>
    <x v="0"/>
    <x v="0"/>
    <x v="0"/>
    <m/>
    <m/>
    <m/>
    <m/>
    <m/>
    <n v="2010"/>
    <n v="2000000"/>
    <n v="1600000"/>
    <n v="1800000"/>
    <n v="2300000"/>
    <m/>
    <m/>
    <n v="5"/>
    <n v="7.7"/>
    <n v="11.3"/>
    <m/>
    <m/>
    <x v="0"/>
    <x v="0"/>
    <x v="0"/>
    <x v="0"/>
    <m/>
    <m/>
    <m/>
    <n v="0"/>
    <m/>
    <m/>
    <m/>
    <s v="CP"/>
    <m/>
    <m/>
    <x v="2"/>
    <x v="1"/>
    <m/>
    <x v="34"/>
  </r>
  <r>
    <n v="20"/>
    <x v="100"/>
    <x v="100"/>
    <x v="92"/>
    <x v="0"/>
    <s v="FELICITY YU"/>
    <n v="16"/>
    <s v="Contract: General Contract"/>
    <s v="Supplier"/>
    <d v="2015-12-04T00:00:00"/>
    <x v="472"/>
    <s v="Hifacer_General Agreement_2012.pdf"/>
    <s v=".pdf"/>
    <d v="2014-03-04T00:00:00"/>
    <s v="as\afok"/>
    <m/>
    <s v="FHA00016 ind.10"/>
    <x v="4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m/>
    <m/>
    <s v="FP"/>
    <m/>
    <m/>
    <s v="MOULD"/>
    <x v="13"/>
    <x v="1"/>
    <m/>
    <x v="0"/>
  </r>
  <r>
    <n v="102"/>
    <x v="100"/>
    <x v="100"/>
    <x v="92"/>
    <x v="0"/>
    <s v="FELICITY YU"/>
    <n v="94"/>
    <s v="Contract: Quality Appendix"/>
    <s v="Supplier"/>
    <m/>
    <x v="447"/>
    <s v="Hifacer_General Agreement_2012.pdf"/>
    <s v=".pdf"/>
    <d v="2014-03-07T00:00:00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1"/>
    <x v="0"/>
    <x v="0"/>
    <m/>
    <n v="1"/>
    <m/>
    <n v="1"/>
    <m/>
    <m/>
    <s v="FP"/>
    <m/>
    <m/>
    <s v="MOULD"/>
    <x v="13"/>
    <x v="1"/>
    <m/>
    <x v="0"/>
  </r>
  <r>
    <n v="101"/>
    <x v="100"/>
    <x v="100"/>
    <x v="92"/>
    <x v="0"/>
    <s v="FELICITY YU"/>
    <n v="93"/>
    <s v="Contract: Supply Chain Appendix"/>
    <s v="Supplier"/>
    <m/>
    <x v="447"/>
    <s v="Hifacer_General Agreement_2012.pdf"/>
    <s v=".pdf"/>
    <d v="2014-03-07T00:00:00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1"/>
    <x v="0"/>
    <x v="0"/>
    <m/>
    <m/>
    <n v="1"/>
    <n v="1"/>
    <m/>
    <m/>
    <s v="FP"/>
    <m/>
    <m/>
    <s v="MOULD"/>
    <x v="13"/>
    <x v="1"/>
    <m/>
    <x v="0"/>
  </r>
  <r>
    <n v="584"/>
    <x v="100"/>
    <x v="100"/>
    <x v="92"/>
    <x v="0"/>
    <s v="FELICITY YU"/>
    <n v="567"/>
    <s v="Declaration letter of group organization"/>
    <s v="Supplier"/>
    <m/>
    <x v="447"/>
    <s v="Hifacer_General Agreement_Jan2012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n v="1"/>
    <m/>
    <s v="FP"/>
    <m/>
    <m/>
    <s v="MOULD"/>
    <x v="13"/>
    <x v="1"/>
    <m/>
    <x v="0"/>
  </r>
  <r>
    <n v="103"/>
    <x v="100"/>
    <x v="100"/>
    <x v="92"/>
    <x v="0"/>
    <s v="FELICITY YU"/>
    <n v="95"/>
    <s v="Environmental Declaration"/>
    <s v="Supplier"/>
    <m/>
    <x v="447"/>
    <s v="Hifacer_General Agreement_2012.pdf"/>
    <s v=".pdf"/>
    <d v="2014-03-07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m/>
    <s v="MOULD"/>
    <x v="13"/>
    <x v="1"/>
    <m/>
    <x v="0"/>
  </r>
  <r>
    <n v="100"/>
    <x v="100"/>
    <x v="100"/>
    <x v="92"/>
    <x v="0"/>
    <s v="FELICITY YU"/>
    <n v="92"/>
    <s v="Foodstuffs declaration"/>
    <s v="Supplier"/>
    <m/>
    <x v="473"/>
    <s v="Hifacer Foodstuffs FRD00069 ind.04 200904.pdf"/>
    <s v=".pdf"/>
    <d v="2014-03-07T00:00:00"/>
    <s v="as\afok"/>
    <m/>
    <s v="FRD00069 ind.04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m/>
    <s v="MOULD"/>
    <x v="13"/>
    <x v="1"/>
    <m/>
    <x v="0"/>
  </r>
  <r>
    <n v="104"/>
    <x v="100"/>
    <x v="100"/>
    <x v="92"/>
    <x v="0"/>
    <s v="FELICITY YU"/>
    <n v="96"/>
    <s v="ISO 14001"/>
    <s v="Supplier"/>
    <d v="2010-11-11T00:00:00"/>
    <x v="474"/>
    <s v="Hifacer_ISO14001_2010.pdf"/>
    <s v=".pdf"/>
    <d v="2014-03-07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m/>
    <s v="MOULD"/>
    <x v="13"/>
    <x v="1"/>
    <m/>
    <x v="0"/>
  </r>
  <r>
    <n v="105"/>
    <x v="100"/>
    <x v="100"/>
    <x v="92"/>
    <x v="0"/>
    <s v="FELICITY YU"/>
    <n v="97"/>
    <s v="Responsible Purchasing Charter"/>
    <s v="Supplier"/>
    <m/>
    <x v="72"/>
    <s v="Hifacer_Responsible Purchasing Charter_24Sep12.pdf"/>
    <s v=".pdf"/>
    <d v="2014-03-07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m/>
    <s v="MOULD"/>
    <x v="13"/>
    <x v="1"/>
    <m/>
    <x v="0"/>
  </r>
  <r>
    <n v="108"/>
    <x v="100"/>
    <x v="100"/>
    <x v="92"/>
    <x v="0"/>
    <s v="FELICITY YU"/>
    <n v="100"/>
    <s v="SEF"/>
    <s v="Supplier"/>
    <m/>
    <x v="245"/>
    <s v="SEF 2012 - Hifacer 20120810.xlsx"/>
    <s v=".xlsx"/>
    <d v="2014-03-07T00:00:00"/>
    <s v="as\afok"/>
    <m/>
    <s v="2012"/>
    <x v="0"/>
    <x v="0"/>
    <x v="0"/>
    <x v="0"/>
    <m/>
    <m/>
    <m/>
    <m/>
    <n v="77"/>
    <m/>
    <m/>
    <m/>
    <m/>
    <m/>
    <m/>
    <m/>
    <m/>
    <m/>
    <m/>
    <m/>
    <s v="FP panel"/>
    <x v="1"/>
    <x v="1"/>
    <x v="0"/>
    <x v="0"/>
    <m/>
    <m/>
    <m/>
    <n v="1"/>
    <m/>
    <m/>
    <s v="FP"/>
    <m/>
    <m/>
    <s v="MOULD"/>
    <x v="13"/>
    <x v="1"/>
    <m/>
    <x v="0"/>
  </r>
  <r>
    <n v="106"/>
    <x v="100"/>
    <x v="100"/>
    <x v="92"/>
    <x v="0"/>
    <s v="FELICITY YU"/>
    <n v="98"/>
    <s v="SIF"/>
    <s v="Supplier"/>
    <m/>
    <x v="475"/>
    <s v="Hifacer_SIF2012_15Feb12.xls"/>
    <s v=".xls"/>
    <d v="2014-03-07T00:00:00"/>
    <s v="as\afok"/>
    <m/>
    <s v="2012"/>
    <x v="0"/>
    <x v="0"/>
    <x v="0"/>
    <x v="0"/>
    <m/>
    <m/>
    <m/>
    <m/>
    <m/>
    <n v="2012"/>
    <n v="40000000"/>
    <n v="38000000"/>
    <n v="36000000"/>
    <n v="41000000"/>
    <n v="40000000"/>
    <n v="7"/>
    <n v="6"/>
    <n v="6"/>
    <n v="5"/>
    <n v="3"/>
    <s v="FP panel"/>
    <x v="1"/>
    <x v="1"/>
    <x v="0"/>
    <x v="0"/>
    <m/>
    <m/>
    <m/>
    <n v="1"/>
    <m/>
    <m/>
    <s v="FP"/>
    <m/>
    <m/>
    <s v="MOULD"/>
    <x v="13"/>
    <x v="1"/>
    <m/>
    <x v="0"/>
  </r>
  <r>
    <n v="107"/>
    <x v="100"/>
    <x v="100"/>
    <x v="92"/>
    <x v="0"/>
    <s v="FELICITY YU"/>
    <n v="99"/>
    <s v="SIF"/>
    <s v="Supplier"/>
    <m/>
    <x v="476"/>
    <s v="Hifacer_SIF 2013.xls"/>
    <s v=".xls"/>
    <d v="2014-03-07T00:00:00"/>
    <s v="as\afok"/>
    <m/>
    <s v="2013"/>
    <x v="0"/>
    <x v="0"/>
    <x v="0"/>
    <x v="0"/>
    <m/>
    <m/>
    <m/>
    <m/>
    <m/>
    <n v="2013"/>
    <n v="43000000"/>
    <n v="41000000"/>
    <n v="38000000"/>
    <n v="36000000"/>
    <n v="41000000"/>
    <n v="5"/>
    <n v="7"/>
    <n v="6"/>
    <n v="6"/>
    <n v="5"/>
    <s v="FP panel"/>
    <x v="1"/>
    <x v="1"/>
    <x v="0"/>
    <x v="0"/>
    <m/>
    <m/>
    <m/>
    <n v="1"/>
    <m/>
    <m/>
    <s v="FP"/>
    <m/>
    <m/>
    <s v="MOULD"/>
    <x v="13"/>
    <x v="1"/>
    <m/>
    <x v="0"/>
  </r>
  <r>
    <n v="109"/>
    <x v="100"/>
    <x v="100"/>
    <x v="92"/>
    <x v="0"/>
    <s v="FELICITY YU"/>
    <n v="101"/>
    <s v="SPR"/>
    <s v="Supplier"/>
    <m/>
    <x v="115"/>
    <s v="SPR - Hifacer_ Oct12.ppt"/>
    <s v=".ppt"/>
    <d v="2014-03-07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m/>
    <s v="MOULD"/>
    <x v="13"/>
    <x v="1"/>
    <m/>
    <x v="0"/>
  </r>
  <r>
    <n v="1024"/>
    <x v="101"/>
    <x v="101"/>
    <x v="93"/>
    <x v="1"/>
    <s v="EVA LAI"/>
    <n v="1001"/>
    <s v="Contract: General Contract"/>
    <s v="Supplier"/>
    <m/>
    <x v="124"/>
    <s v="Hollyland_General Agreement_V7.pdf"/>
    <s v=".pdf"/>
    <d v="2014-03-24T00:00:00"/>
    <s v="as\afok"/>
    <m/>
    <s v="V7"/>
    <x v="7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x v="2"/>
    <x v="1"/>
    <m/>
    <x v="28"/>
  </r>
  <r>
    <n v="1026"/>
    <x v="101"/>
    <x v="101"/>
    <x v="93"/>
    <x v="1"/>
    <s v="EVA LAI"/>
    <n v="1003"/>
    <s v="Contract: Quality Appendix"/>
    <s v="Supplier"/>
    <m/>
    <x v="167"/>
    <s v="Hollyland_General Agreement_V7.pdf"/>
    <s v=".pdf"/>
    <d v="2014-03-24T00:00:0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x v="2"/>
    <x v="1"/>
    <m/>
    <x v="28"/>
  </r>
  <r>
    <n v="1027"/>
    <x v="101"/>
    <x v="101"/>
    <x v="93"/>
    <x v="1"/>
    <s v="EVA LAI"/>
    <n v="1004"/>
    <s v="Contract: Supply Chain Appendix"/>
    <s v="Supplier"/>
    <m/>
    <x v="124"/>
    <s v="Hollyland_General Agreement_V7.pdf"/>
    <s v=".pdf"/>
    <d v="2014-03-24T00:00:00"/>
    <s v="as\afok"/>
    <m/>
    <m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x v="2"/>
    <x v="1"/>
    <m/>
    <x v="28"/>
  </r>
  <r>
    <n v="1028"/>
    <x v="101"/>
    <x v="101"/>
    <x v="93"/>
    <x v="1"/>
    <s v="EVA LAI"/>
    <n v="1005"/>
    <s v="Declaration letter of group organization"/>
    <s v="Supplier"/>
    <m/>
    <x v="124"/>
    <s v="Hollyland_General Agreement_V7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28"/>
  </r>
  <r>
    <n v="1025"/>
    <x v="101"/>
    <x v="101"/>
    <x v="93"/>
    <x v="1"/>
    <s v="EVA LAI"/>
    <n v="1002"/>
    <s v="Environmental Declaration"/>
    <s v="Supplier"/>
    <m/>
    <x v="166"/>
    <s v="Hollyland_General Agreement_V7.pdf"/>
    <s v=".pdf"/>
    <d v="2014-03-24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28"/>
  </r>
  <r>
    <n v="1029"/>
    <x v="101"/>
    <x v="101"/>
    <x v="93"/>
    <x v="1"/>
    <s v="EVA LAI"/>
    <n v="1006"/>
    <s v="Responsible Purchasing Charter"/>
    <s v="Supplier"/>
    <m/>
    <x v="242"/>
    <s v="Hollyland_Responsible_Purchasing_Charter_06Aug12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m/>
    <s v="CP"/>
    <m/>
    <m/>
    <x v="2"/>
    <x v="1"/>
    <m/>
    <x v="28"/>
  </r>
  <r>
    <n v="1023"/>
    <x v="101"/>
    <x v="101"/>
    <x v="93"/>
    <x v="1"/>
    <s v="EVA LAI"/>
    <n v="1000"/>
    <s v="SEF"/>
    <s v="Supplier"/>
    <m/>
    <x v="89"/>
    <s v="Hollyland_SEF_2012.xlsx"/>
    <s v=".xlsx"/>
    <d v="2014-03-24T00:00:00"/>
    <s v="as\afok"/>
    <m/>
    <s v="2012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28"/>
  </r>
  <r>
    <n v="1022"/>
    <x v="101"/>
    <x v="101"/>
    <x v="93"/>
    <x v="1"/>
    <s v="EVA LAI"/>
    <n v="999"/>
    <s v="SIF"/>
    <s v="Supplier"/>
    <m/>
    <x v="477"/>
    <s v="Hollyland_SIF 2013.xlsx"/>
    <s v=".xlsx"/>
    <d v="2014-03-24T00:00:00"/>
    <s v="as\afok"/>
    <m/>
    <s v="2013"/>
    <x v="0"/>
    <x v="0"/>
    <x v="0"/>
    <x v="0"/>
    <m/>
    <m/>
    <m/>
    <m/>
    <m/>
    <n v="2013"/>
    <n v="25000000"/>
    <n v="23000000"/>
    <n v="19000000"/>
    <n v="18000000"/>
    <n v="16000000"/>
    <m/>
    <m/>
    <m/>
    <m/>
    <m/>
    <m/>
    <x v="0"/>
    <x v="0"/>
    <x v="0"/>
    <x v="0"/>
    <m/>
    <m/>
    <m/>
    <n v="1"/>
    <m/>
    <m/>
    <m/>
    <s v="CP"/>
    <m/>
    <m/>
    <x v="2"/>
    <x v="1"/>
    <m/>
    <x v="28"/>
  </r>
  <r>
    <n v="2594"/>
    <x v="102"/>
    <x v="102"/>
    <x v="94"/>
    <x v="0"/>
    <s v="KITTY LAI"/>
    <n v="2443"/>
    <s v="Contract: General Contract"/>
    <s v="Supplier"/>
    <m/>
    <x v="478"/>
    <s v="Homewell_General Agreement_28Nov2011.pdf"/>
    <s v=".pdf"/>
    <d v="2014-04-23T00:00:00"/>
    <s v="as\afok"/>
    <m/>
    <s v="FHA 00 016 ind.10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s v="CP"/>
    <m/>
    <s v="MOULD"/>
    <x v="10"/>
    <x v="1"/>
    <m/>
    <x v="15"/>
  </r>
  <r>
    <n v="2597"/>
    <x v="102"/>
    <x v="102"/>
    <x v="94"/>
    <x v="0"/>
    <s v="KITTY LAI"/>
    <n v="2446"/>
    <s v="Contract: Quality Appendix"/>
    <s v="Supplier"/>
    <m/>
    <x v="479"/>
    <s v="Homewell_General Agreement_28Nov2011.pdf"/>
    <s v=".pdf"/>
    <d v="2014-04-23T00:00:00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m/>
    <m/>
    <s v="FP"/>
    <s v="CP"/>
    <m/>
    <s v="MOULD"/>
    <x v="10"/>
    <x v="1"/>
    <m/>
    <x v="15"/>
  </r>
  <r>
    <n v="2596"/>
    <x v="102"/>
    <x v="102"/>
    <x v="94"/>
    <x v="0"/>
    <s v="KITTY LAI"/>
    <n v="2445"/>
    <s v="Contract: Supply Chain Appendix"/>
    <s v="Supplier"/>
    <m/>
    <x v="480"/>
    <s v="Homewell_General Agreement_28Nov2011.pdf"/>
    <s v=".pdf"/>
    <d v="2014-04-23T00:00:00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2"/>
    <x v="0"/>
    <x v="0"/>
    <m/>
    <m/>
    <n v="1"/>
    <n v="1"/>
    <m/>
    <m/>
    <s v="FP"/>
    <s v="CP"/>
    <m/>
    <s v="MOULD"/>
    <x v="10"/>
    <x v="1"/>
    <m/>
    <x v="15"/>
  </r>
  <r>
    <n v="2598"/>
    <x v="102"/>
    <x v="102"/>
    <x v="94"/>
    <x v="0"/>
    <s v="KITTY LAI"/>
    <n v="2447"/>
    <s v="Declaration letter of group organization"/>
    <s v="Supplier"/>
    <m/>
    <x v="480"/>
    <s v="Homewell_General Agreement_28Nov2011.pdf"/>
    <s v=".pdf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x v="10"/>
    <x v="1"/>
    <m/>
    <x v="15"/>
  </r>
  <r>
    <n v="2595"/>
    <x v="102"/>
    <x v="102"/>
    <x v="94"/>
    <x v="0"/>
    <s v="KITTY LAI"/>
    <n v="2444"/>
    <s v="Environmental Declaration"/>
    <s v="Supplier"/>
    <m/>
    <x v="480"/>
    <s v="Homewell_General Agreement_28Nov2011.pdf"/>
    <s v=".pdf"/>
    <d v="2014-04-23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x v="10"/>
    <x v="1"/>
    <m/>
    <x v="15"/>
  </r>
  <r>
    <n v="2600"/>
    <x v="102"/>
    <x v="102"/>
    <x v="94"/>
    <x v="0"/>
    <s v="KITTY LAI"/>
    <n v="2449"/>
    <s v="Responsible Purchasing Charter"/>
    <s v="Supplier"/>
    <m/>
    <x v="481"/>
    <s v="Homewell_Responsible Purchasing Charter_9Oct12.pdf"/>
    <s v=".pdf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x v="10"/>
    <x v="1"/>
    <m/>
    <x v="15"/>
  </r>
  <r>
    <n v="2603"/>
    <x v="102"/>
    <x v="102"/>
    <x v="94"/>
    <x v="0"/>
    <s v="KITTY LAI"/>
    <n v="2452"/>
    <s v="SEF"/>
    <s v="Supplier"/>
    <m/>
    <x v="337"/>
    <s v="SEF 2012 - Homewell.xlsx"/>
    <s v=".xlsx"/>
    <d v="2014-04-23T00:00:00"/>
    <s v="as\afok"/>
    <m/>
    <s v="2012"/>
    <x v="0"/>
    <x v="0"/>
    <x v="0"/>
    <x v="0"/>
    <m/>
    <m/>
    <m/>
    <m/>
    <n v="81"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x v="10"/>
    <x v="1"/>
    <m/>
    <x v="15"/>
  </r>
  <r>
    <n v="2593"/>
    <x v="102"/>
    <x v="102"/>
    <x v="94"/>
    <x v="0"/>
    <s v="KITTY LAI"/>
    <n v="2442"/>
    <s v="SEF"/>
    <s v="Supplier"/>
    <m/>
    <x v="248"/>
    <s v="SEF - Homewell 2013.xlsx"/>
    <s v=".xlsx"/>
    <d v="2014-04-23T00:00:00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x v="10"/>
    <x v="1"/>
    <m/>
    <x v="15"/>
  </r>
  <r>
    <n v="2599"/>
    <x v="102"/>
    <x v="102"/>
    <x v="94"/>
    <x v="0"/>
    <s v="KITTY LAI"/>
    <n v="2448"/>
    <s v="SIF"/>
    <s v="Supplier"/>
    <m/>
    <x v="150"/>
    <s v="HOMEWELL_SIF2012_10Apr12.xls"/>
    <s v=".xls"/>
    <d v="2014-04-23T00:00:00"/>
    <s v="as\afok"/>
    <m/>
    <s v="2012"/>
    <x v="0"/>
    <x v="0"/>
    <x v="0"/>
    <x v="0"/>
    <m/>
    <m/>
    <m/>
    <m/>
    <m/>
    <n v="2012"/>
    <n v="28000000"/>
    <n v="28000000"/>
    <n v="28000000"/>
    <n v="25000000"/>
    <n v="50000000"/>
    <n v="10"/>
    <n v="5"/>
    <n v="10"/>
    <n v="20"/>
    <n v="28"/>
    <s v="FP panel"/>
    <x v="1"/>
    <x v="2"/>
    <x v="0"/>
    <x v="0"/>
    <m/>
    <m/>
    <m/>
    <n v="1"/>
    <m/>
    <m/>
    <s v="FP"/>
    <s v="CP"/>
    <m/>
    <s v="MOULD"/>
    <x v="10"/>
    <x v="1"/>
    <m/>
    <x v="15"/>
  </r>
  <r>
    <n v="2604"/>
    <x v="102"/>
    <x v="102"/>
    <x v="94"/>
    <x v="0"/>
    <s v="KITTY LAI"/>
    <n v="2453"/>
    <s v="SIF"/>
    <s v="Supplier"/>
    <m/>
    <x v="482"/>
    <s v="Homewell_SIF 2013.xls"/>
    <s v=".xls"/>
    <d v="2014-04-23T00:00:00"/>
    <s v="as\afok"/>
    <m/>
    <s v="2013"/>
    <x v="0"/>
    <x v="0"/>
    <x v="0"/>
    <x v="0"/>
    <m/>
    <m/>
    <m/>
    <m/>
    <m/>
    <n v="2013"/>
    <n v="26000000"/>
    <n v="26000000"/>
    <n v="28000000"/>
    <n v="25000000"/>
    <n v="25000000"/>
    <n v="10"/>
    <n v="4"/>
    <n v="5"/>
    <n v="10"/>
    <n v="20"/>
    <s v="FP panel"/>
    <x v="1"/>
    <x v="2"/>
    <x v="0"/>
    <x v="0"/>
    <m/>
    <m/>
    <m/>
    <n v="1"/>
    <n v="1"/>
    <m/>
    <s v="FP"/>
    <s v="CP"/>
    <m/>
    <s v="MOULD"/>
    <x v="10"/>
    <x v="1"/>
    <m/>
    <x v="15"/>
  </r>
  <r>
    <n v="2601"/>
    <x v="102"/>
    <x v="102"/>
    <x v="94"/>
    <x v="0"/>
    <s v="KITTY LAI"/>
    <n v="2450"/>
    <s v="SPR"/>
    <s v="Supplier"/>
    <m/>
    <x v="483"/>
    <s v="SPR - Homewell 2012 12-04-15.ppt"/>
    <s v=".ppt"/>
    <d v="2014-04-23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x v="10"/>
    <x v="1"/>
    <m/>
    <x v="15"/>
  </r>
  <r>
    <n v="2602"/>
    <x v="102"/>
    <x v="102"/>
    <x v="94"/>
    <x v="0"/>
    <s v="KITTY LAI"/>
    <n v="2451"/>
    <s v="SPR"/>
    <s v="Supplier"/>
    <m/>
    <x v="223"/>
    <s v="SPR - Homewell 2012.ppt"/>
    <s v=".ppt"/>
    <d v="2014-04-23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x v="10"/>
    <x v="1"/>
    <m/>
    <x v="15"/>
  </r>
  <r>
    <n v="21"/>
    <x v="103"/>
    <x v="103"/>
    <x v="95"/>
    <x v="3"/>
    <s v="WENDY HO"/>
    <n v="17"/>
    <s v="Contract: General Contract"/>
    <s v="Supplier"/>
    <d v="2015-12-31T00:00:00"/>
    <x v="484"/>
    <s v="HZ supply agreement 2013.pdf"/>
    <s v=".pdf"/>
    <d v="2014-03-04T00:00:00"/>
    <s v="as\afok"/>
    <m/>
    <s v="FHA00016 ind.11"/>
    <x v="11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n v="1"/>
    <m/>
    <m/>
    <n v="1"/>
    <m/>
    <m/>
    <s v="FP"/>
    <m/>
    <s v="SP"/>
    <s v="MOULD"/>
    <x v="4"/>
    <x v="1"/>
    <n v="1"/>
    <x v="12"/>
  </r>
  <r>
    <n v="111"/>
    <x v="103"/>
    <x v="103"/>
    <x v="95"/>
    <x v="3"/>
    <s v="WENDY HO"/>
    <n v="103"/>
    <s v="Contract: Quality Appendix"/>
    <s v="Supplier"/>
    <m/>
    <x v="222"/>
    <s v="HZ supply agreement 2013.pdf"/>
    <s v=".pdf"/>
    <d v="2014-03-07T00:00:00"/>
    <s v="as\afok"/>
    <m/>
    <m/>
    <x v="0"/>
    <x v="0"/>
    <x v="0"/>
    <x v="8"/>
    <m/>
    <m/>
    <m/>
    <m/>
    <m/>
    <m/>
    <m/>
    <m/>
    <m/>
    <m/>
    <m/>
    <m/>
    <m/>
    <m/>
    <m/>
    <m/>
    <s v="FP panel Top 15"/>
    <x v="1"/>
    <x v="1"/>
    <x v="0"/>
    <x v="0"/>
    <m/>
    <n v="1"/>
    <m/>
    <n v="1"/>
    <m/>
    <m/>
    <s v="FP"/>
    <m/>
    <s v="SP"/>
    <s v="MOULD"/>
    <x v="4"/>
    <x v="1"/>
    <n v="1"/>
    <x v="12"/>
  </r>
  <r>
    <n v="110"/>
    <x v="103"/>
    <x v="103"/>
    <x v="95"/>
    <x v="3"/>
    <s v="WENDY HO"/>
    <n v="102"/>
    <s v="Contract: Supply Chain Appendix"/>
    <s v="Supplier"/>
    <m/>
    <x v="124"/>
    <s v="HZ supply agreement 2013.pdf"/>
    <s v=".pdf"/>
    <d v="2014-03-07T00:00:00"/>
    <s v="as\afok"/>
    <m/>
    <m/>
    <x v="0"/>
    <x v="4"/>
    <x v="2"/>
    <x v="0"/>
    <m/>
    <m/>
    <m/>
    <m/>
    <m/>
    <m/>
    <m/>
    <m/>
    <m/>
    <m/>
    <m/>
    <m/>
    <m/>
    <m/>
    <m/>
    <m/>
    <s v="FP panel Top 15"/>
    <x v="1"/>
    <x v="1"/>
    <x v="0"/>
    <x v="0"/>
    <m/>
    <m/>
    <n v="1"/>
    <n v="1"/>
    <m/>
    <m/>
    <s v="FP"/>
    <m/>
    <s v="SP"/>
    <s v="MOULD"/>
    <x v="4"/>
    <x v="1"/>
    <n v="1"/>
    <x v="12"/>
  </r>
  <r>
    <n v="582"/>
    <x v="103"/>
    <x v="103"/>
    <x v="95"/>
    <x v="3"/>
    <s v="WENDY HO"/>
    <n v="565"/>
    <s v="Declaration letter of group organization"/>
    <s v="Supplier"/>
    <m/>
    <x v="472"/>
    <s v="HZ supply agreement 2013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n v="1"/>
    <m/>
    <s v="FP"/>
    <m/>
    <s v="SP"/>
    <s v="MOULD"/>
    <x v="4"/>
    <x v="1"/>
    <n v="1"/>
    <x v="12"/>
  </r>
  <r>
    <n v="112"/>
    <x v="103"/>
    <x v="103"/>
    <x v="95"/>
    <x v="3"/>
    <s v="WENDY HO"/>
    <n v="104"/>
    <s v="Environmental Declaration"/>
    <s v="Supplier"/>
    <m/>
    <x v="124"/>
    <s v="HZ supply agreement 2013.pdf"/>
    <s v=".pdf"/>
    <d v="2014-03-07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27"/>
    <x v="103"/>
    <x v="103"/>
    <x v="95"/>
    <x v="3"/>
    <s v="WENDY HO"/>
    <n v="119"/>
    <s v="Environmental Declaration"/>
    <s v="Supplier"/>
    <m/>
    <x v="345"/>
    <s v="HOMEZEST_Env_Declaration_20100402.xls"/>
    <s v=".xls"/>
    <d v="2014-03-07T00:00:00"/>
    <s v="as\afok"/>
    <m/>
    <s v="2010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13"/>
    <x v="103"/>
    <x v="103"/>
    <x v="95"/>
    <x v="3"/>
    <s v="WENDY HO"/>
    <n v="105"/>
    <s v="Exclusivity (EA)"/>
    <s v="Product / Project"/>
    <m/>
    <x v="485"/>
    <s v="Busan CM316 - EA-completed.pdf"/>
    <s v=".pdf"/>
    <d v="2014-03-07T00:00:00"/>
    <s v="as\afok"/>
    <s v="_x000d__x000a_"/>
    <m/>
    <x v="0"/>
    <x v="0"/>
    <x v="0"/>
    <x v="0"/>
    <s v="Busan CM316"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23"/>
    <x v="103"/>
    <x v="103"/>
    <x v="95"/>
    <x v="3"/>
    <s v="WENDY HO"/>
    <n v="115"/>
    <s v="Exclusivity (EA)"/>
    <s v="Supplier"/>
    <m/>
    <x v="486"/>
    <s v="Homezest Exclusivity Summary 2013-04-17.xlsx"/>
    <s v=".xlsx"/>
    <d v="2014-03-07T00:00:00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28"/>
    <x v="103"/>
    <x v="103"/>
    <x v="95"/>
    <x v="3"/>
    <s v="WENDY HO"/>
    <n v="120"/>
    <s v="Exclusivity (EA)"/>
    <s v="Supplier"/>
    <m/>
    <x v="487"/>
    <s v="Homezest_Exclusivity_Summary_2013-09-10.xlsx"/>
    <s v=".xlsx"/>
    <d v="2014-03-07T00:00:00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17"/>
    <x v="103"/>
    <x v="103"/>
    <x v="95"/>
    <x v="3"/>
    <s v="WENDY HO"/>
    <n v="109"/>
    <s v="Exclusivity (EA)"/>
    <s v="Product / Project"/>
    <m/>
    <x v="310"/>
    <s v="Gran Perfectta SE320-EA-completed.pdf"/>
    <s v=".pdf"/>
    <d v="2014-03-07T00:00:00"/>
    <s v="as\afok"/>
    <m/>
    <m/>
    <x v="0"/>
    <x v="0"/>
    <x v="0"/>
    <x v="0"/>
    <s v="Gran Perfectta SE320"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19"/>
    <x v="103"/>
    <x v="103"/>
    <x v="95"/>
    <x v="3"/>
    <s v="WENDY HO"/>
    <n v="111"/>
    <s v="Exclusivity (EA)"/>
    <s v="Product / Project"/>
    <m/>
    <x v="488"/>
    <s v="Gran Perfectta SS - EA completed.pdf"/>
    <s v=".pdf"/>
    <d v="2014-03-07T00:00:00"/>
    <s v="as\afok"/>
    <s v="_x000d__x000a_"/>
    <m/>
    <x v="0"/>
    <x v="0"/>
    <x v="0"/>
    <x v="0"/>
    <s v="Gran Perfectta SS"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29"/>
    <x v="103"/>
    <x v="103"/>
    <x v="95"/>
    <x v="3"/>
    <s v="WENDY HO"/>
    <n v="121"/>
    <s v="Exclusivity (EA)"/>
    <s v="Supplier"/>
    <m/>
    <x v="489"/>
    <s v="Homezest_Exclusivity_Summary_2013-10-18.xlsx"/>
    <s v=".xlsx"/>
    <d v="2014-03-07T00:00:00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15"/>
    <x v="103"/>
    <x v="103"/>
    <x v="95"/>
    <x v="3"/>
    <s v="WENDY HO"/>
    <n v="107"/>
    <s v="Exclusivity (EA)"/>
    <s v="Product / Project"/>
    <m/>
    <x v="310"/>
    <s v="CM309-EA-completed.pdf"/>
    <s v=".pdf"/>
    <d v="2014-03-07T00:00:00"/>
    <s v="as\afok"/>
    <s v="_x000d__x000a_"/>
    <m/>
    <x v="0"/>
    <x v="0"/>
    <x v="0"/>
    <x v="0"/>
    <s v="CM309"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22"/>
    <x v="103"/>
    <x v="103"/>
    <x v="95"/>
    <x v="3"/>
    <s v="WENDY HO"/>
    <n v="114"/>
    <s v="Exclusivity (EA)"/>
    <s v="Supplier"/>
    <m/>
    <x v="490"/>
    <s v="Homezest Exclusivity Summary 2013-03-08.xlsx"/>
    <s v=".xlsx"/>
    <d v="2014-03-07T00:00:00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14"/>
    <x v="103"/>
    <x v="103"/>
    <x v="95"/>
    <x v="3"/>
    <s v="WENDY HO"/>
    <n v="106"/>
    <s v="IP (Intellectual Property)"/>
    <s v="Product / Project"/>
    <m/>
    <x v="122"/>
    <s v="Busan CM316 - IPA-completed.pdf"/>
    <s v=".pdf"/>
    <d v="2014-03-07T00:00:00"/>
    <s v="as\afok"/>
    <m/>
    <m/>
    <x v="0"/>
    <x v="0"/>
    <x v="0"/>
    <x v="0"/>
    <s v="Busan CM316"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20"/>
    <x v="103"/>
    <x v="103"/>
    <x v="95"/>
    <x v="3"/>
    <s v="WENDY HO"/>
    <n v="112"/>
    <s v="IP (Intellectual Property)"/>
    <s v="Product / Project"/>
    <m/>
    <x v="488"/>
    <s v="Gran Perfectta SS - IPA completed.pdf"/>
    <s v=".pdf"/>
    <d v="2014-03-07T00:00:00"/>
    <s v="as\afok"/>
    <s v="_x000d__x000a_"/>
    <m/>
    <x v="0"/>
    <x v="0"/>
    <x v="0"/>
    <x v="0"/>
    <s v="Gran Perfectta SS"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18"/>
    <x v="103"/>
    <x v="103"/>
    <x v="95"/>
    <x v="3"/>
    <s v="WENDY HO"/>
    <n v="110"/>
    <s v="IP (Intellectual Property)"/>
    <s v="Product / Project"/>
    <m/>
    <x v="310"/>
    <s v="Gran Perfectta SE320-IPA-completed.pdf"/>
    <s v=".pdf"/>
    <d v="2014-03-07T00:00:00"/>
    <s v="as\afok"/>
    <s v="_x000d__x000a_"/>
    <m/>
    <x v="0"/>
    <x v="0"/>
    <x v="0"/>
    <x v="0"/>
    <s v="Gran Perfectta SE320"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16"/>
    <x v="103"/>
    <x v="103"/>
    <x v="95"/>
    <x v="3"/>
    <s v="WENDY HO"/>
    <n v="108"/>
    <s v="IP (Intellectual Property)"/>
    <s v="Product / Project"/>
    <m/>
    <x v="310"/>
    <s v="CM309-IPA-completed.pdf"/>
    <s v=".pdf"/>
    <d v="2014-03-07T00:00:00"/>
    <s v="as\afok"/>
    <s v="_x000d__x000a_"/>
    <m/>
    <x v="0"/>
    <x v="0"/>
    <x v="0"/>
    <x v="0"/>
    <s v="CM309"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24"/>
    <x v="103"/>
    <x v="103"/>
    <x v="95"/>
    <x v="3"/>
    <s v="WENDY HO"/>
    <n v="116"/>
    <s v="ISO 14001"/>
    <s v="Supplier"/>
    <d v="2013-06-07T00:00:00"/>
    <x v="491"/>
    <s v="Homezest ISO9001 and ISO14001 7Jun2013.pdf"/>
    <s v=".pdf"/>
    <d v="2014-03-07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25"/>
    <x v="103"/>
    <x v="103"/>
    <x v="95"/>
    <x v="3"/>
    <s v="WENDY HO"/>
    <n v="117"/>
    <s v="ISO 9001"/>
    <s v="Supplier"/>
    <d v="2013-06-07T00:00:00"/>
    <x v="491"/>
    <s v="Homezest ISO9001 and ISO14001 7Jun2013.pdf"/>
    <s v=".pdf"/>
    <d v="2014-03-07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33"/>
    <x v="103"/>
    <x v="103"/>
    <x v="95"/>
    <x v="3"/>
    <s v="WENDY HO"/>
    <n v="125"/>
    <s v="Other business certifications (ex : FSC for Packaging)"/>
    <s v="Supplier"/>
    <m/>
    <x v="477"/>
    <s v="SE309 ID register agreement.pdf"/>
    <s v=".pdf"/>
    <d v="2014-03-07T00:00:00"/>
    <s v="as\afok"/>
    <s v="Register Agreement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21"/>
    <x v="103"/>
    <x v="103"/>
    <x v="95"/>
    <x v="3"/>
    <s v="WENDY HO"/>
    <n v="113"/>
    <s v="Responsible Purchasing Charter"/>
    <s v="Supplier"/>
    <m/>
    <x v="205"/>
    <s v="Homezest - Responsible Purchasing Charter.pdf"/>
    <s v=".pdf"/>
    <d v="2014-03-07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26"/>
    <x v="103"/>
    <x v="103"/>
    <x v="95"/>
    <x v="3"/>
    <s v="WENDY HO"/>
    <n v="118"/>
    <s v="SEF"/>
    <s v="Supplier"/>
    <m/>
    <x v="222"/>
    <s v="HOMEZEST__SEF_Dec_2012.xlsx"/>
    <s v=".xlsx"/>
    <d v="2014-03-07T00:00:00"/>
    <s v="as\afok"/>
    <m/>
    <s v="2012"/>
    <x v="0"/>
    <x v="0"/>
    <x v="0"/>
    <x v="0"/>
    <m/>
    <m/>
    <m/>
    <m/>
    <n v="62"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30"/>
    <x v="103"/>
    <x v="103"/>
    <x v="95"/>
    <x v="3"/>
    <s v="WENDY HO"/>
    <n v="122"/>
    <s v="SIF"/>
    <s v="Supplier"/>
    <m/>
    <x v="492"/>
    <s v="HOMEZEST_SIF 20120308.xlsx"/>
    <s v=".xlsx"/>
    <d v="2014-03-07T00:00:00"/>
    <s v="as\afok"/>
    <m/>
    <s v="2012"/>
    <x v="0"/>
    <x v="0"/>
    <x v="0"/>
    <x v="0"/>
    <m/>
    <m/>
    <m/>
    <m/>
    <m/>
    <n v="2012"/>
    <n v="52000000"/>
    <n v="40000000"/>
    <n v="25000000"/>
    <n v="24000000"/>
    <n v="16700000"/>
    <n v="35"/>
    <n v="40"/>
    <n v="54"/>
    <n v="39"/>
    <n v="40"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31"/>
    <x v="103"/>
    <x v="103"/>
    <x v="95"/>
    <x v="3"/>
    <s v="WENDY HO"/>
    <n v="123"/>
    <s v="SIF"/>
    <s v="Supplier"/>
    <m/>
    <x v="287"/>
    <s v="Homezest-SIF 2013.xlsx"/>
    <s v=".xlsx"/>
    <d v="2014-03-07T00:00:00"/>
    <s v="as\afok"/>
    <m/>
    <s v="2013"/>
    <x v="0"/>
    <x v="0"/>
    <x v="0"/>
    <x v="0"/>
    <m/>
    <m/>
    <m/>
    <m/>
    <m/>
    <n v="2013"/>
    <n v="33000000"/>
    <n v="24800000"/>
    <n v="25000000"/>
    <n v="24000000"/>
    <n v="16700000"/>
    <n v="42"/>
    <n v="48"/>
    <n v="54"/>
    <n v="39"/>
    <n v="40"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132"/>
    <x v="103"/>
    <x v="103"/>
    <x v="95"/>
    <x v="3"/>
    <s v="WENDY HO"/>
    <n v="124"/>
    <s v="SPR"/>
    <s v="Supplier"/>
    <m/>
    <x v="201"/>
    <s v="Homzest-SPR-Dec2012.PPT"/>
    <s v=".ppt"/>
    <d v="2014-03-07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2"/>
  </r>
  <r>
    <n v="2213"/>
    <x v="104"/>
    <x v="104"/>
    <x v="96"/>
    <x v="4"/>
    <s v="WILLIAM TSANG"/>
    <n v="2155"/>
    <s v="Contract: General Contract"/>
    <s v="Supplier"/>
    <m/>
    <x v="493"/>
    <s v="Wencan_agreement_Jul12.pdf"/>
    <s v=".pdf"/>
    <d v="2014-04-15T00:00:00"/>
    <s v="as\afok"/>
    <s v="payment term: 50 days end of month"/>
    <s v="V7"/>
    <x v="9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x v="2"/>
    <x v="1"/>
    <m/>
    <x v="2"/>
  </r>
  <r>
    <n v="2208"/>
    <x v="104"/>
    <x v="104"/>
    <x v="96"/>
    <x v="4"/>
    <s v="WILLIAM TSANG"/>
    <n v="2150"/>
    <s v="Contract: General Contract"/>
    <s v="Supplier"/>
    <m/>
    <x v="301"/>
    <s v="Hong_Bang_Purchase_Agreement_2008.pdf"/>
    <s v=".pdf"/>
    <d v="2014-04-15T00:00:00"/>
    <s v="as\afok"/>
    <m/>
    <s v="V5"/>
    <x v="1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x v="2"/>
    <x v="1"/>
    <m/>
    <x v="2"/>
  </r>
  <r>
    <n v="2209"/>
    <x v="104"/>
    <x v="104"/>
    <x v="96"/>
    <x v="4"/>
    <s v="WILLIAM TSANG"/>
    <n v="2151"/>
    <s v="Contract: Quality Appendix"/>
    <s v="Supplier"/>
    <m/>
    <x v="301"/>
    <s v="Hong_Bang_Purchase_Agreement_2008.pdf"/>
    <s v=".pdf"/>
    <d v="2014-04-15T00:00:00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x v="2"/>
    <x v="1"/>
    <m/>
    <x v="2"/>
  </r>
  <r>
    <n v="2215"/>
    <x v="104"/>
    <x v="104"/>
    <x v="96"/>
    <x v="4"/>
    <s v="WILLIAM TSANG"/>
    <n v="2157"/>
    <s v="Contract: Quality Appendix"/>
    <s v="Supplier"/>
    <m/>
    <x v="493"/>
    <s v="Wencan_agreement_Jul12.pdf"/>
    <s v=".pdf"/>
    <d v="2014-04-15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x v="2"/>
    <x v="1"/>
    <m/>
    <x v="2"/>
  </r>
  <r>
    <n v="2223"/>
    <x v="104"/>
    <x v="104"/>
    <x v="96"/>
    <x v="4"/>
    <s v="WILLIAM TSANG"/>
    <n v="2165"/>
    <s v="Contract: Supply Chain Appendix"/>
    <s v="Supplier"/>
    <m/>
    <x v="494"/>
    <s v="Supply_Chain_AppendixV.10_Wencan_20Aug2013.pdf"/>
    <s v=".pdf"/>
    <d v="2014-04-15T00:00:00"/>
    <s v="as\afok"/>
    <m/>
    <s v="V10"/>
    <x v="0"/>
    <x v="12"/>
    <x v="2"/>
    <x v="0"/>
    <m/>
    <m/>
    <m/>
    <m/>
    <m/>
    <m/>
    <m/>
    <m/>
    <m/>
    <m/>
    <m/>
    <m/>
    <m/>
    <m/>
    <m/>
    <m/>
    <s v="CP Panel"/>
    <x v="0"/>
    <x v="0"/>
    <x v="1"/>
    <x v="2"/>
    <m/>
    <m/>
    <n v="1"/>
    <n v="1"/>
    <n v="1"/>
    <m/>
    <m/>
    <s v="CP"/>
    <m/>
    <m/>
    <x v="2"/>
    <x v="1"/>
    <m/>
    <x v="2"/>
  </r>
  <r>
    <n v="2216"/>
    <x v="104"/>
    <x v="104"/>
    <x v="96"/>
    <x v="4"/>
    <s v="WILLIAM TSANG"/>
    <n v="2158"/>
    <s v="Contract: Supply Chain Appendix"/>
    <s v="Supplier"/>
    <m/>
    <x v="493"/>
    <s v="Wencan_agreement_Jul12.pdf"/>
    <s v=".pdf"/>
    <d v="2014-04-15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2"/>
    <m/>
    <m/>
    <n v="1"/>
    <n v="1"/>
    <m/>
    <m/>
    <m/>
    <s v="CP"/>
    <m/>
    <m/>
    <x v="2"/>
    <x v="1"/>
    <m/>
    <x v="2"/>
  </r>
  <r>
    <n v="2217"/>
    <x v="104"/>
    <x v="104"/>
    <x v="96"/>
    <x v="4"/>
    <s v="WILLIAM TSANG"/>
    <n v="2159"/>
    <s v="Declaration letter of group organization"/>
    <s v="Supplier"/>
    <m/>
    <x v="12"/>
    <s v="Wencan_agreement_Jul12.pdf"/>
    <s v=".pdf"/>
    <d v="2014-04-1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2214"/>
    <x v="104"/>
    <x v="104"/>
    <x v="96"/>
    <x v="4"/>
    <s v="WILLIAM TSANG"/>
    <n v="2156"/>
    <s v="Environmental Declaration"/>
    <s v="Supplier"/>
    <m/>
    <x v="493"/>
    <s v="Wencan_agreement_Jul12.pdf"/>
    <s v=".pdf"/>
    <d v="2014-04-15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2207"/>
    <x v="104"/>
    <x v="104"/>
    <x v="96"/>
    <x v="4"/>
    <s v="WILLIAM TSANG"/>
    <n v="2149"/>
    <s v="ISO 14001"/>
    <s v="Supplier"/>
    <d v="2010-04-24T00:00:00"/>
    <x v="495"/>
    <s v="HONG_BANG_ISO14001_24Apr2010.jpg"/>
    <s v=".jpg"/>
    <d v="2014-04-1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2210"/>
    <x v="104"/>
    <x v="104"/>
    <x v="96"/>
    <x v="4"/>
    <s v="WILLIAM TSANG"/>
    <n v="2152"/>
    <s v="LOC (Letter of Confidentiality)"/>
    <s v="Supplier"/>
    <m/>
    <x v="364"/>
    <s v="LOC_Hong_Bang_2011.pdf"/>
    <s v=".pdf"/>
    <d v="2014-04-1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2212"/>
    <x v="104"/>
    <x v="104"/>
    <x v="96"/>
    <x v="4"/>
    <s v="WILLIAM TSANG"/>
    <n v="2154"/>
    <s v="LOC (Letter of Confidentiality)"/>
    <s v="Product / Project"/>
    <m/>
    <x v="496"/>
    <s v="LOC_Hong_Bang_(Nara_foot_project).pdf"/>
    <s v=".pdf"/>
    <d v="2014-04-15T00:00:00"/>
    <s v="as\afok"/>
    <m/>
    <m/>
    <x v="0"/>
    <x v="0"/>
    <x v="0"/>
    <x v="0"/>
    <s v="Nara foot"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2218"/>
    <x v="104"/>
    <x v="104"/>
    <x v="96"/>
    <x v="4"/>
    <s v="WILLIAM TSANG"/>
    <n v="2160"/>
    <s v="Responsible Purchasing Charter"/>
    <s v="Supplier"/>
    <m/>
    <x v="245"/>
    <s v="Wencan_Responsible_Purchasing_Charter_10Aug12.pdf"/>
    <s v=".pdf"/>
    <d v="2014-04-1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2220"/>
    <x v="104"/>
    <x v="104"/>
    <x v="96"/>
    <x v="4"/>
    <s v="WILLIAM TSANG"/>
    <n v="2162"/>
    <s v="SEF"/>
    <s v="Supplier"/>
    <m/>
    <x v="137"/>
    <s v="WENCAN_Supplier_Evaluation_May_2012.xlsx"/>
    <s v=".xlsx"/>
    <d v="2014-04-15T00:00:00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2221"/>
    <x v="104"/>
    <x v="104"/>
    <x v="96"/>
    <x v="4"/>
    <s v="WILLIAM TSANG"/>
    <n v="2163"/>
    <s v="SEF"/>
    <s v="Supplier"/>
    <m/>
    <x v="168"/>
    <s v="WENCAN Supplier Evaluation Form May 2013.xlsx"/>
    <s v=".xlsx"/>
    <d v="2014-04-15T00:00:00"/>
    <s v="as\afok"/>
    <m/>
    <s v="2013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2211"/>
    <x v="104"/>
    <x v="104"/>
    <x v="96"/>
    <x v="4"/>
    <s v="WILLIAM TSANG"/>
    <n v="2153"/>
    <s v="SIF"/>
    <s v="Supplier"/>
    <m/>
    <x v="184"/>
    <s v="Wencan_SIF2012_5Jul12.xlsx"/>
    <s v=".xlsx"/>
    <d v="2014-04-15T00:00:00"/>
    <s v="as\afok"/>
    <m/>
    <s v="2012"/>
    <x v="0"/>
    <x v="0"/>
    <x v="0"/>
    <x v="0"/>
    <m/>
    <m/>
    <m/>
    <m/>
    <m/>
    <n v="2012"/>
    <n v="70000000"/>
    <n v="55000000"/>
    <n v="60000000"/>
    <n v="43000000"/>
    <n v="64000000"/>
    <n v="6"/>
    <n v="8"/>
    <n v="6"/>
    <n v="4"/>
    <n v="7"/>
    <s v="CP Panel"/>
    <x v="0"/>
    <x v="0"/>
    <x v="1"/>
    <x v="2"/>
    <m/>
    <m/>
    <m/>
    <n v="1"/>
    <m/>
    <m/>
    <m/>
    <s v="CP"/>
    <m/>
    <m/>
    <x v="2"/>
    <x v="1"/>
    <m/>
    <x v="2"/>
  </r>
  <r>
    <n v="2222"/>
    <x v="104"/>
    <x v="104"/>
    <x v="96"/>
    <x v="4"/>
    <s v="WILLIAM TSANG"/>
    <n v="2164"/>
    <s v="SIF"/>
    <s v="Supplier"/>
    <m/>
    <x v="497"/>
    <s v="Wencan_SIF2013.xls"/>
    <s v=".xls"/>
    <d v="2014-04-15T00:00:00"/>
    <s v="as\afok"/>
    <m/>
    <s v="2013"/>
    <x v="0"/>
    <x v="0"/>
    <x v="0"/>
    <x v="0"/>
    <m/>
    <m/>
    <m/>
    <m/>
    <m/>
    <n v="2013"/>
    <n v="70000000"/>
    <n v="65000000"/>
    <n v="55000000"/>
    <n v="60000000"/>
    <n v="43000000"/>
    <n v="6"/>
    <n v="8"/>
    <n v="6"/>
    <n v="4"/>
    <n v="7"/>
    <s v="CP Panel"/>
    <x v="0"/>
    <x v="0"/>
    <x v="1"/>
    <x v="2"/>
    <m/>
    <m/>
    <m/>
    <n v="1"/>
    <m/>
    <m/>
    <m/>
    <s v="CP"/>
    <m/>
    <m/>
    <x v="2"/>
    <x v="1"/>
    <m/>
    <x v="2"/>
  </r>
  <r>
    <n v="2219"/>
    <x v="104"/>
    <x v="104"/>
    <x v="96"/>
    <x v="4"/>
    <s v="WILLIAM TSANG"/>
    <n v="2161"/>
    <s v="SPR"/>
    <s v="Supplier"/>
    <m/>
    <x v="168"/>
    <s v="SPR Wencan 29 May 2013.pptx"/>
    <s v=".pptx"/>
    <d v="2014-04-15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2"/>
  </r>
  <r>
    <n v="2035"/>
    <x v="105"/>
    <x v="105"/>
    <x v="97"/>
    <x v="4"/>
    <s v="RICKY LAM"/>
    <n v="1978"/>
    <s v="Contract: General Contract"/>
    <s v="Supplier"/>
    <m/>
    <x v="229"/>
    <s v="Agreement_Hong shing_APR12.pdf"/>
    <s v=".pdf"/>
    <d v="2014-04-11T00:00:00"/>
    <s v="as\afok"/>
    <m/>
    <s v="V7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x v="2"/>
    <x v="1"/>
    <m/>
    <x v="23"/>
  </r>
  <r>
    <n v="2042"/>
    <x v="105"/>
    <x v="105"/>
    <x v="97"/>
    <x v="4"/>
    <s v="RICKY LAM"/>
    <n v="1985"/>
    <s v="Contract: General Contract"/>
    <s v="Supplier"/>
    <m/>
    <x v="498"/>
    <s v="Hong_Shing_Purchase_Agreement_2008.pdf"/>
    <s v=".pdf"/>
    <d v="2014-04-11T00:00:00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x v="2"/>
    <x v="1"/>
    <m/>
    <x v="23"/>
  </r>
  <r>
    <n v="2037"/>
    <x v="105"/>
    <x v="105"/>
    <x v="97"/>
    <x v="4"/>
    <s v="RICKY LAM"/>
    <n v="1980"/>
    <s v="Contract: Quality Appendix"/>
    <s v="Supplier"/>
    <m/>
    <x v="31"/>
    <s v="Agreement_Hong shing_APR12.pdf"/>
    <s v=".pdf"/>
    <d v="2014-04-11T00:00:0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x v="2"/>
    <x v="1"/>
    <m/>
    <x v="23"/>
  </r>
  <r>
    <n v="2038"/>
    <x v="105"/>
    <x v="105"/>
    <x v="97"/>
    <x v="4"/>
    <s v="RICKY LAM"/>
    <n v="1981"/>
    <s v="Contract: Supply Chain Appendix"/>
    <s v="Supplier"/>
    <m/>
    <x v="499"/>
    <s v="Agreement_Hong shing_APR12.pdf"/>
    <s v=".pdf"/>
    <d v="2014-04-11T00:00:00"/>
    <s v="as\afok"/>
    <m/>
    <m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x v="2"/>
    <x v="1"/>
    <m/>
    <x v="23"/>
  </r>
  <r>
    <n v="2039"/>
    <x v="105"/>
    <x v="105"/>
    <x v="97"/>
    <x v="4"/>
    <s v="RICKY LAM"/>
    <n v="1982"/>
    <s v="Declaration letter of group organization"/>
    <s v="Supplier"/>
    <m/>
    <x v="475"/>
    <s v="Agreement_Hong shing_APR12.pdf"/>
    <s v=".pdf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23"/>
  </r>
  <r>
    <n v="2036"/>
    <x v="105"/>
    <x v="105"/>
    <x v="97"/>
    <x v="4"/>
    <s v="RICKY LAM"/>
    <n v="1979"/>
    <s v="Environmental Declaration"/>
    <s v="Supplier"/>
    <m/>
    <x v="229"/>
    <s v="Agreement_Hong shing_APR12.pdf"/>
    <s v=".pdf"/>
    <d v="2014-04-11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23"/>
  </r>
  <r>
    <n v="2043"/>
    <x v="105"/>
    <x v="105"/>
    <x v="97"/>
    <x v="4"/>
    <s v="RICKY LAM"/>
    <n v="1986"/>
    <s v="ISO 14001"/>
    <s v="Supplier"/>
    <d v="2010-12-24T00:00:00"/>
    <x v="500"/>
    <s v="Hong_SHING_ ISO14001_05May2010.pdf"/>
    <s v=".pdf"/>
    <d v="2014-04-11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m/>
    <s v="CP"/>
    <m/>
    <m/>
    <x v="2"/>
    <x v="1"/>
    <m/>
    <x v="23"/>
  </r>
  <r>
    <n v="2033"/>
    <x v="105"/>
    <x v="105"/>
    <x v="97"/>
    <x v="4"/>
    <s v="RICKY LAM"/>
    <n v="1976"/>
    <s v="LOC (Letter of Confidentiality)"/>
    <s v="Product / Project"/>
    <m/>
    <x v="391"/>
    <s v="LOC_Hong_shing_Nara_Chrome_Plating_Project.pdf"/>
    <s v=".pdf"/>
    <d v="2014-04-11T00:00:00"/>
    <s v="as\afok"/>
    <m/>
    <m/>
    <x v="0"/>
    <x v="0"/>
    <x v="0"/>
    <x v="0"/>
    <s v="Nara Chrome Plating"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23"/>
  </r>
  <r>
    <n v="2040"/>
    <x v="105"/>
    <x v="105"/>
    <x v="97"/>
    <x v="4"/>
    <s v="RICKY LAM"/>
    <n v="1983"/>
    <s v="SEF"/>
    <s v="Supplier"/>
    <m/>
    <x v="246"/>
    <s v="HongShing_SEF_Dec2011_R2.xlsx"/>
    <s v=".xlsx"/>
    <d v="2014-04-11T00:00:00"/>
    <s v="as\afok"/>
    <m/>
    <s v="2011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23"/>
  </r>
  <r>
    <n v="2034"/>
    <x v="105"/>
    <x v="105"/>
    <x v="97"/>
    <x v="4"/>
    <s v="RICKY LAM"/>
    <n v="1977"/>
    <s v="SIF"/>
    <s v="Supplier"/>
    <m/>
    <x v="501"/>
    <s v="SIF2011_Hong_Shing.xlsx"/>
    <s v=".xlsx"/>
    <d v="2014-04-11T00:00:00"/>
    <s v="as\afok"/>
    <m/>
    <s v="2011"/>
    <x v="0"/>
    <x v="0"/>
    <x v="0"/>
    <x v="0"/>
    <m/>
    <m/>
    <m/>
    <m/>
    <m/>
    <n v="2011"/>
    <n v="6700000"/>
    <n v="7100000"/>
    <n v="8900000"/>
    <n v="8200000"/>
    <n v="7500000"/>
    <m/>
    <n v="7.06"/>
    <n v="2.27"/>
    <n v="3.36"/>
    <n v="2.0299999999999998"/>
    <m/>
    <x v="0"/>
    <x v="0"/>
    <x v="0"/>
    <x v="0"/>
    <m/>
    <m/>
    <m/>
    <n v="1"/>
    <m/>
    <m/>
    <m/>
    <s v="CP"/>
    <m/>
    <m/>
    <x v="2"/>
    <x v="1"/>
    <m/>
    <x v="23"/>
  </r>
  <r>
    <n v="2041"/>
    <x v="105"/>
    <x v="105"/>
    <x v="97"/>
    <x v="4"/>
    <s v="RICKY LAM"/>
    <n v="1984"/>
    <s v="SPR"/>
    <s v="Supplier"/>
    <m/>
    <x v="502"/>
    <s v="SPR_HongShing_Jun2011_R1.pptx"/>
    <s v=".pptx"/>
    <d v="2014-04-11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23"/>
  </r>
  <r>
    <n v="2053"/>
    <x v="106"/>
    <x v="106"/>
    <x v="98"/>
    <x v="4"/>
    <s v="RICKY LAM"/>
    <n v="1996"/>
    <s v="Contract: General Contract"/>
    <s v="Supplier"/>
    <m/>
    <x v="503"/>
    <s v="Hongrita_Purchase_Agreement_2009.pdf"/>
    <s v=".pdf"/>
    <d v="2014-04-11T00:00:00"/>
    <s v="as\afok"/>
    <m/>
    <s v="V6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0"/>
    <m/>
    <m/>
    <m/>
    <s v="CP"/>
    <m/>
    <s v="MOULD"/>
    <x v="15"/>
    <x v="1"/>
    <m/>
    <x v="35"/>
  </r>
  <r>
    <n v="2044"/>
    <x v="106"/>
    <x v="106"/>
    <x v="98"/>
    <x v="4"/>
    <s v="RICKY LAM"/>
    <n v="1987"/>
    <s v="Contract: Supply Chain Appendix"/>
    <s v="Supplier"/>
    <m/>
    <x v="129"/>
    <s v="Supply Chain Appendix  V10 - Hongrita-12Sep2013.pdf"/>
    <s v=".pdf"/>
    <d v="2014-04-11T00:00:00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0"/>
    <m/>
    <m/>
    <m/>
    <s v="CP"/>
    <m/>
    <s v="MOULD"/>
    <x v="15"/>
    <x v="1"/>
    <m/>
    <x v="35"/>
  </r>
  <r>
    <n v="2054"/>
    <x v="106"/>
    <x v="106"/>
    <x v="98"/>
    <x v="4"/>
    <s v="RICKY LAM"/>
    <n v="1997"/>
    <s v="ISO 14001"/>
    <s v="Supplier"/>
    <d v="2011-08-27T00:00:00"/>
    <x v="504"/>
    <s v="Hongrita_ISO14000_05Mar2010.PDF"/>
    <s v=".pdf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n v="1"/>
    <m/>
    <s v="CP"/>
    <m/>
    <s v="MOULD"/>
    <x v="15"/>
    <x v="1"/>
    <m/>
    <x v="35"/>
  </r>
  <r>
    <n v="2048"/>
    <x v="106"/>
    <x v="106"/>
    <x v="98"/>
    <x v="4"/>
    <s v="RICKY LAM"/>
    <n v="1991"/>
    <s v="LOC (Letter of Confidentiality)"/>
    <s v="Supplier"/>
    <m/>
    <x v="18"/>
    <s v="LOC_Hongrita.pdf"/>
    <s v=".pdf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s v="MOULD"/>
    <x v="15"/>
    <x v="1"/>
    <m/>
    <x v="35"/>
  </r>
  <r>
    <n v="2049"/>
    <x v="106"/>
    <x v="106"/>
    <x v="98"/>
    <x v="4"/>
    <s v="RICKY LAM"/>
    <n v="1992"/>
    <s v="Responsible Purchasing Charter"/>
    <s v="Supplier"/>
    <m/>
    <x v="8"/>
    <s v="Hongrita_Responsible_Purchasing_Charter_08Aug12.pdf"/>
    <s v=".pdf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s v="MOULD"/>
    <x v="15"/>
    <x v="1"/>
    <m/>
    <x v="35"/>
  </r>
  <r>
    <n v="2051"/>
    <x v="106"/>
    <x v="106"/>
    <x v="98"/>
    <x v="4"/>
    <s v="RICKY LAM"/>
    <n v="1994"/>
    <s v="SEF"/>
    <s v="Supplier"/>
    <m/>
    <x v="47"/>
    <s v="Hongrita_SEF_July12-89.xlsx"/>
    <s v=".xlsx"/>
    <d v="2014-04-11T00:00:00"/>
    <s v="as\afok"/>
    <m/>
    <s v="2012"/>
    <x v="0"/>
    <x v="0"/>
    <x v="0"/>
    <x v="0"/>
    <m/>
    <m/>
    <m/>
    <m/>
    <n v="89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s v="MOULD"/>
    <x v="15"/>
    <x v="1"/>
    <m/>
    <x v="35"/>
  </r>
  <r>
    <n v="2046"/>
    <x v="106"/>
    <x v="106"/>
    <x v="98"/>
    <x v="4"/>
    <s v="RICKY LAM"/>
    <n v="1989"/>
    <s v="SIF"/>
    <s v="Supplier"/>
    <m/>
    <x v="482"/>
    <s v="Hongrtia_SIF2013.xls"/>
    <s v=".xls"/>
    <d v="2014-04-11T00:00:00"/>
    <s v="as\afok"/>
    <m/>
    <s v="2013"/>
    <x v="0"/>
    <x v="0"/>
    <x v="0"/>
    <x v="0"/>
    <m/>
    <m/>
    <m/>
    <m/>
    <m/>
    <n v="2013"/>
    <n v="46300000"/>
    <n v="35600000"/>
    <n v="33900000"/>
    <n v="27100000"/>
    <n v="21100000"/>
    <m/>
    <n v="20.49"/>
    <n v="22.93"/>
    <n v="25.95"/>
    <n v="14.77"/>
    <s v="CP Panel"/>
    <x v="0"/>
    <x v="0"/>
    <x v="1"/>
    <x v="1"/>
    <m/>
    <m/>
    <m/>
    <n v="0"/>
    <m/>
    <m/>
    <m/>
    <s v="CP"/>
    <m/>
    <s v="MOULD"/>
    <x v="15"/>
    <x v="1"/>
    <m/>
    <x v="35"/>
  </r>
  <r>
    <n v="2052"/>
    <x v="106"/>
    <x v="106"/>
    <x v="98"/>
    <x v="4"/>
    <s v="RICKY LAM"/>
    <n v="1995"/>
    <s v="SIF"/>
    <s v="Supplier"/>
    <m/>
    <x v="48"/>
    <s v="Hongrita_SIF2012_20Apr12.xls"/>
    <s v=".xls"/>
    <d v="2014-04-11T00:00:00"/>
    <s v="as\afok"/>
    <m/>
    <s v="2012"/>
    <x v="0"/>
    <x v="0"/>
    <x v="0"/>
    <x v="0"/>
    <m/>
    <m/>
    <m/>
    <m/>
    <m/>
    <n v="2012"/>
    <n v="40300000"/>
    <n v="33900000"/>
    <n v="27100000"/>
    <n v="21100000"/>
    <n v="25400000"/>
    <m/>
    <n v="22.93"/>
    <n v="25.95"/>
    <n v="14.77"/>
    <n v="19.11"/>
    <s v="CP Panel"/>
    <x v="0"/>
    <x v="0"/>
    <x v="1"/>
    <x v="1"/>
    <m/>
    <m/>
    <m/>
    <n v="0"/>
    <m/>
    <m/>
    <m/>
    <s v="CP"/>
    <m/>
    <s v="MOULD"/>
    <x v="15"/>
    <x v="1"/>
    <m/>
    <x v="35"/>
  </r>
  <r>
    <n v="2045"/>
    <x v="106"/>
    <x v="106"/>
    <x v="98"/>
    <x v="4"/>
    <s v="RICKY LAM"/>
    <n v="1988"/>
    <s v="SPR"/>
    <s v="Supplier"/>
    <m/>
    <x v="355"/>
    <s v="Hongrita SPR 20130702.pptx"/>
    <s v=".pptx"/>
    <d v="2014-04-11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s v="MOULD"/>
    <x v="15"/>
    <x v="1"/>
    <m/>
    <x v="35"/>
  </r>
  <r>
    <n v="2050"/>
    <x v="106"/>
    <x v="106"/>
    <x v="98"/>
    <x v="4"/>
    <s v="RICKY LAM"/>
    <n v="1993"/>
    <s v="SPR"/>
    <s v="Supplier"/>
    <m/>
    <x v="47"/>
    <s v="Hongrita_SPR_July2012(REV_2).pptx"/>
    <s v=".pptx"/>
    <d v="2014-04-11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s v="MOULD"/>
    <x v="15"/>
    <x v="1"/>
    <m/>
    <x v="35"/>
  </r>
  <r>
    <n v="2047"/>
    <x v="106"/>
    <x v="106"/>
    <x v="98"/>
    <x v="4"/>
    <s v="RICKY LAM"/>
    <n v="1990"/>
    <s v="SPR"/>
    <s v="Supplier"/>
    <m/>
    <x v="1"/>
    <s v="Hongrita_SPR_2010R3.pptx"/>
    <s v=".pptx"/>
    <d v="2014-04-11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s v="MOULD"/>
    <x v="15"/>
    <x v="1"/>
    <m/>
    <x v="35"/>
  </r>
  <r>
    <n v="22"/>
    <x v="107"/>
    <x v="107"/>
    <x v="99"/>
    <x v="5"/>
    <s v="SHOT XU"/>
    <n v="18"/>
    <s v="Contract: General Contract"/>
    <s v="Supplier"/>
    <d v="2014-12-31T00:00:00"/>
    <x v="505"/>
    <s v="HongYi FHA00016 ind.09 20080724.pdf"/>
    <s v=".pdf"/>
    <d v="2014-03-04T00:00:00"/>
    <s v="as\afok"/>
    <m/>
    <s v="FHA00016 ind.09 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s v="MOULD"/>
    <x v="4"/>
    <x v="1"/>
    <m/>
    <x v="16"/>
  </r>
  <r>
    <n v="323"/>
    <x v="107"/>
    <x v="107"/>
    <x v="99"/>
    <x v="5"/>
    <s v="SHOT XU"/>
    <n v="310"/>
    <s v="Environmental Declaration"/>
    <s v="Supplier"/>
    <m/>
    <x v="14"/>
    <s v="HongYi_Env_Declaration_2011.xlsx"/>
    <s v=".xlsx"/>
    <d v="2014-03-14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x v="4"/>
    <x v="1"/>
    <m/>
    <x v="16"/>
  </r>
  <r>
    <n v="325"/>
    <x v="107"/>
    <x v="107"/>
    <x v="99"/>
    <x v="5"/>
    <s v="SHOT XU"/>
    <n v="312"/>
    <s v="Exclusivity (EA)"/>
    <s v="Product / Project"/>
    <m/>
    <x v="378"/>
    <s v="Hongyi_Exclusivity_Panex Sandwich Maker HY-2123_8Jun12.pdf"/>
    <s v=".pdf"/>
    <d v="2014-03-14T00:00:00"/>
    <s v="as\afok"/>
    <s v="_x000d__x000a_"/>
    <m/>
    <x v="0"/>
    <x v="0"/>
    <x v="0"/>
    <x v="0"/>
    <s v="Panex Sandwich Maker HY-2123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x v="4"/>
    <x v="1"/>
    <m/>
    <x v="16"/>
  </r>
  <r>
    <n v="324"/>
    <x v="107"/>
    <x v="107"/>
    <x v="99"/>
    <x v="5"/>
    <s v="SHOT XU"/>
    <n v="311"/>
    <s v="Exclusivity (EA)"/>
    <s v="Supplier"/>
    <m/>
    <x v="477"/>
    <s v="Hongyi_Exclusivity Summary 20130314.xlsx"/>
    <s v=".xlsx"/>
    <d v="2014-03-14T00:00:00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x v="4"/>
    <x v="1"/>
    <m/>
    <x v="16"/>
  </r>
  <r>
    <n v="330"/>
    <x v="107"/>
    <x v="107"/>
    <x v="99"/>
    <x v="5"/>
    <s v="SHOT XU"/>
    <n v="317"/>
    <s v="Exclusivity (EA)"/>
    <s v="Product / Project"/>
    <m/>
    <x v="38"/>
    <s v="Hongyi_EA_SM ultracompact urban style_28Feb2013.pdf"/>
    <s v=".pdf"/>
    <d v="2014-03-14T00:00:00"/>
    <s v="as\afok"/>
    <s v="_x000d__x000a_"/>
    <m/>
    <x v="0"/>
    <x v="0"/>
    <x v="0"/>
    <x v="0"/>
    <s v="SM ultracompact urban style"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s v="MOULD"/>
    <x v="4"/>
    <x v="1"/>
    <m/>
    <x v="16"/>
  </r>
  <r>
    <n v="322"/>
    <x v="107"/>
    <x v="107"/>
    <x v="99"/>
    <x v="5"/>
    <s v="SHOT XU"/>
    <n v="309"/>
    <s v="Foodstuffs declaration"/>
    <s v="Supplier"/>
    <m/>
    <x v="506"/>
    <s v="HongYi FRD00069 ind.04 20090519.pdf"/>
    <s v=".pdf"/>
    <d v="2014-03-14T00:00:00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x v="4"/>
    <x v="1"/>
    <m/>
    <x v="16"/>
  </r>
  <r>
    <n v="326"/>
    <x v="107"/>
    <x v="107"/>
    <x v="99"/>
    <x v="5"/>
    <s v="SHOT XU"/>
    <n v="313"/>
    <s v="Responsible Purchasing Charter"/>
    <s v="Supplier"/>
    <m/>
    <x v="8"/>
    <s v="Hongyi_Responsible Purchaser Charter_8Aug2012.pdf"/>
    <s v=".pdf"/>
    <d v="2014-03-1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x v="4"/>
    <x v="1"/>
    <m/>
    <x v="16"/>
  </r>
  <r>
    <n v="327"/>
    <x v="107"/>
    <x v="107"/>
    <x v="99"/>
    <x v="5"/>
    <s v="SHOT XU"/>
    <n v="314"/>
    <s v="SEF"/>
    <s v="Supplier"/>
    <m/>
    <x v="123"/>
    <s v="HONGYI_SEF_ 2012May.xlsx"/>
    <s v=".xlsx"/>
    <d v="2014-03-14T00:00:00"/>
    <s v="as\afok"/>
    <m/>
    <s v="2012"/>
    <x v="0"/>
    <x v="0"/>
    <x v="0"/>
    <x v="0"/>
    <m/>
    <m/>
    <m/>
    <m/>
    <n v="56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x v="4"/>
    <x v="1"/>
    <m/>
    <x v="16"/>
  </r>
  <r>
    <n v="328"/>
    <x v="107"/>
    <x v="107"/>
    <x v="99"/>
    <x v="5"/>
    <s v="SHOT XU"/>
    <n v="315"/>
    <s v="SIF"/>
    <s v="Supplier"/>
    <m/>
    <x v="119"/>
    <s v="Hongyi_SIF_23Apr2012.xlsx"/>
    <s v=".xlsx"/>
    <d v="2014-03-14T00:00:00"/>
    <s v="as\afok"/>
    <m/>
    <s v="2012"/>
    <x v="0"/>
    <x v="0"/>
    <x v="0"/>
    <x v="0"/>
    <m/>
    <m/>
    <m/>
    <m/>
    <m/>
    <n v="2012"/>
    <n v="42000000"/>
    <n v="34000000"/>
    <n v="27000000"/>
    <n v="24000000"/>
    <n v="18000000"/>
    <n v="30"/>
    <n v="25"/>
    <n v="20"/>
    <n v="12"/>
    <n v="4"/>
    <m/>
    <x v="0"/>
    <x v="0"/>
    <x v="0"/>
    <x v="0"/>
    <m/>
    <m/>
    <m/>
    <n v="0"/>
    <m/>
    <m/>
    <s v="FP"/>
    <m/>
    <s v="SP"/>
    <s v="MOULD"/>
    <x v="4"/>
    <x v="1"/>
    <m/>
    <x v="16"/>
  </r>
  <r>
    <n v="329"/>
    <x v="107"/>
    <x v="107"/>
    <x v="99"/>
    <x v="5"/>
    <s v="SHOT XU"/>
    <n v="316"/>
    <s v="SPR"/>
    <s v="Supplier"/>
    <m/>
    <x v="223"/>
    <s v="SPR 2012 HONGYI.pptx"/>
    <s v=".pptx"/>
    <d v="2014-03-14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x v="4"/>
    <x v="1"/>
    <m/>
    <x v="16"/>
  </r>
  <r>
    <n v="2064"/>
    <x v="108"/>
    <x v="108"/>
    <x v="100"/>
    <x v="4"/>
    <s v="RICKY LAM"/>
    <n v="2007"/>
    <s v="Contract: General Contract"/>
    <s v="Supplier"/>
    <m/>
    <x v="467"/>
    <s v="Honsun_0.SupplyAgreementV7_18Mar2013.pdf"/>
    <s v=".pdf"/>
    <d v="2014-04-11T00:00:00"/>
    <s v="as\afok"/>
    <m/>
    <s v="V7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x v="2"/>
    <x v="1"/>
    <m/>
    <x v="0"/>
  </r>
  <r>
    <n v="2055"/>
    <x v="108"/>
    <x v="108"/>
    <x v="100"/>
    <x v="4"/>
    <s v="RICKY LAM"/>
    <n v="1998"/>
    <s v="Contract: General Contract"/>
    <s v="Supplier"/>
    <m/>
    <x v="507"/>
    <s v="Honsun_SupplyAgreement_V8_17Nov2013.pdf"/>
    <s v=".pdf"/>
    <d v="2014-04-11T00:00:00"/>
    <s v="as\afok"/>
    <m/>
    <s v="V8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x v="2"/>
    <x v="1"/>
    <m/>
    <x v="0"/>
  </r>
  <r>
    <n v="2062"/>
    <x v="108"/>
    <x v="108"/>
    <x v="100"/>
    <x v="4"/>
    <s v="RICKY LAM"/>
    <n v="2005"/>
    <s v="Contract: Quality Appendix"/>
    <s v="Supplier"/>
    <m/>
    <x v="508"/>
    <s v="Honsun_4.QualityPolicy_11Oct2013.pdf"/>
    <s v=".pdf"/>
    <d v="2014-04-11T00:00:0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x v="2"/>
    <x v="1"/>
    <m/>
    <x v="0"/>
  </r>
  <r>
    <n v="2056"/>
    <x v="108"/>
    <x v="108"/>
    <x v="100"/>
    <x v="4"/>
    <s v="RICKY LAM"/>
    <n v="1999"/>
    <s v="Contract: Quality Appendix"/>
    <s v="Supplier"/>
    <m/>
    <x v="507"/>
    <s v="HS QUALITY POLICY (2013.11.17).pdf"/>
    <s v=".pdf"/>
    <d v="2014-04-11T00:00:0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x v="2"/>
    <x v="1"/>
    <m/>
    <x v="0"/>
  </r>
  <r>
    <n v="2061"/>
    <x v="108"/>
    <x v="108"/>
    <x v="100"/>
    <x v="4"/>
    <s v="RICKY LAM"/>
    <n v="2004"/>
    <s v="Contract: Supply Chain Appendix"/>
    <s v="Supplier"/>
    <m/>
    <x v="508"/>
    <s v="Honsun_5.SupplyChainAppendix_11Oct2013.pdf"/>
    <s v=".pdf"/>
    <d v="2014-04-11T00:00:00"/>
    <s v="as\afok"/>
    <m/>
    <m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x v="2"/>
    <x v="1"/>
    <m/>
    <x v="0"/>
  </r>
  <r>
    <n v="2065"/>
    <x v="108"/>
    <x v="108"/>
    <x v="100"/>
    <x v="4"/>
    <s v="RICKY LAM"/>
    <n v="2008"/>
    <s v="Contract: Supply Chain Appendix"/>
    <s v="Supplier"/>
    <d v="2014-04-11T00:00:00"/>
    <x v="234"/>
    <s v="Honsun_5.SupplyChainAppendixV10_12Aug13.pdf"/>
    <s v=".pdf"/>
    <d v="2014-04-11T00:00:00"/>
    <s v="as\afok"/>
    <m/>
    <s v="V10"/>
    <x v="0"/>
    <x v="3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x v="2"/>
    <x v="1"/>
    <m/>
    <x v="0"/>
  </r>
  <r>
    <n v="2060"/>
    <x v="108"/>
    <x v="108"/>
    <x v="100"/>
    <x v="4"/>
    <s v="RICKY LAM"/>
    <n v="2003"/>
    <s v="Contract: Supply Chain Appendix"/>
    <s v="Supplier"/>
    <m/>
    <x v="509"/>
    <s v="Honsun_5.SupplyChainAppendixV10_8Oct2013.pdf"/>
    <s v=".pdf"/>
    <d v="2014-04-11T00:00:00"/>
    <s v="as\afok"/>
    <m/>
    <s v="V10"/>
    <x v="0"/>
    <x v="3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x v="2"/>
    <x v="1"/>
    <m/>
    <x v="0"/>
  </r>
  <r>
    <n v="2057"/>
    <x v="108"/>
    <x v="108"/>
    <x v="100"/>
    <x v="4"/>
    <s v="RICKY LAM"/>
    <n v="2000"/>
    <s v="Contract: Supply Chain Appendix"/>
    <s v="Supplier"/>
    <m/>
    <x v="507"/>
    <s v="HS SUPPLY APPENDIX (2013.11.17)_0011_NEW.pdf"/>
    <s v=".pdf"/>
    <d v="2014-04-11T00:00:00"/>
    <s v="as\afok"/>
    <m/>
    <s v="V10"/>
    <x v="0"/>
    <x v="3"/>
    <x v="3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x v="2"/>
    <x v="1"/>
    <m/>
    <x v="0"/>
  </r>
  <r>
    <n v="2059"/>
    <x v="108"/>
    <x v="108"/>
    <x v="100"/>
    <x v="4"/>
    <s v="RICKY LAM"/>
    <n v="2002"/>
    <s v="Environmental Declaration"/>
    <s v="Supplier"/>
    <m/>
    <x v="507"/>
    <s v="Honsun_3.EnvironmentalDeclaration_18Mar2013.pdf"/>
    <s v=".pdf"/>
    <d v="2014-04-11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0"/>
  </r>
  <r>
    <n v="2063"/>
    <x v="108"/>
    <x v="108"/>
    <x v="100"/>
    <x v="4"/>
    <s v="RICKY LAM"/>
    <n v="2006"/>
    <s v="Environmental Declaration"/>
    <s v="Supplier"/>
    <m/>
    <x v="467"/>
    <s v="Honsun_3.EnvironmentalDeclaration_18Mar2013.pdf"/>
    <s v=".pdf"/>
    <d v="2014-04-11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0"/>
  </r>
  <r>
    <n v="2058"/>
    <x v="108"/>
    <x v="108"/>
    <x v="100"/>
    <x v="4"/>
    <s v="RICKY LAM"/>
    <n v="2001"/>
    <s v="Responsible Purchasing Charter"/>
    <s v="Supplier"/>
    <m/>
    <x v="507"/>
    <s v="HS PURCHASING CHARTER (2013.11.17).pdf"/>
    <s v=".pdf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0"/>
  </r>
  <r>
    <n v="2066"/>
    <x v="108"/>
    <x v="108"/>
    <x v="100"/>
    <x v="4"/>
    <s v="RICKY LAM"/>
    <n v="2009"/>
    <s v="SIF"/>
    <s v="Supplier"/>
    <m/>
    <x v="510"/>
    <s v="Honsun_SIF2012_22May12.xls"/>
    <s v=".xls"/>
    <d v="2014-04-11T00:00:00"/>
    <s v="as\afok"/>
    <m/>
    <s v="2012"/>
    <x v="0"/>
    <x v="0"/>
    <x v="0"/>
    <x v="0"/>
    <m/>
    <m/>
    <m/>
    <m/>
    <m/>
    <n v="2012"/>
    <n v="11000000"/>
    <n v="10150000"/>
    <n v="6460000"/>
    <n v="3180000"/>
    <n v="2450000"/>
    <m/>
    <m/>
    <m/>
    <m/>
    <m/>
    <m/>
    <x v="0"/>
    <x v="0"/>
    <x v="0"/>
    <x v="0"/>
    <m/>
    <m/>
    <m/>
    <n v="1"/>
    <n v="1"/>
    <m/>
    <m/>
    <s v="CP"/>
    <m/>
    <m/>
    <x v="2"/>
    <x v="1"/>
    <m/>
    <x v="0"/>
  </r>
  <r>
    <n v="1139"/>
    <x v="109"/>
    <x v="109"/>
    <x v="101"/>
    <x v="0"/>
    <s v="FELICITY YU"/>
    <n v="1115"/>
    <s v="Environmental Declaration"/>
    <s v="Supplier"/>
    <m/>
    <x v="511"/>
    <s v="Hop_Shing_Env_Declaration_31Mar2010.pdf"/>
    <s v=".pdf"/>
    <d v="2014-03-25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36"/>
  </r>
  <r>
    <n v="1130"/>
    <x v="109"/>
    <x v="109"/>
    <x v="101"/>
    <x v="0"/>
    <s v="FELICITY YU"/>
    <n v="1106"/>
    <s v="Exclusivity (EA)"/>
    <s v="Product / Project"/>
    <m/>
    <x v="119"/>
    <s v="Hop_Shing_Exclusivity_JA-333_23Apr12.pdf"/>
    <s v=".pdf"/>
    <d v="2014-03-25T00:00:00"/>
    <s v="as\afok"/>
    <m/>
    <m/>
    <x v="0"/>
    <x v="0"/>
    <x v="0"/>
    <x v="0"/>
    <s v="JA-333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36"/>
  </r>
  <r>
    <n v="1131"/>
    <x v="109"/>
    <x v="109"/>
    <x v="101"/>
    <x v="0"/>
    <s v="FELICITY YU"/>
    <n v="1107"/>
    <s v="Exclusivity (EA)"/>
    <s v="Product / Project"/>
    <m/>
    <x v="346"/>
    <s v="Hop_Shing_Exclusivity_KE-563_19Mar12.pdf"/>
    <s v=".pdf"/>
    <d v="2014-03-25T00:00:00"/>
    <s v="as\afok"/>
    <m/>
    <m/>
    <x v="0"/>
    <x v="0"/>
    <x v="0"/>
    <x v="0"/>
    <s v="KE-563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36"/>
  </r>
  <r>
    <n v="1132"/>
    <x v="109"/>
    <x v="109"/>
    <x v="101"/>
    <x v="0"/>
    <s v="FELICITY YU"/>
    <n v="1108"/>
    <s v="Exclusivity (EA)"/>
    <s v="Product / Project"/>
    <m/>
    <x v="512"/>
    <s v="Hop_Shing_Exclusivity_JA-109-4, BL-886-1, BL-882-2, KE-563-2 _1Aug11.pdf"/>
    <s v=".pdf"/>
    <d v="2014-03-25T00:00:00"/>
    <s v="as\afok"/>
    <m/>
    <m/>
    <x v="0"/>
    <x v="0"/>
    <x v="0"/>
    <x v="0"/>
    <s v="JA-109-4, BL-886-1, BL-882-2, KE-563-2 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36"/>
  </r>
  <r>
    <n v="1129"/>
    <x v="109"/>
    <x v="109"/>
    <x v="101"/>
    <x v="0"/>
    <s v="FELICITY YU"/>
    <n v="1105"/>
    <s v="Exclusivity (EA)"/>
    <s v="Supplier"/>
    <m/>
    <x v="513"/>
    <s v="Exclusivity summary for Hop Shing.xlsx"/>
    <s v=".xlsx"/>
    <d v="2014-03-25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36"/>
  </r>
  <r>
    <n v="1135"/>
    <x v="109"/>
    <x v="109"/>
    <x v="101"/>
    <x v="0"/>
    <s v="FELICITY YU"/>
    <n v="1111"/>
    <s v="IP (Intellectual Property)"/>
    <s v="Product / Project"/>
    <m/>
    <x v="512"/>
    <s v="Hop_Shing_IP_JA-109-4, BL-886-1, BL-882-2, KE-563-2 _1Aug11.pdf"/>
    <s v=".pdf"/>
    <d v="2014-03-25T00:00:00"/>
    <s v="as\afok"/>
    <m/>
    <m/>
    <x v="0"/>
    <x v="0"/>
    <x v="0"/>
    <x v="0"/>
    <s v="JA-109-4, BL-886-1, BL-882-2, KE-563-2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36"/>
  </r>
  <r>
    <n v="1134"/>
    <x v="109"/>
    <x v="109"/>
    <x v="101"/>
    <x v="0"/>
    <s v="FELICITY YU"/>
    <n v="1110"/>
    <s v="IP (Intellectual Property)"/>
    <s v="Product / Project"/>
    <m/>
    <x v="346"/>
    <s v="Hop_Shing_IP_KE-563_19Mar12.pdf"/>
    <s v=".pdf"/>
    <d v="2014-03-25T00:00:00"/>
    <s v="as\afok"/>
    <m/>
    <m/>
    <x v="0"/>
    <x v="0"/>
    <x v="0"/>
    <x v="0"/>
    <s v="KE-563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36"/>
  </r>
  <r>
    <n v="1136"/>
    <x v="109"/>
    <x v="109"/>
    <x v="101"/>
    <x v="0"/>
    <s v="FELICITY YU"/>
    <n v="1112"/>
    <s v="IP (Intellectual Property)"/>
    <s v="Supplier"/>
    <m/>
    <x v="514"/>
    <s v="Hop_Shing_IP_1Jun11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36"/>
  </r>
  <r>
    <n v="1133"/>
    <x v="109"/>
    <x v="109"/>
    <x v="101"/>
    <x v="0"/>
    <s v="FELICITY YU"/>
    <n v="1109"/>
    <s v="IP (Intellectual Property)"/>
    <s v="Product / Project"/>
    <m/>
    <x v="119"/>
    <s v="Hop_Shing_IP_JA-333_23Apr12.pdf"/>
    <s v=".pdf"/>
    <d v="2014-03-25T00:00:00"/>
    <s v="as\afok"/>
    <m/>
    <m/>
    <x v="0"/>
    <x v="0"/>
    <x v="0"/>
    <x v="0"/>
    <s v="JA-333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36"/>
  </r>
  <r>
    <n v="1138"/>
    <x v="109"/>
    <x v="109"/>
    <x v="101"/>
    <x v="0"/>
    <s v="FELICITY YU"/>
    <n v="1114"/>
    <s v="SEF"/>
    <s v="Supplier"/>
    <m/>
    <x v="82"/>
    <s v="SEF_Hop_Shing_20120830.xlsx"/>
    <s v=".xlsx"/>
    <d v="2014-03-25T00:00:00"/>
    <s v="as\afok"/>
    <m/>
    <s v="2012"/>
    <x v="0"/>
    <x v="0"/>
    <x v="0"/>
    <x v="0"/>
    <m/>
    <m/>
    <m/>
    <m/>
    <n v="53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36"/>
  </r>
  <r>
    <n v="1127"/>
    <x v="109"/>
    <x v="109"/>
    <x v="101"/>
    <x v="0"/>
    <s v="FELICITY YU"/>
    <n v="1103"/>
    <s v="SEF"/>
    <s v="Supplier"/>
    <m/>
    <x v="202"/>
    <s v="SEF Hop shing 20130809.xlsx"/>
    <s v=".xlsx"/>
    <d v="2014-03-25T00:00:00"/>
    <s v="as\afok"/>
    <m/>
    <s v="2013"/>
    <x v="0"/>
    <x v="0"/>
    <x v="0"/>
    <x v="0"/>
    <m/>
    <m/>
    <m/>
    <m/>
    <n v="63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36"/>
  </r>
  <r>
    <n v="1137"/>
    <x v="109"/>
    <x v="109"/>
    <x v="101"/>
    <x v="0"/>
    <s v="FELICITY YU"/>
    <n v="1113"/>
    <s v="SIF"/>
    <s v="Supplier"/>
    <m/>
    <x v="143"/>
    <s v="Hop_Shing_SIF2012_29Feb12.pdf"/>
    <s v=".pdf"/>
    <d v="2014-03-25T00:00:00"/>
    <s v="as\afok"/>
    <m/>
    <s v="2012"/>
    <x v="0"/>
    <x v="0"/>
    <x v="0"/>
    <x v="0"/>
    <m/>
    <m/>
    <m/>
    <m/>
    <m/>
    <n v="2012"/>
    <n v="36000000"/>
    <n v="340000000"/>
    <n v="31000000"/>
    <n v="30000000"/>
    <n v="40000000"/>
    <n v="2"/>
    <n v="1.5"/>
    <n v="0"/>
    <n v="0"/>
    <n v="17.5"/>
    <m/>
    <x v="0"/>
    <x v="0"/>
    <x v="0"/>
    <x v="0"/>
    <m/>
    <m/>
    <m/>
    <n v="0"/>
    <m/>
    <m/>
    <s v="FP"/>
    <m/>
    <s v="SP"/>
    <m/>
    <x v="9"/>
    <x v="1"/>
    <m/>
    <x v="36"/>
  </r>
  <r>
    <n v="1128"/>
    <x v="109"/>
    <x v="109"/>
    <x v="101"/>
    <x v="0"/>
    <s v="FELICITY YU"/>
    <n v="1104"/>
    <s v="SIF"/>
    <s v="Supplier"/>
    <m/>
    <x v="476"/>
    <s v="Hop_Shing_SIF2013.pdf"/>
    <s v=".pdf"/>
    <d v="2014-03-25T00:00:00"/>
    <s v="as\afok"/>
    <m/>
    <s v="2013"/>
    <x v="0"/>
    <x v="0"/>
    <x v="0"/>
    <x v="0"/>
    <m/>
    <m/>
    <m/>
    <m/>
    <m/>
    <n v="2013"/>
    <n v="35000000"/>
    <n v="32000000"/>
    <n v="34000000"/>
    <n v="31000000"/>
    <n v="30000000"/>
    <n v="5"/>
    <n v="3.4"/>
    <n v="1.5"/>
    <n v="0"/>
    <n v="0"/>
    <m/>
    <x v="0"/>
    <x v="0"/>
    <x v="0"/>
    <x v="0"/>
    <m/>
    <m/>
    <m/>
    <n v="0"/>
    <m/>
    <m/>
    <s v="FP"/>
    <m/>
    <s v="SP"/>
    <m/>
    <x v="9"/>
    <x v="1"/>
    <m/>
    <x v="36"/>
  </r>
  <r>
    <n v="1140"/>
    <x v="109"/>
    <x v="109"/>
    <x v="101"/>
    <x v="0"/>
    <s v="FELICITY YU"/>
    <n v="1116"/>
    <s v="SPR"/>
    <s v="Supplier"/>
    <m/>
    <x v="515"/>
    <s v="Hop_Shing_SPR_2009.xlsx"/>
    <s v=".xlsx"/>
    <d v="2014-03-25T00:00:00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m/>
    <x v="9"/>
    <x v="1"/>
    <m/>
    <x v="36"/>
  </r>
  <r>
    <n v="838"/>
    <x v="110"/>
    <x v="110"/>
    <x v="102"/>
    <x v="1"/>
    <s v="DOUGLAS LAM"/>
    <n v="816"/>
    <s v="Contract: General Contract"/>
    <s v="Supplier"/>
    <m/>
    <x v="516"/>
    <s v="Hopeet_Agreement_JUN2012.pdf"/>
    <s v=".pdf"/>
    <d v="2014-03-21T00:00:00"/>
    <s v="as\afok"/>
    <m/>
    <s v="V7"/>
    <x v="7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x v="2"/>
    <x v="1"/>
    <m/>
    <x v="28"/>
  </r>
  <r>
    <n v="840"/>
    <x v="110"/>
    <x v="110"/>
    <x v="102"/>
    <x v="1"/>
    <s v="DOUGLAS LAM"/>
    <n v="818"/>
    <s v="Contract: Quality Appendix"/>
    <s v="Supplier"/>
    <m/>
    <x v="55"/>
    <s v="Hopeet_Agreement_JUN2012.pdf"/>
    <s v=".pdf"/>
    <d v="2014-03-21T00:00:0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x v="2"/>
    <x v="1"/>
    <m/>
    <x v="28"/>
  </r>
  <r>
    <n v="841"/>
    <x v="110"/>
    <x v="110"/>
    <x v="102"/>
    <x v="1"/>
    <s v="DOUGLAS LAM"/>
    <n v="819"/>
    <s v="Contract: Supply Chain Appendix"/>
    <s v="Supplier"/>
    <m/>
    <x v="55"/>
    <s v="Hopeet_Agreement_JUN2012.pdf"/>
    <s v=".pdf"/>
    <d v="2014-03-21T00:00:00"/>
    <s v="as\afok"/>
    <m/>
    <m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x v="2"/>
    <x v="1"/>
    <m/>
    <x v="28"/>
  </r>
  <r>
    <n v="842"/>
    <x v="110"/>
    <x v="110"/>
    <x v="102"/>
    <x v="1"/>
    <s v="DOUGLAS LAM"/>
    <n v="820"/>
    <s v="Declaration letter of group organization"/>
    <s v="Supplier"/>
    <m/>
    <x v="517"/>
    <s v="Hopeet_Agreement_JUN2012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28"/>
  </r>
  <r>
    <n v="835"/>
    <x v="110"/>
    <x v="110"/>
    <x v="102"/>
    <x v="1"/>
    <s v="DOUGLAS LAM"/>
    <n v="813"/>
    <s v="Environmental Declaration"/>
    <s v="Supplier"/>
    <m/>
    <x v="240"/>
    <s v="Hopeet_Env_Declaration_2010.xls"/>
    <s v=".xls"/>
    <d v="2014-03-21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28"/>
  </r>
  <r>
    <n v="839"/>
    <x v="110"/>
    <x v="110"/>
    <x v="102"/>
    <x v="1"/>
    <s v="DOUGLAS LAM"/>
    <n v="817"/>
    <s v="Environmental Declaration"/>
    <s v="Supplier"/>
    <m/>
    <x v="516"/>
    <s v="Hopeet_Agreement_JUN2012.pdf"/>
    <s v=".pdf"/>
    <d v="2014-03-21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28"/>
  </r>
  <r>
    <n v="837"/>
    <x v="110"/>
    <x v="110"/>
    <x v="102"/>
    <x v="1"/>
    <s v="DOUGLAS LAM"/>
    <n v="815"/>
    <s v="Responsible Purchasing Charter"/>
    <s v="Supplier"/>
    <m/>
    <x v="8"/>
    <s v="HOPEET_Responsible_Purchasing_Charter_08Aug12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28"/>
  </r>
  <r>
    <n v="836"/>
    <x v="110"/>
    <x v="110"/>
    <x v="102"/>
    <x v="1"/>
    <s v="DOUGLAS LAM"/>
    <n v="814"/>
    <s v="SEF"/>
    <s v="Supplier"/>
    <m/>
    <x v="39"/>
    <s v="Hopeet_SEF_2012_1st.xlsx"/>
    <s v=".xlsx"/>
    <d v="2014-03-21T00:00:00"/>
    <s v="as\afok"/>
    <m/>
    <s v="2012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28"/>
  </r>
  <r>
    <n v="843"/>
    <x v="110"/>
    <x v="110"/>
    <x v="102"/>
    <x v="1"/>
    <s v="DOUGLAS LAM"/>
    <n v="821"/>
    <s v="SIF"/>
    <s v="Supplier"/>
    <m/>
    <x v="303"/>
    <s v="HOPEET_SIF2012_2Mar12.xls"/>
    <s v=".xls"/>
    <d v="2014-03-21T00:00:00"/>
    <s v="as\afok"/>
    <m/>
    <s v="2012"/>
    <x v="0"/>
    <x v="0"/>
    <x v="0"/>
    <x v="0"/>
    <m/>
    <m/>
    <m/>
    <m/>
    <m/>
    <n v="2012"/>
    <m/>
    <m/>
    <m/>
    <m/>
    <m/>
    <n v="25"/>
    <m/>
    <m/>
    <m/>
    <m/>
    <m/>
    <x v="0"/>
    <x v="0"/>
    <x v="0"/>
    <x v="0"/>
    <m/>
    <m/>
    <m/>
    <n v="1"/>
    <n v="1"/>
    <m/>
    <m/>
    <s v="CP"/>
    <m/>
    <m/>
    <x v="2"/>
    <x v="1"/>
    <m/>
    <x v="28"/>
  </r>
  <r>
    <n v="2335"/>
    <x v="111"/>
    <x v="111"/>
    <x v="103"/>
    <x v="1"/>
    <s v="MAY LEE"/>
    <n v="2276"/>
    <s v="Environmental Declaration"/>
    <s v="Supplier"/>
    <m/>
    <x v="518"/>
    <s v="Houseware_Env_Declaration_04Jun2010.xlsx"/>
    <s v=".xlsx"/>
    <d v="2014-04-16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11"/>
  </r>
  <r>
    <n v="2334"/>
    <x v="111"/>
    <x v="111"/>
    <x v="103"/>
    <x v="1"/>
    <s v="MAY LEE"/>
    <n v="2275"/>
    <s v="Responsible Purchasing Charter"/>
    <s v="Supplier"/>
    <m/>
    <x v="119"/>
    <s v="Housewares_2000_Responsible_Purchasing_Charter_23Aug12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11"/>
  </r>
  <r>
    <n v="2332"/>
    <x v="111"/>
    <x v="111"/>
    <x v="103"/>
    <x v="1"/>
    <s v="MAY LEE"/>
    <n v="2273"/>
    <s v="SEF"/>
    <s v="Supplier"/>
    <m/>
    <x v="52"/>
    <s v="Housewares 2000_SEF_2012-2.xlsx"/>
    <s v=".xlsx"/>
    <d v="2014-04-16T00:00:00"/>
    <s v="as\afok"/>
    <m/>
    <s v="2012"/>
    <x v="0"/>
    <x v="0"/>
    <x v="0"/>
    <x v="0"/>
    <m/>
    <m/>
    <m/>
    <m/>
    <n v="55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11"/>
  </r>
  <r>
    <n v="2333"/>
    <x v="111"/>
    <x v="111"/>
    <x v="103"/>
    <x v="1"/>
    <s v="MAY LEE"/>
    <n v="2274"/>
    <s v="SEF"/>
    <s v="Supplier"/>
    <m/>
    <x v="167"/>
    <s v="Housewares2000_SEF_2012.xlsx"/>
    <s v=".xlsx"/>
    <d v="2014-04-16T00:00:00"/>
    <s v="as\afok"/>
    <m/>
    <s v="2012"/>
    <x v="0"/>
    <x v="0"/>
    <x v="0"/>
    <x v="0"/>
    <m/>
    <m/>
    <m/>
    <m/>
    <n v="55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11"/>
  </r>
  <r>
    <n v="2336"/>
    <x v="111"/>
    <x v="111"/>
    <x v="103"/>
    <x v="1"/>
    <s v="MAY LEE"/>
    <n v="2277"/>
    <s v="SIF"/>
    <s v="Supplier"/>
    <m/>
    <x v="239"/>
    <s v="Houseware_2000_SIF_2010.xls"/>
    <s v=".xls"/>
    <d v="2014-04-16T00:00:00"/>
    <s v="as\afok"/>
    <m/>
    <s v="2010"/>
    <x v="0"/>
    <x v="0"/>
    <x v="0"/>
    <x v="0"/>
    <m/>
    <m/>
    <m/>
    <m/>
    <m/>
    <n v="2010"/>
    <n v="3500000"/>
    <n v="2000000"/>
    <n v="3000000"/>
    <m/>
    <m/>
    <m/>
    <n v="7"/>
    <m/>
    <m/>
    <m/>
    <s v="CP Panel"/>
    <x v="0"/>
    <x v="0"/>
    <x v="1"/>
    <x v="3"/>
    <m/>
    <m/>
    <m/>
    <n v="0"/>
    <m/>
    <n v="1"/>
    <m/>
    <s v="CP"/>
    <m/>
    <m/>
    <x v="2"/>
    <x v="1"/>
    <m/>
    <x v="11"/>
  </r>
  <r>
    <n v="1465"/>
    <x v="112"/>
    <x v="112"/>
    <x v="104"/>
    <x v="5"/>
    <s v="JASMINE YANG"/>
    <n v="1421"/>
    <s v="Contract: General Contract"/>
    <s v="Supplier"/>
    <m/>
    <x v="519"/>
    <s v="Howell_Supply Agreement_9Jan2013.PDF"/>
    <s v=".pdf"/>
    <d v="2014-04-02T00:00:00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n v="1"/>
    <m/>
    <m/>
    <n v="0"/>
    <m/>
    <m/>
    <m/>
    <s v="CP"/>
    <s v="SP"/>
    <s v="MOULD"/>
    <x v="16"/>
    <x v="1"/>
    <m/>
    <x v="37"/>
  </r>
  <r>
    <n v="1471"/>
    <x v="112"/>
    <x v="112"/>
    <x v="104"/>
    <x v="5"/>
    <s v="JASMINE YANG"/>
    <n v="1434"/>
    <s v="Contract: General Contract"/>
    <s v="Supplier"/>
    <m/>
    <x v="520"/>
    <s v="Suzhou_Howell_Purchase_Agreement_2009.pdf"/>
    <s v=".pdf"/>
    <d v="2014-04-02T00:00:00"/>
    <s v="as\afok"/>
    <m/>
    <s v="V5"/>
    <x v="7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n v="1"/>
    <m/>
    <m/>
    <n v="0"/>
    <m/>
    <n v="1"/>
    <m/>
    <s v="CP"/>
    <s v="SP"/>
    <s v="MOULD"/>
    <x v="16"/>
    <x v="1"/>
    <m/>
    <x v="37"/>
  </r>
  <r>
    <n v="1461"/>
    <x v="112"/>
    <x v="112"/>
    <x v="104"/>
    <x v="5"/>
    <s v="JASMINE YANG"/>
    <n v="1425"/>
    <s v="Contract: Supply Chain Appendix"/>
    <s v="Supplier"/>
    <m/>
    <x v="521"/>
    <s v="Howell_Supply Chain Appendix_22Mar2013.PDF"/>
    <s v=".pdf"/>
    <d v="2014-04-02T00:00:00"/>
    <s v="as\afok"/>
    <m/>
    <m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9"/>
    <m/>
    <m/>
    <n v="1"/>
    <n v="0"/>
    <m/>
    <m/>
    <m/>
    <s v="CP"/>
    <s v="SP"/>
    <s v="MOULD"/>
    <x v="16"/>
    <x v="1"/>
    <m/>
    <x v="37"/>
  </r>
  <r>
    <n v="1459"/>
    <x v="112"/>
    <x v="112"/>
    <x v="104"/>
    <x v="5"/>
    <s v="JASMINE YANG"/>
    <n v="1423"/>
    <s v="Declaration letter of group organization"/>
    <s v="Supplier"/>
    <m/>
    <x v="256"/>
    <s v="Howell_Supply Agreement_9Jan2013.PDF"/>
    <s v=".pdf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x v="16"/>
    <x v="1"/>
    <m/>
    <x v="37"/>
  </r>
  <r>
    <n v="1463"/>
    <x v="112"/>
    <x v="112"/>
    <x v="104"/>
    <x v="5"/>
    <s v="JASMINE YANG"/>
    <n v="1427"/>
    <s v="Environmental Declaration"/>
    <s v="Supplier"/>
    <m/>
    <x v="522"/>
    <s v="Howell_Env_Declaration_28May2010.xls"/>
    <s v=".xls"/>
    <d v="2014-04-02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x v="16"/>
    <x v="1"/>
    <m/>
    <x v="37"/>
  </r>
  <r>
    <n v="1458"/>
    <x v="112"/>
    <x v="112"/>
    <x v="104"/>
    <x v="5"/>
    <s v="JASMINE YANG"/>
    <n v="1422"/>
    <s v="Environmental Declaration"/>
    <s v="Supplier"/>
    <m/>
    <x v="256"/>
    <s v="Howell_Supply Agreement_9Jan2013.PDF"/>
    <s v=".pdf"/>
    <d v="2014-04-02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x v="16"/>
    <x v="1"/>
    <m/>
    <x v="37"/>
  </r>
  <r>
    <n v="1464"/>
    <x v="112"/>
    <x v="112"/>
    <x v="104"/>
    <x v="5"/>
    <s v="JASMINE YANG"/>
    <n v="1428"/>
    <s v="Responsible Purchasing Charter"/>
    <s v="Supplier"/>
    <m/>
    <x v="235"/>
    <s v="Howell_Responsible Purchaser Charter_9Aug2012.pdf"/>
    <s v=".pdf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x v="16"/>
    <x v="1"/>
    <m/>
    <x v="37"/>
  </r>
  <r>
    <n v="1466"/>
    <x v="112"/>
    <x v="112"/>
    <x v="104"/>
    <x v="5"/>
    <s v="JASMINE YANG"/>
    <n v="1429"/>
    <s v="SEF"/>
    <s v="Supplier"/>
    <m/>
    <x v="112"/>
    <s v="Howell 2012 1st SEF.xlsx"/>
    <s v=".xlsx"/>
    <d v="2014-04-02T00:00:00"/>
    <s v="as\afok"/>
    <m/>
    <s v="2012"/>
    <x v="0"/>
    <x v="0"/>
    <x v="0"/>
    <x v="0"/>
    <m/>
    <m/>
    <m/>
    <m/>
    <n v="69"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x v="16"/>
    <x v="1"/>
    <m/>
    <x v="37"/>
  </r>
  <r>
    <n v="1470"/>
    <x v="112"/>
    <x v="112"/>
    <x v="104"/>
    <x v="5"/>
    <s v="JASMINE YANG"/>
    <n v="1433"/>
    <s v="SIF"/>
    <s v="Supplier"/>
    <m/>
    <x v="183"/>
    <s v="Howell_SIF_10May2012.xls"/>
    <s v=".xls"/>
    <d v="2014-04-02T00:00:00"/>
    <s v="as\afok"/>
    <m/>
    <s v="2012"/>
    <x v="0"/>
    <x v="0"/>
    <x v="0"/>
    <x v="0"/>
    <m/>
    <m/>
    <m/>
    <m/>
    <m/>
    <n v="2012"/>
    <n v="18800000"/>
    <n v="17800000"/>
    <n v="16800000"/>
    <n v="14500000"/>
    <n v="12800000"/>
    <n v="30"/>
    <n v="30"/>
    <n v="32"/>
    <n v="31"/>
    <n v="33"/>
    <s v="CP Panel"/>
    <x v="0"/>
    <x v="0"/>
    <x v="1"/>
    <x v="9"/>
    <m/>
    <m/>
    <m/>
    <n v="0"/>
    <m/>
    <m/>
    <m/>
    <s v="CP"/>
    <s v="SP"/>
    <s v="MOULD"/>
    <x v="16"/>
    <x v="1"/>
    <m/>
    <x v="37"/>
  </r>
  <r>
    <n v="1456"/>
    <x v="112"/>
    <x v="112"/>
    <x v="104"/>
    <x v="5"/>
    <s v="JASMINE YANG"/>
    <n v="1420"/>
    <s v="SIF"/>
    <s v="Supplier"/>
    <m/>
    <x v="46"/>
    <s v="Howell_SIF_Jan 2014.xls"/>
    <s v=".xls"/>
    <d v="2014-04-02T00:00:00"/>
    <s v="as\afok"/>
    <m/>
    <s v="2014"/>
    <x v="0"/>
    <x v="0"/>
    <x v="0"/>
    <x v="0"/>
    <m/>
    <m/>
    <m/>
    <m/>
    <m/>
    <n v="2014"/>
    <n v="30000000"/>
    <n v="27500000"/>
    <n v="21400000"/>
    <n v="16800000"/>
    <n v="14500000"/>
    <n v="21"/>
    <n v="22"/>
    <n v="30"/>
    <n v="32"/>
    <n v="31"/>
    <s v="CP Panel"/>
    <x v="0"/>
    <x v="0"/>
    <x v="1"/>
    <x v="9"/>
    <m/>
    <m/>
    <m/>
    <n v="0"/>
    <m/>
    <m/>
    <m/>
    <s v="CP"/>
    <s v="SP"/>
    <s v="MOULD"/>
    <x v="16"/>
    <x v="1"/>
    <m/>
    <x v="37"/>
  </r>
  <r>
    <n v="1469"/>
    <x v="112"/>
    <x v="112"/>
    <x v="104"/>
    <x v="5"/>
    <s v="JASMINE YANG"/>
    <n v="1432"/>
    <s v="Social Audit"/>
    <s v="Supplier"/>
    <m/>
    <x v="10"/>
    <s v="1012042501-SA-Howell-20120425.xlsx"/>
    <s v=".xlsx"/>
    <d v="2014-04-02T00:00:00"/>
    <s v="as\afok"/>
    <m/>
    <m/>
    <x v="0"/>
    <x v="0"/>
    <x v="0"/>
    <x v="0"/>
    <m/>
    <s v="SEB Asia"/>
    <s v="Initial"/>
    <s v="Critical"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x v="16"/>
    <x v="1"/>
    <m/>
    <x v="37"/>
  </r>
  <r>
    <n v="1468"/>
    <x v="112"/>
    <x v="112"/>
    <x v="104"/>
    <x v="5"/>
    <s v="JASMINE YANG"/>
    <n v="1431"/>
    <s v="Social Audit"/>
    <s v="Supplier"/>
    <m/>
    <x v="166"/>
    <s v="Howell_Social Audit Follow Up - 20120706.pdf"/>
    <s v=".pdf"/>
    <d v="2014-04-02T00:00:00"/>
    <s v="as\afok"/>
    <m/>
    <m/>
    <x v="0"/>
    <x v="0"/>
    <x v="0"/>
    <x v="0"/>
    <m/>
    <s v="SEB Asia"/>
    <s v="Initial"/>
    <s v="Critical"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x v="16"/>
    <x v="1"/>
    <m/>
    <x v="37"/>
  </r>
  <r>
    <n v="1467"/>
    <x v="112"/>
    <x v="112"/>
    <x v="104"/>
    <x v="5"/>
    <s v="JASMINE YANG"/>
    <n v="1430"/>
    <s v="Social Audit CAP"/>
    <s v="Supplier"/>
    <m/>
    <x v="10"/>
    <s v="1012042501_CAP_Howell_20120801.xlsx"/>
    <s v=".xlsx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x v="16"/>
    <x v="1"/>
    <m/>
    <x v="37"/>
  </r>
  <r>
    <n v="1460"/>
    <x v="112"/>
    <x v="112"/>
    <x v="104"/>
    <x v="5"/>
    <s v="JASMINE YANG"/>
    <n v="1424"/>
    <s v="SPR"/>
    <s v="Supplier"/>
    <m/>
    <x v="523"/>
    <s v="SPR 2013 Howell.pptx"/>
    <s v=".pptx"/>
    <d v="2014-04-02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x v="16"/>
    <x v="1"/>
    <m/>
    <x v="37"/>
  </r>
  <r>
    <n v="1462"/>
    <x v="112"/>
    <x v="112"/>
    <x v="104"/>
    <x v="5"/>
    <s v="JASMINE YANG"/>
    <n v="1426"/>
    <s v="SPR"/>
    <s v="Supplier"/>
    <m/>
    <x v="107"/>
    <s v="SPR 2012 Howell.pptx"/>
    <s v=".pptx"/>
    <d v="2014-04-02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x v="16"/>
    <x v="1"/>
    <m/>
    <x v="37"/>
  </r>
  <r>
    <n v="2069"/>
    <x v="113"/>
    <x v="113"/>
    <x v="105"/>
    <x v="4"/>
    <s v="RICKY LAM"/>
    <n v="2012"/>
    <s v="Environmental Declaration"/>
    <s v="Supplier"/>
    <m/>
    <x v="225"/>
    <s v="HuaZhong_Env_Declaration_30Mar2010.xls"/>
    <s v=".xls"/>
    <d v="2014-04-11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2070"/>
    <x v="113"/>
    <x v="113"/>
    <x v="105"/>
    <x v="4"/>
    <s v="RICKY LAM"/>
    <n v="2013"/>
    <s v="Responsible Purchasing Charter"/>
    <s v="Supplier"/>
    <m/>
    <x v="524"/>
    <s v="HUAZHONG_PLASTICS_Responsible_Purchasing_Charter_25Aug12.pdf"/>
    <s v=".pdf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2067"/>
    <x v="113"/>
    <x v="113"/>
    <x v="105"/>
    <x v="4"/>
    <s v="RICKY LAM"/>
    <n v="2010"/>
    <s v="SEF"/>
    <s v="Supplier"/>
    <m/>
    <x v="470"/>
    <s v="HuaZhong_SEF_Apr2011_R1.xlsx"/>
    <s v=".xlsx"/>
    <d v="2014-04-11T00:00:00"/>
    <s v="as\afok"/>
    <m/>
    <s v="2011"/>
    <x v="0"/>
    <x v="0"/>
    <x v="0"/>
    <x v="0"/>
    <m/>
    <m/>
    <m/>
    <m/>
    <n v="71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2068"/>
    <x v="113"/>
    <x v="113"/>
    <x v="105"/>
    <x v="4"/>
    <s v="RICKY LAM"/>
    <n v="2011"/>
    <s v="SIF"/>
    <s v="Supplier"/>
    <m/>
    <x v="525"/>
    <s v="SIF2011_Huazhong_Plastic.xls"/>
    <s v=".xls"/>
    <d v="2014-04-11T00:00:00"/>
    <s v="as\afok"/>
    <m/>
    <s v="2011"/>
    <x v="0"/>
    <x v="0"/>
    <x v="0"/>
    <x v="0"/>
    <m/>
    <m/>
    <m/>
    <m/>
    <m/>
    <n v="2011"/>
    <n v="12000000"/>
    <n v="10000000"/>
    <n v="8000000"/>
    <n v="6000000"/>
    <n v="5000000"/>
    <n v="0.5"/>
    <n v="0.1"/>
    <n v="0.1"/>
    <n v="0"/>
    <n v="0"/>
    <m/>
    <x v="0"/>
    <x v="0"/>
    <x v="0"/>
    <x v="0"/>
    <m/>
    <m/>
    <m/>
    <n v="0"/>
    <m/>
    <m/>
    <m/>
    <s v="CP"/>
    <m/>
    <m/>
    <x v="2"/>
    <x v="1"/>
    <m/>
    <x v="8"/>
  </r>
  <r>
    <n v="23"/>
    <x v="114"/>
    <x v="114"/>
    <x v="106"/>
    <x v="2"/>
    <s v="GODFREY LI"/>
    <n v="19"/>
    <s v="Contract: General Contract"/>
    <s v="Supplier"/>
    <d v="2015-12-31T00:00:00"/>
    <x v="378"/>
    <s v="Huierjia_General Agreement_FHA00016 ind.11_20120608.pdf"/>
    <s v=".pdf"/>
    <d v="2014-03-04T00:00:00"/>
    <s v="as\afok"/>
    <m/>
    <s v="FHA00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25"/>
  </r>
  <r>
    <n v="332"/>
    <x v="114"/>
    <x v="114"/>
    <x v="106"/>
    <x v="2"/>
    <s v="GODFREY LI"/>
    <n v="319"/>
    <s v="Contract: Quality Appendix"/>
    <s v="Supplier"/>
    <m/>
    <x v="378"/>
    <s v="Huierjia_General Agreement_2012-06-11.pdf"/>
    <s v=".pdf"/>
    <d v="2014-03-14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x v="9"/>
    <x v="1"/>
    <m/>
    <x v="25"/>
  </r>
  <r>
    <n v="331"/>
    <x v="114"/>
    <x v="114"/>
    <x v="106"/>
    <x v="2"/>
    <s v="GODFREY LI"/>
    <n v="318"/>
    <s v="Contract: Supply Chain Appendix"/>
    <s v="Supplier"/>
    <m/>
    <x v="378"/>
    <s v="Huierjia_General Agreement_2012-06-11.pdf"/>
    <s v=".pdf"/>
    <d v="2014-03-14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x v="9"/>
    <x v="1"/>
    <m/>
    <x v="25"/>
  </r>
  <r>
    <n v="589"/>
    <x v="114"/>
    <x v="114"/>
    <x v="106"/>
    <x v="2"/>
    <s v="GODFREY LI"/>
    <n v="572"/>
    <s v="Declaration letter of group organization"/>
    <s v="Supplier"/>
    <m/>
    <x v="322"/>
    <s v="Huierjia_General Agreement_FHA00016 ind.11_20120608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x v="9"/>
    <x v="1"/>
    <m/>
    <x v="25"/>
  </r>
  <r>
    <n v="333"/>
    <x v="114"/>
    <x v="114"/>
    <x v="106"/>
    <x v="2"/>
    <s v="GODFREY LI"/>
    <n v="320"/>
    <s v="Environmental Declaration"/>
    <s v="Supplier"/>
    <m/>
    <x v="378"/>
    <s v="Huierjia_General Agreement_2012-06-11.pdf"/>
    <s v=".pdf"/>
    <d v="2014-03-14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5"/>
  </r>
  <r>
    <n v="335"/>
    <x v="114"/>
    <x v="114"/>
    <x v="106"/>
    <x v="2"/>
    <s v="GODFREY LI"/>
    <n v="322"/>
    <s v="Environmental Declaration"/>
    <s v="Supplier"/>
    <m/>
    <x v="522"/>
    <s v="Xinghui_Env_Declaration_28May2010.xls"/>
    <s v=".xls"/>
    <d v="2014-03-14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5"/>
  </r>
  <r>
    <n v="334"/>
    <x v="114"/>
    <x v="114"/>
    <x v="106"/>
    <x v="2"/>
    <s v="GODFREY LI"/>
    <n v="321"/>
    <s v="Exclusivity (EA)"/>
    <s v="Supplier"/>
    <m/>
    <x v="526"/>
    <s v="Xinghui Exclusivity Summary 2012-01-24.xlsx"/>
    <s v=".xlsx"/>
    <d v="2014-03-14T00:00:00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5"/>
  </r>
  <r>
    <n v="341"/>
    <x v="114"/>
    <x v="114"/>
    <x v="106"/>
    <x v="2"/>
    <s v="GODFREY LI"/>
    <n v="328"/>
    <s v="Foodstuffs declaration"/>
    <s v="Supplier"/>
    <m/>
    <x v="384"/>
    <s v="Xinghui -FRD00069 ind.04 20090401.pdf"/>
    <s v=".pdf"/>
    <d v="2014-03-14T00:00:00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5"/>
  </r>
  <r>
    <n v="336"/>
    <x v="114"/>
    <x v="114"/>
    <x v="106"/>
    <x v="2"/>
    <s v="GODFREY LI"/>
    <n v="323"/>
    <s v="Responsible Purchasing Charter"/>
    <s v="Supplier"/>
    <m/>
    <x v="103"/>
    <s v="Xinghui - Responsible Purchasing Charter (CH).pdf"/>
    <s v=".pdf"/>
    <d v="2014-03-14T00:00:00"/>
    <s v="as\afok"/>
    <s v="Chinese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5"/>
  </r>
  <r>
    <n v="337"/>
    <x v="114"/>
    <x v="114"/>
    <x v="106"/>
    <x v="2"/>
    <s v="GODFREY LI"/>
    <n v="324"/>
    <s v="Responsible Purchasing Charter"/>
    <s v="Supplier"/>
    <m/>
    <x v="103"/>
    <s v="Xinghui - Responsible Purchasing Charter (ENG).pdf"/>
    <s v=".pdf"/>
    <d v="2014-03-14T00:00:00"/>
    <s v="as\afok"/>
    <s v="English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5"/>
  </r>
  <r>
    <n v="338"/>
    <x v="114"/>
    <x v="114"/>
    <x v="106"/>
    <x v="2"/>
    <s v="GODFREY LI"/>
    <n v="325"/>
    <s v="SEF"/>
    <s v="Supplier"/>
    <m/>
    <x v="55"/>
    <s v="SEF_Xinghui_201206.xlsx"/>
    <s v=".xlsx"/>
    <d v="2014-03-14T00:00:00"/>
    <s v="as\afok"/>
    <m/>
    <s v="2012"/>
    <x v="0"/>
    <x v="0"/>
    <x v="0"/>
    <x v="0"/>
    <m/>
    <m/>
    <m/>
    <m/>
    <n v="69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25"/>
  </r>
  <r>
    <n v="340"/>
    <x v="114"/>
    <x v="114"/>
    <x v="106"/>
    <x v="2"/>
    <s v="GODFREY LI"/>
    <n v="327"/>
    <s v="SIF"/>
    <s v="Supplier"/>
    <m/>
    <x v="27"/>
    <s v="Xinghui - SIF 2013.xls"/>
    <s v=".xls"/>
    <d v="2014-03-14T00:00:00"/>
    <s v="as\afok"/>
    <m/>
    <s v="2013"/>
    <x v="0"/>
    <x v="0"/>
    <x v="0"/>
    <x v="0"/>
    <m/>
    <m/>
    <m/>
    <m/>
    <m/>
    <n v="2013"/>
    <n v="40000000"/>
    <n v="29223072.219999999"/>
    <n v="23437874.41"/>
    <n v="22066836.940000001"/>
    <m/>
    <n v="10.42"/>
    <n v="8.8000000000000007"/>
    <n v="13.75"/>
    <n v="13.16"/>
    <m/>
    <m/>
    <x v="0"/>
    <x v="0"/>
    <x v="0"/>
    <x v="0"/>
    <m/>
    <m/>
    <m/>
    <n v="1"/>
    <m/>
    <m/>
    <s v="FP"/>
    <m/>
    <s v="SP"/>
    <m/>
    <x v="9"/>
    <x v="1"/>
    <m/>
    <x v="25"/>
  </r>
  <r>
    <n v="339"/>
    <x v="114"/>
    <x v="114"/>
    <x v="106"/>
    <x v="2"/>
    <s v="GODFREY LI"/>
    <n v="326"/>
    <s v="SIF"/>
    <s v="Supplier"/>
    <m/>
    <x v="154"/>
    <s v="Xinghui - SIF 2012.xls"/>
    <s v=".xls"/>
    <d v="2014-03-14T00:00:00"/>
    <s v="as\afok"/>
    <m/>
    <s v="2012"/>
    <x v="0"/>
    <x v="0"/>
    <x v="0"/>
    <x v="0"/>
    <m/>
    <m/>
    <m/>
    <m/>
    <m/>
    <n v="2012"/>
    <n v="120000000"/>
    <n v="110000000"/>
    <n v="100000000"/>
    <n v="90000000"/>
    <n v="60000000"/>
    <n v="17"/>
    <n v="12"/>
    <n v="8"/>
    <n v="5"/>
    <n v="0"/>
    <m/>
    <x v="0"/>
    <x v="0"/>
    <x v="0"/>
    <x v="0"/>
    <m/>
    <m/>
    <m/>
    <n v="1"/>
    <m/>
    <m/>
    <s v="FP"/>
    <m/>
    <s v="SP"/>
    <m/>
    <x v="9"/>
    <x v="1"/>
    <m/>
    <x v="25"/>
  </r>
  <r>
    <n v="1474"/>
    <x v="115"/>
    <x v="115"/>
    <x v="107"/>
    <x v="5"/>
    <s v="JASMINE YANG"/>
    <n v="1437"/>
    <s v="Environmental Declaration"/>
    <s v="Supplier"/>
    <m/>
    <x v="527"/>
    <s v="Simplified_environnement_declararion2010_Hysen.pdf"/>
    <s v=".pdf"/>
    <d v="2014-04-02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475"/>
    <x v="115"/>
    <x v="115"/>
    <x v="107"/>
    <x v="5"/>
    <s v="JASMINE YANG"/>
    <n v="1438"/>
    <s v="LOC (Letter of Confidentiality)"/>
    <s v="Supplier"/>
    <m/>
    <x v="528"/>
    <s v="LOC_Hysen.pdf"/>
    <s v=".pdf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1473"/>
    <x v="115"/>
    <x v="115"/>
    <x v="107"/>
    <x v="5"/>
    <s v="JASMINE YANG"/>
    <n v="1436"/>
    <s v="Responsible Purchasing Charter"/>
    <s v="Supplier"/>
    <m/>
    <x v="235"/>
    <s v="Hysen_Responsible Purchaser Charter_9Aug2012.pdf"/>
    <s v=".pdf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472"/>
    <x v="115"/>
    <x v="115"/>
    <x v="107"/>
    <x v="5"/>
    <s v="JASMINE YANG"/>
    <n v="1435"/>
    <s v="SIF"/>
    <s v="Supplier"/>
    <m/>
    <x v="529"/>
    <s v="SIF2011 HYSEN SH.pdf"/>
    <s v=".pdf"/>
    <d v="2014-04-02T00:00:00"/>
    <s v="as\afok"/>
    <m/>
    <s v="2011"/>
    <x v="0"/>
    <x v="0"/>
    <x v="0"/>
    <x v="0"/>
    <m/>
    <m/>
    <m/>
    <m/>
    <m/>
    <n v="2010"/>
    <n v="1300000"/>
    <n v="9000000"/>
    <m/>
    <m/>
    <m/>
    <n v="10"/>
    <n v="0.8"/>
    <m/>
    <m/>
    <m/>
    <m/>
    <x v="0"/>
    <x v="0"/>
    <x v="0"/>
    <x v="0"/>
    <m/>
    <m/>
    <m/>
    <n v="0"/>
    <m/>
    <m/>
    <m/>
    <s v="CP"/>
    <m/>
    <m/>
    <x v="2"/>
    <x v="1"/>
    <m/>
    <x v="8"/>
  </r>
  <r>
    <n v="2607"/>
    <x v="116"/>
    <x v="116"/>
    <x v="108"/>
    <x v="0"/>
    <s v="KITTY LAI"/>
    <n v="2456"/>
    <s v="Environmental Declaration"/>
    <s v="Supplier"/>
    <m/>
    <x v="225"/>
    <s v="IBL_Env_Declaration_30Mar2010.pdf"/>
    <s v=".pdf"/>
    <d v="2014-04-23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x v="10"/>
    <x v="1"/>
    <m/>
    <x v="15"/>
  </r>
  <r>
    <n v="2605"/>
    <x v="116"/>
    <x v="116"/>
    <x v="108"/>
    <x v="0"/>
    <s v="KITTY LAI"/>
    <n v="2454"/>
    <s v="SEF"/>
    <s v="Supplier"/>
    <m/>
    <x v="248"/>
    <s v="SEF - IBL 2013.xlsx"/>
    <s v=".xlsx"/>
    <d v="2014-04-23T00:00:00"/>
    <s v="as\afok"/>
    <m/>
    <s v="2013"/>
    <x v="0"/>
    <x v="0"/>
    <x v="0"/>
    <x v="0"/>
    <m/>
    <m/>
    <m/>
    <m/>
    <n v="84"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x v="10"/>
    <x v="1"/>
    <m/>
    <x v="15"/>
  </r>
  <r>
    <n v="2606"/>
    <x v="116"/>
    <x v="116"/>
    <x v="108"/>
    <x v="0"/>
    <s v="KITTY LAI"/>
    <n v="2455"/>
    <s v="SIF"/>
    <s v="Supplier"/>
    <m/>
    <x v="530"/>
    <s v="IBL_SIF2013.xls"/>
    <s v=".xls"/>
    <d v="2014-04-23T00:00:00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x v="10"/>
    <x v="1"/>
    <m/>
    <x v="15"/>
  </r>
  <r>
    <n v="2609"/>
    <x v="116"/>
    <x v="116"/>
    <x v="108"/>
    <x v="0"/>
    <s v="KITTY LAI"/>
    <n v="2458"/>
    <s v="SIF"/>
    <s v="Supplier"/>
    <m/>
    <x v="531"/>
    <s v="IBL_SIF2012_29Feb2012.xls"/>
    <s v=".xls"/>
    <d v="2014-04-23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s v="CP"/>
    <m/>
    <s v="MOULD"/>
    <x v="10"/>
    <x v="1"/>
    <m/>
    <x v="15"/>
  </r>
  <r>
    <n v="2608"/>
    <x v="116"/>
    <x v="116"/>
    <x v="108"/>
    <x v="0"/>
    <s v="KITTY LAI"/>
    <n v="2457"/>
    <s v="SPR"/>
    <s v="Supplier"/>
    <m/>
    <x v="512"/>
    <s v="SPR - IBL 2011 11-08-01.ppt"/>
    <s v=".ppt"/>
    <d v="2014-04-23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x v="10"/>
    <x v="1"/>
    <m/>
    <x v="15"/>
  </r>
  <r>
    <n v="2277"/>
    <x v="117"/>
    <x v="117"/>
    <x v="109"/>
    <x v="1"/>
    <s v="DOUGLAS LAM"/>
    <n v="2218"/>
    <s v="Environmental Declaration"/>
    <s v="Supplier"/>
    <m/>
    <x v="110"/>
    <s v="Hanyu_Env_Declaration_31May2010.xls"/>
    <s v=".xls"/>
    <d v="2014-04-16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28"/>
  </r>
  <r>
    <n v="2276"/>
    <x v="117"/>
    <x v="117"/>
    <x v="109"/>
    <x v="1"/>
    <s v="DOUGLAS LAM"/>
    <n v="2217"/>
    <s v="Responsible Purchasing Charter"/>
    <s v="Supplier"/>
    <m/>
    <x v="51"/>
    <s v="Jiangmen_Idear-Hanyu_Responsible_Purchasing_Charter_03Aug12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28"/>
  </r>
  <r>
    <n v="2278"/>
    <x v="117"/>
    <x v="117"/>
    <x v="109"/>
    <x v="1"/>
    <s v="DOUGLAS LAM"/>
    <n v="2219"/>
    <s v="SIF"/>
    <s v="Supplier"/>
    <m/>
    <x v="432"/>
    <s v="Hanyu_SIF_2010.xls"/>
    <s v=".xls"/>
    <d v="2014-04-16T00:00:00"/>
    <s v="as\afok"/>
    <m/>
    <s v="2010"/>
    <x v="0"/>
    <x v="0"/>
    <x v="0"/>
    <x v="0"/>
    <m/>
    <m/>
    <m/>
    <m/>
    <m/>
    <n v="2010"/>
    <n v="21000000"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28"/>
  </r>
  <r>
    <n v="2275"/>
    <x v="117"/>
    <x v="117"/>
    <x v="109"/>
    <x v="1"/>
    <s v="DOUGLAS LAM"/>
    <n v="2216"/>
    <s v="SIF"/>
    <s v="Supplier"/>
    <m/>
    <x v="532"/>
    <s v="Idear-Hanyu_SIF 2013.XLSX"/>
    <s v=".xlsx"/>
    <d v="2014-04-16T00:00:00"/>
    <s v="as\afok"/>
    <m/>
    <s v="2013"/>
    <x v="0"/>
    <x v="0"/>
    <x v="0"/>
    <x v="0"/>
    <m/>
    <m/>
    <m/>
    <m/>
    <m/>
    <n v="2013"/>
    <n v="117000000"/>
    <n v="107000000"/>
    <n v="97000000"/>
    <n v="76000000"/>
    <n v="51000000"/>
    <n v="1.841"/>
    <n v="9.06E-2"/>
    <n v="0.23050000000000001"/>
    <n v="0.20899999999999999"/>
    <n v="6.7699999999999996E-2"/>
    <m/>
    <x v="0"/>
    <x v="0"/>
    <x v="0"/>
    <x v="0"/>
    <m/>
    <m/>
    <m/>
    <n v="0"/>
    <m/>
    <m/>
    <m/>
    <s v="CP"/>
    <m/>
    <m/>
    <x v="2"/>
    <x v="1"/>
    <m/>
    <x v="28"/>
  </r>
  <r>
    <n v="2613"/>
    <x v="118"/>
    <x v="118"/>
    <x v="110"/>
    <x v="0"/>
    <s v="KITTY LAI"/>
    <n v="2462"/>
    <s v="Contract: General Contract"/>
    <s v="Supplier"/>
    <m/>
    <x v="378"/>
    <s v="IMS_General Agreement_30May12.pdf"/>
    <s v=".pdf"/>
    <d v="2014-04-23T00:00:00"/>
    <s v="as\afok"/>
    <s v="Intercontinental Marketing Services Co., Ltd"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m/>
    <m/>
    <x v="0"/>
    <x v="1"/>
    <m/>
    <x v="0"/>
  </r>
  <r>
    <n v="2616"/>
    <x v="118"/>
    <x v="118"/>
    <x v="110"/>
    <x v="0"/>
    <s v="KITTY LAI"/>
    <n v="2465"/>
    <s v="Contract: Quality Appendix"/>
    <s v="Supplier"/>
    <m/>
    <x v="378"/>
    <s v="IMS_General Agreement_30May12.pdf"/>
    <s v=".pdf"/>
    <d v="2014-04-23T00:00:00"/>
    <s v="as\afok"/>
    <s v="Intercontinental Marketing Services Co., Ltd"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m/>
    <m/>
    <x v="0"/>
    <x v="1"/>
    <m/>
    <x v="0"/>
  </r>
  <r>
    <n v="2620"/>
    <x v="118"/>
    <x v="118"/>
    <x v="110"/>
    <x v="0"/>
    <s v="KITTY LAI"/>
    <n v="2469"/>
    <s v="Contract: Supply Chain Appendix"/>
    <s v="Supplier"/>
    <m/>
    <x v="378"/>
    <s v="IMSFE_General Agreement_30May12.pdf"/>
    <s v=".pdf"/>
    <d v="2014-04-23T00:00:00"/>
    <s v="as\afok"/>
    <s v="Intercontinental Marketing Services Far East Company Limited"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m/>
    <m/>
    <x v="0"/>
    <x v="1"/>
    <m/>
    <x v="0"/>
  </r>
  <r>
    <n v="2624"/>
    <x v="118"/>
    <x v="118"/>
    <x v="110"/>
    <x v="0"/>
    <s v="KITTY LAI"/>
    <n v="2464"/>
    <s v="Contract: Supply Chain Appendix"/>
    <s v="Supplier"/>
    <m/>
    <x v="378"/>
    <s v="IMS_General Agreement_30May12.pdf"/>
    <s v=".pdf"/>
    <d v="2014-04-23T00:00:00"/>
    <s v="as\afok"/>
    <s v="Intercontinental Marketing Services Co., Ltd"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n v="1"/>
    <m/>
    <s v="FP"/>
    <m/>
    <m/>
    <m/>
    <x v="0"/>
    <x v="1"/>
    <m/>
    <x v="0"/>
  </r>
  <r>
    <n v="2617"/>
    <x v="118"/>
    <x v="118"/>
    <x v="110"/>
    <x v="0"/>
    <s v="KITTY LAI"/>
    <n v="2466"/>
    <s v="Declaration letter of group organization"/>
    <s v="Supplier"/>
    <m/>
    <x v="533"/>
    <s v="IMS_General Agreement_30May12.pdf"/>
    <s v=".pdf"/>
    <d v="2014-04-23T00:00:00"/>
    <s v="as\afok"/>
    <s v="Intercontinental Marketing Services Co., Ltd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x v="0"/>
    <x v="1"/>
    <m/>
    <x v="0"/>
  </r>
  <r>
    <n v="2614"/>
    <x v="118"/>
    <x v="118"/>
    <x v="110"/>
    <x v="0"/>
    <s v="KITTY LAI"/>
    <n v="2463"/>
    <s v="Environmental Declaration"/>
    <s v="Supplier"/>
    <m/>
    <x v="533"/>
    <s v="IMS_General Agreement_30May12.pdf"/>
    <s v=".pdf"/>
    <d v="2014-04-23T00:00:00"/>
    <s v="as\afok"/>
    <s v="Intercontinental Marketing Services Co., Ltd"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x v="0"/>
    <x v="1"/>
    <m/>
    <x v="0"/>
  </r>
  <r>
    <n v="2610"/>
    <x v="118"/>
    <x v="118"/>
    <x v="110"/>
    <x v="0"/>
    <s v="KITTY LAI"/>
    <n v="2459"/>
    <s v="SEF"/>
    <s v="Supplier"/>
    <m/>
    <x v="248"/>
    <s v="SEF - IMS 2013.xlsx"/>
    <s v=".xlsx"/>
    <d v="2014-04-23T00:00:00"/>
    <s v="as\afok"/>
    <m/>
    <m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m/>
    <m/>
    <s v="FP"/>
    <m/>
    <m/>
    <m/>
    <x v="0"/>
    <x v="1"/>
    <m/>
    <x v="0"/>
  </r>
  <r>
    <n v="2626"/>
    <x v="119"/>
    <x v="119"/>
    <x v="111"/>
    <x v="0"/>
    <s v="KITTY LAI"/>
    <n v="2467"/>
    <s v="Contract: General Contract"/>
    <s v="Supplier"/>
    <m/>
    <x v="378"/>
    <s v="IMSFE_General Agreement_30May12.pdf"/>
    <s v=".pdf"/>
    <d v="2014-04-23T00:00:00"/>
    <s v="as\afok"/>
    <s v="Intercontinental Marketing Services Far East Company Limited"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m/>
    <m/>
    <x v="0"/>
    <x v="1"/>
    <m/>
    <x v="0"/>
  </r>
  <r>
    <n v="2623"/>
    <x v="119"/>
    <x v="119"/>
    <x v="111"/>
    <x v="0"/>
    <s v="KITTY LAI"/>
    <n v="2470"/>
    <s v="Contract: Quality Appendix"/>
    <s v="Supplier"/>
    <m/>
    <x v="378"/>
    <s v="IMSFE_General Agreement_30May12.pdf"/>
    <s v=".pdf"/>
    <d v="2014-04-23T00:00:00"/>
    <s v="as\afok"/>
    <s v="Intercontinental Marketing Services Far East Company Limited"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m/>
    <m/>
    <x v="0"/>
    <x v="1"/>
    <m/>
    <x v="0"/>
  </r>
  <r>
    <n v="2622"/>
    <x v="119"/>
    <x v="119"/>
    <x v="111"/>
    <x v="0"/>
    <s v="KITTY LAI"/>
    <n v="2468"/>
    <s v="Environmental Declaration"/>
    <s v="Supplier"/>
    <m/>
    <x v="533"/>
    <s v="IMSFE_General Agreement_30May12.pdf"/>
    <s v=".pdf"/>
    <d v="2014-04-23T00:00:00"/>
    <s v="as\afok"/>
    <s v="Intercontinental Marketing Services Far East Company Limited"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x v="0"/>
    <x v="1"/>
    <m/>
    <x v="0"/>
  </r>
  <r>
    <n v="2627"/>
    <x v="119"/>
    <x v="119"/>
    <x v="111"/>
    <x v="0"/>
    <s v="KITTY LAI"/>
    <n v="2460"/>
    <s v="Responsible Purchasing Charter"/>
    <s v="Supplier"/>
    <m/>
    <x v="19"/>
    <s v="IMSFE_Responsible Purchasing Charter_7Aug12.pdf"/>
    <s v=".pdf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m/>
    <m/>
    <x v="0"/>
    <x v="1"/>
    <m/>
    <x v="0"/>
  </r>
  <r>
    <n v="2625"/>
    <x v="119"/>
    <x v="119"/>
    <x v="111"/>
    <x v="0"/>
    <s v="KITTY LAI"/>
    <n v="2461"/>
    <s v="SIF"/>
    <s v="Supplier"/>
    <m/>
    <x v="137"/>
    <s v="IMSFE - SIF2012.pdf"/>
    <s v=".pdf"/>
    <d v="2014-04-23T00:00:00"/>
    <s v="as\afok"/>
    <m/>
    <s v="2012"/>
    <x v="0"/>
    <x v="0"/>
    <x v="0"/>
    <x v="0"/>
    <m/>
    <m/>
    <m/>
    <m/>
    <m/>
    <n v="2012"/>
    <n v="55000000"/>
    <n v="50000000"/>
    <n v="50000000"/>
    <n v="55000000"/>
    <n v="45000000"/>
    <m/>
    <m/>
    <m/>
    <m/>
    <m/>
    <m/>
    <x v="0"/>
    <x v="0"/>
    <x v="0"/>
    <x v="0"/>
    <m/>
    <m/>
    <m/>
    <n v="1"/>
    <m/>
    <m/>
    <s v="FP"/>
    <m/>
    <m/>
    <m/>
    <x v="0"/>
    <x v="1"/>
    <m/>
    <x v="0"/>
  </r>
  <r>
    <n v="1854"/>
    <x v="120"/>
    <x v="120"/>
    <x v="112"/>
    <x v="4"/>
    <s v="MAVERICK LAU"/>
    <n v="1810"/>
    <s v="Environmental Declaration"/>
    <s v="Supplier"/>
    <m/>
    <x v="62"/>
    <s v="JnP_Env_Declaration_23Mar2010.xls"/>
    <s v=".xls"/>
    <d v="2014-04-09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855"/>
    <x v="120"/>
    <x v="120"/>
    <x v="112"/>
    <x v="4"/>
    <s v="MAVERICK LAU"/>
    <n v="1811"/>
    <s v="ISO 9001"/>
    <s v="Supplier"/>
    <d v="2011-10-24T00:00:00"/>
    <x v="534"/>
    <s v="JnP_ISO9001_24Oct2011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857"/>
    <x v="120"/>
    <x v="120"/>
    <x v="112"/>
    <x v="4"/>
    <s v="MAVERICK LAU"/>
    <n v="1813"/>
    <s v="LOC (Letter of Confidentiality)"/>
    <s v="Supplier"/>
    <m/>
    <x v="225"/>
    <s v="J_and_P_LOC_02Apr2010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1856"/>
    <x v="120"/>
    <x v="120"/>
    <x v="112"/>
    <x v="4"/>
    <s v="MAVERICK LAU"/>
    <n v="1812"/>
    <s v="SIF"/>
    <s v="Supplier"/>
    <m/>
    <x v="319"/>
    <s v="J_AND_P_SIF2012_19APR12.xlsx"/>
    <s v=".xlsx"/>
    <d v="2014-04-09T00:00:00"/>
    <s v="as\afok"/>
    <m/>
    <s v="2012"/>
    <x v="0"/>
    <x v="0"/>
    <x v="0"/>
    <x v="0"/>
    <m/>
    <m/>
    <m/>
    <m/>
    <m/>
    <n v="2012"/>
    <n v="6000000"/>
    <n v="5400000"/>
    <n v="5405300"/>
    <n v="4812000"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24"/>
    <x v="121"/>
    <x v="121"/>
    <x v="113"/>
    <x v="0"/>
    <s v="FELICITY YU"/>
    <n v="20"/>
    <s v="Contract: General Contract"/>
    <s v="Supplier"/>
    <d v="2015-12-31T00:00:00"/>
    <x v="480"/>
    <s v="JACKPOT_General Agreement_28Nov2011.pdf"/>
    <s v=".pdf"/>
    <d v="2014-03-04T00:00:00"/>
    <s v="as\afok"/>
    <m/>
    <s v="FHA00016 ind.10"/>
    <x v="5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m/>
    <s v="SP"/>
    <m/>
    <x v="9"/>
    <x v="1"/>
    <m/>
    <x v="38"/>
  </r>
  <r>
    <n v="138"/>
    <x v="121"/>
    <x v="121"/>
    <x v="113"/>
    <x v="0"/>
    <s v="FELICITY YU"/>
    <n v="130"/>
    <s v="Contract: Quality Appendix"/>
    <s v="Supplier"/>
    <m/>
    <x v="426"/>
    <s v="JACKPOT_General Agreement_28Nov2011.pdf"/>
    <s v=".pdf"/>
    <d v="2014-03-10T00:00:00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m/>
    <m/>
    <s v="FP"/>
    <m/>
    <s v="SP"/>
    <m/>
    <x v="9"/>
    <x v="1"/>
    <m/>
    <x v="38"/>
  </r>
  <r>
    <n v="137"/>
    <x v="121"/>
    <x v="121"/>
    <x v="113"/>
    <x v="0"/>
    <s v="FELICITY YU"/>
    <n v="129"/>
    <s v="Contract: Supply Chain Appendix"/>
    <s v="Supplier"/>
    <m/>
    <x v="480"/>
    <s v="JACKPOT_General Agreement_28Nov2011.pdf"/>
    <s v=".pdf"/>
    <d v="2014-03-10T00:00:00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2"/>
    <x v="0"/>
    <x v="0"/>
    <m/>
    <m/>
    <n v="1"/>
    <n v="1"/>
    <m/>
    <m/>
    <s v="FP"/>
    <m/>
    <s v="SP"/>
    <m/>
    <x v="9"/>
    <x v="1"/>
    <m/>
    <x v="38"/>
  </r>
  <r>
    <n v="575"/>
    <x v="121"/>
    <x v="121"/>
    <x v="113"/>
    <x v="0"/>
    <s v="FELICITY YU"/>
    <n v="558"/>
    <s v="Declaration letter of group organization"/>
    <s v="Supplier"/>
    <m/>
    <x v="480"/>
    <s v="JACKPOT_General Agreement_28Nov2011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n v="1"/>
    <m/>
    <s v="FP"/>
    <m/>
    <s v="SP"/>
    <m/>
    <x v="9"/>
    <x v="1"/>
    <m/>
    <x v="38"/>
  </r>
  <r>
    <n v="135"/>
    <x v="121"/>
    <x v="121"/>
    <x v="113"/>
    <x v="0"/>
    <s v="FELICITY YU"/>
    <n v="127"/>
    <s v="Environmental Declaration"/>
    <s v="Supplier"/>
    <m/>
    <x v="511"/>
    <s v="JackPot_Env_Declaration_31Mar2010.pdf"/>
    <s v=".pdf"/>
    <d v="2014-03-10T00:00:00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8"/>
  </r>
  <r>
    <n v="139"/>
    <x v="121"/>
    <x v="121"/>
    <x v="113"/>
    <x v="0"/>
    <s v="FELICITY YU"/>
    <n v="131"/>
    <s v="Environmental Declaration"/>
    <s v="Supplier"/>
    <m/>
    <x v="480"/>
    <s v="JACKPOT_General Agreement_28Nov2011.pdf"/>
    <s v=".pdf"/>
    <d v="2014-03-10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8"/>
  </r>
  <r>
    <n v="136"/>
    <x v="121"/>
    <x v="121"/>
    <x v="113"/>
    <x v="0"/>
    <s v="FELICITY YU"/>
    <n v="128"/>
    <s v="Exclusivity (EA)"/>
    <s v="Supplier"/>
    <m/>
    <x v="535"/>
    <s v="Jackpot_Exclsivity Agreement_Vintage Dry Iron_4Jan12.pdf"/>
    <s v=".pdf"/>
    <d v="2014-03-10T00:00:00"/>
    <s v="as\afok"/>
    <s v="Vintage Dry Iron"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8"/>
  </r>
  <r>
    <n v="140"/>
    <x v="121"/>
    <x v="121"/>
    <x v="113"/>
    <x v="0"/>
    <s v="FELICITY YU"/>
    <n v="132"/>
    <s v="IP (Intellectual Property)"/>
    <s v="Product / Project"/>
    <m/>
    <x v="535"/>
    <s v="Jackpot_IP_Vintage Dry Iron_4Jan12.pdf"/>
    <s v=".pdf"/>
    <d v="2014-03-10T00:00:00"/>
    <s v="as\afok"/>
    <m/>
    <m/>
    <x v="0"/>
    <x v="0"/>
    <x v="0"/>
    <x v="0"/>
    <s v="Vintage Dry Iron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8"/>
  </r>
  <r>
    <n v="134"/>
    <x v="121"/>
    <x v="121"/>
    <x v="113"/>
    <x v="0"/>
    <s v="FELICITY YU"/>
    <n v="126"/>
    <s v="ISO 14001"/>
    <s v="Supplier"/>
    <d v="2013-09-25T00:00:00"/>
    <x v="536"/>
    <s v="Jack Pot ISO14001 06 Oct 2010.pdf"/>
    <s v=".pdf"/>
    <d v="2014-03-10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8"/>
  </r>
  <r>
    <n v="142"/>
    <x v="121"/>
    <x v="121"/>
    <x v="113"/>
    <x v="0"/>
    <s v="FELICITY YU"/>
    <n v="134"/>
    <s v="LOC (Letter of Confidentiality)"/>
    <s v="Product / Project"/>
    <m/>
    <x v="537"/>
    <s v="JackPot_LOC_OPALE Yogurt Maker 21Jan10.pdf"/>
    <s v=".pdf"/>
    <d v="2014-03-10T00:00:00"/>
    <s v="as\afok"/>
    <m/>
    <m/>
    <x v="0"/>
    <x v="0"/>
    <x v="0"/>
    <x v="0"/>
    <s v="OPALE Yogurt Maker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8"/>
  </r>
  <r>
    <n v="141"/>
    <x v="121"/>
    <x v="121"/>
    <x v="113"/>
    <x v="0"/>
    <s v="FELICITY YU"/>
    <n v="133"/>
    <s v="LOC (Letter of Confidentiality)"/>
    <s v="Supplier"/>
    <m/>
    <x v="538"/>
    <s v="JackPot_LOC_09Nov2009.pdf"/>
    <s v=".pdf"/>
    <d v="2014-03-10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8"/>
  </r>
  <r>
    <n v="146"/>
    <x v="121"/>
    <x v="121"/>
    <x v="113"/>
    <x v="0"/>
    <s v="FELICITY YU"/>
    <n v="138"/>
    <s v="SEF"/>
    <s v="Supplier"/>
    <m/>
    <x v="259"/>
    <s v="SEF_Jackpot_20120830.xlsx"/>
    <s v=".xlsx"/>
    <d v="2014-03-10T00:00:00"/>
    <s v="as\afok"/>
    <m/>
    <s v="2012"/>
    <x v="0"/>
    <x v="0"/>
    <x v="0"/>
    <x v="0"/>
    <m/>
    <m/>
    <m/>
    <m/>
    <n v="90"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8"/>
  </r>
  <r>
    <n v="145"/>
    <x v="121"/>
    <x v="121"/>
    <x v="113"/>
    <x v="0"/>
    <s v="FELICITY YU"/>
    <n v="137"/>
    <s v="SEF"/>
    <s v="Supplier"/>
    <m/>
    <x v="122"/>
    <s v="SEF Jackpot 20130809.xlsx"/>
    <s v=".xlsx"/>
    <d v="2014-03-10T00:00:00"/>
    <s v="as\afok"/>
    <m/>
    <s v="2013"/>
    <x v="0"/>
    <x v="0"/>
    <x v="0"/>
    <x v="0"/>
    <m/>
    <m/>
    <m/>
    <m/>
    <n v="75"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8"/>
  </r>
  <r>
    <n v="143"/>
    <x v="121"/>
    <x v="121"/>
    <x v="113"/>
    <x v="0"/>
    <s v="FELICITY YU"/>
    <n v="135"/>
    <s v="SIF"/>
    <s v="Supplier"/>
    <m/>
    <x v="151"/>
    <s v="Jackpot_SIF2012_17Feb12.xls"/>
    <s v=".xls"/>
    <d v="2014-03-10T00:00:00"/>
    <s v="as\afok"/>
    <m/>
    <s v="2012"/>
    <x v="0"/>
    <x v="0"/>
    <x v="0"/>
    <x v="0"/>
    <m/>
    <m/>
    <m/>
    <m/>
    <m/>
    <n v="2012"/>
    <n v="54000000"/>
    <n v="44000000"/>
    <n v="46000000"/>
    <n v="36000000"/>
    <n v="40000000"/>
    <m/>
    <n v="8"/>
    <n v="9"/>
    <n v="8"/>
    <n v="4"/>
    <s v="FP panel"/>
    <x v="1"/>
    <x v="2"/>
    <x v="0"/>
    <x v="0"/>
    <m/>
    <m/>
    <m/>
    <n v="1"/>
    <m/>
    <m/>
    <s v="FP"/>
    <m/>
    <s v="SP"/>
    <m/>
    <x v="9"/>
    <x v="1"/>
    <m/>
    <x v="38"/>
  </r>
  <r>
    <n v="144"/>
    <x v="121"/>
    <x v="121"/>
    <x v="113"/>
    <x v="0"/>
    <s v="FELICITY YU"/>
    <n v="136"/>
    <s v="SPR"/>
    <s v="Supplier"/>
    <m/>
    <x v="69"/>
    <s v="Jackpot_SPR_20120809.pptx"/>
    <s v=".pptx"/>
    <d v="2014-03-10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8"/>
  </r>
  <r>
    <n v="1703"/>
    <x v="122"/>
    <x v="122"/>
    <x v="114"/>
    <x v="5"/>
    <s v="JOHN YAN"/>
    <n v="1660"/>
    <s v="Contract: General Contract"/>
    <s v="Supplier"/>
    <m/>
    <x v="333"/>
    <s v="Jianlong_Supply Agreement_16Feb2012.pdf"/>
    <s v=".pdf"/>
    <d v="2014-04-07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m/>
    <s v="MOULD"/>
    <x v="10"/>
    <x v="1"/>
    <m/>
    <x v="18"/>
  </r>
  <r>
    <n v="1710"/>
    <x v="122"/>
    <x v="122"/>
    <x v="114"/>
    <x v="5"/>
    <s v="JOHN YAN"/>
    <n v="1667"/>
    <s v="Contract: Quality Appendix"/>
    <s v="Supplier"/>
    <m/>
    <x v="53"/>
    <s v="Jianlong_Supply Agreement_16Feb2012.pdf"/>
    <s v=".pdf"/>
    <d v="2014-04-08T00:00:00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s v="FP"/>
    <s v="CP"/>
    <m/>
    <s v="MOULD"/>
    <x v="10"/>
    <x v="1"/>
    <m/>
    <x v="18"/>
  </r>
  <r>
    <n v="1704"/>
    <x v="122"/>
    <x v="122"/>
    <x v="114"/>
    <x v="5"/>
    <s v="JOHN YAN"/>
    <n v="1661"/>
    <s v="Contract: Supply Chain Appendix"/>
    <s v="Supplier"/>
    <m/>
    <x v="539"/>
    <s v="Jianlong_Supply Chain Appendix_1Aug2013(ETD update).pdf"/>
    <s v=".pdf"/>
    <d v="2014-04-07T00:00:00"/>
    <s v="as\afok"/>
    <m/>
    <m/>
    <x v="0"/>
    <x v="12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s v="FP"/>
    <s v="CP"/>
    <m/>
    <s v="MOULD"/>
    <x v="10"/>
    <x v="1"/>
    <m/>
    <x v="18"/>
  </r>
  <r>
    <n v="1711"/>
    <x v="122"/>
    <x v="122"/>
    <x v="114"/>
    <x v="5"/>
    <s v="JOHN YAN"/>
    <n v="1668"/>
    <s v="Contract: Supply Chain Appendix"/>
    <s v="Supplier"/>
    <m/>
    <x v="333"/>
    <s v="Jianlong_Supply Agreement_16Feb2012.pdf"/>
    <s v=".pdf"/>
    <d v="2014-04-08T00:00:00"/>
    <s v="as\afok"/>
    <m/>
    <m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s v="FP"/>
    <s v="CP"/>
    <m/>
    <s v="MOULD"/>
    <x v="10"/>
    <x v="1"/>
    <m/>
    <x v="18"/>
  </r>
  <r>
    <n v="1712"/>
    <x v="122"/>
    <x v="122"/>
    <x v="114"/>
    <x v="5"/>
    <s v="JOHN YAN"/>
    <n v="1669"/>
    <s v="Declaration letter of group organization"/>
    <s v="Supplier"/>
    <m/>
    <x v="540"/>
    <s v="Jianlong_Supply Agreement_16Feb2012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x v="10"/>
    <x v="1"/>
    <m/>
    <x v="18"/>
  </r>
  <r>
    <n v="1709"/>
    <x v="122"/>
    <x v="122"/>
    <x v="114"/>
    <x v="5"/>
    <s v="JOHN YAN"/>
    <n v="1666"/>
    <s v="Environmental Declaration"/>
    <s v="Supplier"/>
    <m/>
    <x v="333"/>
    <s v="Jianlong_Supply Agreement_16Feb2012.pdf"/>
    <s v=".pdf"/>
    <d v="2014-04-08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x v="10"/>
    <x v="1"/>
    <m/>
    <x v="18"/>
  </r>
  <r>
    <n v="1714"/>
    <x v="122"/>
    <x v="122"/>
    <x v="114"/>
    <x v="5"/>
    <s v="JOHN YAN"/>
    <n v="1671"/>
    <s v="ISO 14001"/>
    <s v="Supplier"/>
    <d v="2009-01-24T00:00:00"/>
    <x v="541"/>
    <s v="Jianlong_ISO14001_23Mar2010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n v="1"/>
    <m/>
    <s v="FP"/>
    <s v="CP"/>
    <m/>
    <s v="MOULD"/>
    <x v="10"/>
    <x v="1"/>
    <m/>
    <x v="18"/>
  </r>
  <r>
    <n v="1706"/>
    <x v="122"/>
    <x v="122"/>
    <x v="114"/>
    <x v="5"/>
    <s v="JOHN YAN"/>
    <n v="1663"/>
    <s v="Responsible Purchasing Charter"/>
    <s v="Supplier"/>
    <m/>
    <x v="69"/>
    <s v="Jianlong_Responsible Purchaser Charter_9Aug2012.pdf"/>
    <s v=".pdf"/>
    <d v="2014-04-07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x v="10"/>
    <x v="1"/>
    <m/>
    <x v="18"/>
  </r>
  <r>
    <n v="1705"/>
    <x v="122"/>
    <x v="122"/>
    <x v="114"/>
    <x v="5"/>
    <s v="JOHN YAN"/>
    <n v="1662"/>
    <s v="SEF"/>
    <s v="Supplier"/>
    <m/>
    <x v="440"/>
    <s v="Jianlong_SEF_29Aug2012.xlsx"/>
    <s v=".xlsx"/>
    <d v="2014-04-07T00:00:00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x v="10"/>
    <x v="1"/>
    <m/>
    <x v="18"/>
  </r>
  <r>
    <n v="1713"/>
    <x v="122"/>
    <x v="122"/>
    <x v="114"/>
    <x v="5"/>
    <s v="JOHN YAN"/>
    <n v="1670"/>
    <s v="SIF"/>
    <s v="Supplier"/>
    <m/>
    <x v="137"/>
    <s v="Jianlong_SIF_17May2012.xls"/>
    <s v=".xls"/>
    <d v="2014-04-08T00:00:00"/>
    <s v="as\afok"/>
    <m/>
    <s v="2012"/>
    <x v="0"/>
    <x v="0"/>
    <x v="0"/>
    <x v="0"/>
    <m/>
    <m/>
    <m/>
    <m/>
    <m/>
    <n v="2012"/>
    <n v="18000000"/>
    <n v="15000000"/>
    <m/>
    <m/>
    <m/>
    <n v="2"/>
    <n v="2"/>
    <m/>
    <m/>
    <m/>
    <s v="CP Panel"/>
    <x v="0"/>
    <x v="0"/>
    <x v="1"/>
    <x v="1"/>
    <m/>
    <m/>
    <m/>
    <n v="1"/>
    <m/>
    <m/>
    <s v="FP"/>
    <s v="CP"/>
    <m/>
    <s v="MOULD"/>
    <x v="10"/>
    <x v="1"/>
    <m/>
    <x v="18"/>
  </r>
  <r>
    <n v="1708"/>
    <x v="122"/>
    <x v="122"/>
    <x v="114"/>
    <x v="5"/>
    <s v="JOHN YAN"/>
    <n v="1665"/>
    <s v="SPR"/>
    <s v="Supplier"/>
    <m/>
    <x v="542"/>
    <s v="SPR_Jianlong_2013.pptx"/>
    <s v=".pptx"/>
    <d v="2014-04-07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x v="10"/>
    <x v="1"/>
    <m/>
    <x v="18"/>
  </r>
  <r>
    <n v="930"/>
    <x v="123"/>
    <x v="123"/>
    <x v="115"/>
    <x v="4"/>
    <s v="ERIC KWOK"/>
    <n v="908"/>
    <s v="LOC (Letter of Confidentiality)"/>
    <s v="Product / Project"/>
    <m/>
    <x v="543"/>
    <s v="LOC_Shenzhen_Jinsunway_Mould(Rome_Project).pdf"/>
    <s v=".pdf"/>
    <d v="2014-03-24T00:00:00"/>
    <s v="as\afok"/>
    <m/>
    <m/>
    <x v="0"/>
    <x v="0"/>
    <x v="0"/>
    <x v="0"/>
    <s v="Rome"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m/>
    <x v="11"/>
    <x v="1"/>
    <m/>
    <x v="3"/>
  </r>
  <r>
    <n v="931"/>
    <x v="123"/>
    <x v="123"/>
    <x v="115"/>
    <x v="4"/>
    <s v="ERIC KWOK"/>
    <n v="909"/>
    <s v="LOC (Letter of Confidentiality)"/>
    <s v="Product / Project"/>
    <m/>
    <x v="544"/>
    <s v="LOC_Shenzhen Jinsunway(project Nara)_5Sep11.pdf"/>
    <s v=".pdf"/>
    <d v="2014-03-24T00:00:00"/>
    <s v="as\afok"/>
    <m/>
    <m/>
    <x v="0"/>
    <x v="0"/>
    <x v="0"/>
    <x v="0"/>
    <s v="Nara"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m/>
    <x v="11"/>
    <x v="1"/>
    <m/>
    <x v="3"/>
  </r>
  <r>
    <n v="929"/>
    <x v="123"/>
    <x v="123"/>
    <x v="115"/>
    <x v="4"/>
    <s v="ERIC KWOK"/>
    <n v="907"/>
    <s v="LOC (Letter of Confidentiality)"/>
    <s v="Supplier"/>
    <m/>
    <x v="545"/>
    <s v="LOC_Shenzhen_Junsunway.tif"/>
    <s v=".ti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m/>
    <x v="11"/>
    <x v="1"/>
    <m/>
    <x v="3"/>
  </r>
  <r>
    <n v="932"/>
    <x v="123"/>
    <x v="123"/>
    <x v="115"/>
    <x v="4"/>
    <s v="ERIC KWOK"/>
    <n v="910"/>
    <s v="LOC (Letter of Confidentiality)"/>
    <s v="Supplier"/>
    <m/>
    <x v="389"/>
    <s v="LOC_Shenzhen Jinsunway(project Nara)_9Sep11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m/>
    <m/>
    <m/>
    <x v="11"/>
    <x v="1"/>
    <m/>
    <x v="3"/>
  </r>
  <r>
    <n v="928"/>
    <x v="123"/>
    <x v="123"/>
    <x v="115"/>
    <x v="4"/>
    <s v="ERIC KWOK"/>
    <n v="906"/>
    <s v="Responsible Purchasing Charter"/>
    <s v="Supplier"/>
    <m/>
    <x v="523"/>
    <s v="JSW_Responsible Purchasing Charter_01Mar13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m/>
    <x v="11"/>
    <x v="1"/>
    <m/>
    <x v="3"/>
  </r>
  <r>
    <n v="927"/>
    <x v="123"/>
    <x v="123"/>
    <x v="115"/>
    <x v="4"/>
    <s v="ERIC KWOK"/>
    <n v="905"/>
    <s v="SIF"/>
    <s v="Supplier"/>
    <m/>
    <x v="546"/>
    <s v="JSW_SIF2013.xlsx"/>
    <s v=".xlsx"/>
    <d v="2014-03-24T00:00:00"/>
    <s v="as\afok"/>
    <m/>
    <s v="2013"/>
    <x v="0"/>
    <x v="0"/>
    <x v="0"/>
    <x v="0"/>
    <m/>
    <m/>
    <m/>
    <m/>
    <m/>
    <n v="2013"/>
    <n v="41500000"/>
    <n v="36500000"/>
    <n v="32300000"/>
    <n v="29800000"/>
    <n v="23700000"/>
    <n v="5"/>
    <n v="0.02"/>
    <n v="0"/>
    <n v="0"/>
    <n v="0"/>
    <m/>
    <x v="0"/>
    <x v="0"/>
    <x v="0"/>
    <x v="0"/>
    <m/>
    <m/>
    <m/>
    <n v="0"/>
    <m/>
    <m/>
    <m/>
    <m/>
    <m/>
    <m/>
    <x v="11"/>
    <x v="1"/>
    <m/>
    <x v="3"/>
  </r>
  <r>
    <n v="851"/>
    <x v="124"/>
    <x v="124"/>
    <x v="116"/>
    <x v="1"/>
    <s v="DOUGLAS LAM"/>
    <n v="829"/>
    <s v="Contract: General Contract"/>
    <s v="Supplier"/>
    <m/>
    <x v="547"/>
    <s v="JEI_Purchase_Agreement_2009.pdf"/>
    <s v=".pdf"/>
    <d v="2014-03-21T00:00:00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x v="2"/>
    <x v="1"/>
    <m/>
    <x v="32"/>
  </r>
  <r>
    <n v="854"/>
    <x v="124"/>
    <x v="124"/>
    <x v="116"/>
    <x v="1"/>
    <s v="DOUGLAS LAM"/>
    <n v="832"/>
    <s v="Contract: General Contract"/>
    <s v="Supplier"/>
    <m/>
    <x v="505"/>
    <s v="JEI_Purchase_Agreement_2008.pdf"/>
    <s v=".pdf"/>
    <d v="2014-03-21T00:00:00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x v="2"/>
    <x v="1"/>
    <m/>
    <x v="32"/>
  </r>
  <r>
    <n v="849"/>
    <x v="124"/>
    <x v="124"/>
    <x v="116"/>
    <x v="1"/>
    <s v="DOUGLAS LAM"/>
    <n v="827"/>
    <s v="Contract: Quality Appendix"/>
    <s v="Supplier"/>
    <m/>
    <x v="548"/>
    <s v="JEI_Quality Appendix_20121025.pdf"/>
    <s v=".pdf"/>
    <d v="2014-03-21T00:00:0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x v="2"/>
    <x v="1"/>
    <m/>
    <x v="32"/>
  </r>
  <r>
    <n v="855"/>
    <x v="124"/>
    <x v="124"/>
    <x v="116"/>
    <x v="1"/>
    <s v="DOUGLAS LAM"/>
    <n v="833"/>
    <s v="Contract: Quality Appendix"/>
    <s v="Supplier"/>
    <m/>
    <x v="505"/>
    <s v="JEI_Purchase_Agreement_2008.pdf"/>
    <s v=".pdf"/>
    <d v="2014-03-21T00:00:00"/>
    <s v="as\afok"/>
    <m/>
    <m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x v="2"/>
    <x v="1"/>
    <m/>
    <x v="32"/>
  </r>
  <r>
    <n v="852"/>
    <x v="124"/>
    <x v="124"/>
    <x v="116"/>
    <x v="1"/>
    <s v="DOUGLAS LAM"/>
    <n v="830"/>
    <s v="Contract: Quality Appendix"/>
    <s v="Supplier"/>
    <m/>
    <x v="547"/>
    <s v="JEI_Purchase_Agreement_2009.pdf"/>
    <s v=".pdf"/>
    <d v="2014-03-21T00:00:00"/>
    <s v="as\afok"/>
    <m/>
    <m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x v="2"/>
    <x v="1"/>
    <m/>
    <x v="32"/>
  </r>
  <r>
    <n v="853"/>
    <x v="124"/>
    <x v="124"/>
    <x v="116"/>
    <x v="1"/>
    <s v="DOUGLAS LAM"/>
    <n v="831"/>
    <s v="Contract: Supply Chain Appendix"/>
    <s v="Supplier"/>
    <m/>
    <x v="547"/>
    <s v="JEI_Purchase_Agreement_2009.pdf"/>
    <s v=".pdf"/>
    <d v="2014-03-21T00:00:00"/>
    <s v="as\afok"/>
    <m/>
    <m/>
    <x v="0"/>
    <x v="1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x v="2"/>
    <x v="1"/>
    <m/>
    <x v="32"/>
  </r>
  <r>
    <n v="856"/>
    <x v="124"/>
    <x v="124"/>
    <x v="116"/>
    <x v="1"/>
    <s v="DOUGLAS LAM"/>
    <n v="834"/>
    <s v="Contract: Supply Chain Appendix"/>
    <s v="Supplier"/>
    <m/>
    <x v="505"/>
    <s v="JEI_Purchase_Agreement_2008.pdf"/>
    <s v=".pdf"/>
    <d v="2014-03-21T00:00:00"/>
    <s v="as\afok"/>
    <m/>
    <m/>
    <x v="0"/>
    <x v="1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x v="2"/>
    <x v="1"/>
    <m/>
    <x v="32"/>
  </r>
  <r>
    <n v="845"/>
    <x v="124"/>
    <x v="124"/>
    <x v="116"/>
    <x v="1"/>
    <s v="DOUGLAS LAM"/>
    <n v="823"/>
    <s v="Environmental Declaration"/>
    <s v="Supplier"/>
    <m/>
    <x v="522"/>
    <s v="Johnson_Env_Declaration_28May2010.pdf"/>
    <s v=".pdf"/>
    <d v="2014-03-21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32"/>
  </r>
  <r>
    <n v="847"/>
    <x v="124"/>
    <x v="124"/>
    <x v="116"/>
    <x v="1"/>
    <s v="DOUGLAS LAM"/>
    <n v="825"/>
    <s v="ISO 9001"/>
    <s v="Supplier"/>
    <d v="2012-10-20T00:00:00"/>
    <x v="549"/>
    <s v="Johnson ISO9001 12 Oct 2012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32"/>
  </r>
  <r>
    <n v="848"/>
    <x v="124"/>
    <x v="124"/>
    <x v="116"/>
    <x v="1"/>
    <s v="DOUGLAS LAM"/>
    <n v="826"/>
    <s v="Responsible Purchasing Charter"/>
    <s v="Supplier"/>
    <m/>
    <x v="550"/>
    <s v="Johnson_Responsible_Purchasing_Charter_15Aug12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32"/>
  </r>
  <r>
    <n v="850"/>
    <x v="124"/>
    <x v="124"/>
    <x v="116"/>
    <x v="1"/>
    <s v="DOUGLAS LAM"/>
    <n v="828"/>
    <s v="SEF"/>
    <s v="Supplier"/>
    <m/>
    <x v="10"/>
    <s v="JEI_SEF_2012.xlsx"/>
    <s v=".xlsx"/>
    <d v="2014-03-21T00:00:00"/>
    <s v="as\afok"/>
    <m/>
    <s v="2012"/>
    <x v="0"/>
    <x v="0"/>
    <x v="0"/>
    <x v="0"/>
    <m/>
    <m/>
    <m/>
    <m/>
    <n v="89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32"/>
  </r>
  <r>
    <n v="844"/>
    <x v="124"/>
    <x v="124"/>
    <x v="116"/>
    <x v="1"/>
    <s v="DOUGLAS LAM"/>
    <n v="822"/>
    <s v="SEF"/>
    <s v="Supplier"/>
    <m/>
    <x v="9"/>
    <s v="JEI SEF 2013-Expert-20130601-91.xlsx"/>
    <s v=".xlsx"/>
    <d v="2014-03-21T00:00:00"/>
    <s v="as\afok"/>
    <m/>
    <s v="2013"/>
    <x v="0"/>
    <x v="0"/>
    <x v="0"/>
    <x v="0"/>
    <m/>
    <m/>
    <m/>
    <m/>
    <n v="75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32"/>
  </r>
  <r>
    <n v="857"/>
    <x v="124"/>
    <x v="124"/>
    <x v="116"/>
    <x v="1"/>
    <s v="DOUGLAS LAM"/>
    <n v="835"/>
    <s v="SIF"/>
    <s v="Supplier"/>
    <m/>
    <x v="551"/>
    <s v="Johnson_Elec_SIF_2010.xls"/>
    <s v=".xls"/>
    <d v="2014-03-21T00:00:00"/>
    <s v="as\afok"/>
    <m/>
    <s v="2010"/>
    <x v="0"/>
    <x v="0"/>
    <x v="0"/>
    <x v="0"/>
    <m/>
    <m/>
    <m/>
    <m/>
    <m/>
    <n v="2010"/>
    <n v="2000000000"/>
    <n v="1823000000"/>
    <n v="2221000000"/>
    <m/>
    <m/>
    <m/>
    <n v="1.6"/>
    <m/>
    <m/>
    <m/>
    <m/>
    <x v="0"/>
    <x v="0"/>
    <x v="0"/>
    <x v="0"/>
    <m/>
    <m/>
    <m/>
    <n v="1"/>
    <n v="1"/>
    <m/>
    <m/>
    <s v="CP"/>
    <m/>
    <m/>
    <x v="2"/>
    <x v="1"/>
    <m/>
    <x v="32"/>
  </r>
  <r>
    <n v="846"/>
    <x v="124"/>
    <x v="124"/>
    <x v="116"/>
    <x v="1"/>
    <s v="DOUGLAS LAM"/>
    <n v="824"/>
    <s v="SPR"/>
    <s v="Supplier"/>
    <m/>
    <x v="14"/>
    <s v="JEI - SPR 2011.ppt"/>
    <s v=".ppt"/>
    <d v="2014-03-21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32"/>
  </r>
  <r>
    <n v="684"/>
    <x v="125"/>
    <x v="125"/>
    <x v="117"/>
    <x v="2"/>
    <s v="DENNIS LAM"/>
    <n v="667"/>
    <s v="Contract: General Contract"/>
    <s v="Supplier"/>
    <m/>
    <x v="552"/>
    <s v="JOINONE_ Development and Supply Agreement.pdf"/>
    <s v=".pdf"/>
    <d v="2014-03-19T00:00:00"/>
    <s v="as\afok"/>
    <m/>
    <s v="FHA 00 016 ind.07"/>
    <x v="7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0"/>
    <m/>
    <m/>
    <s v="FP"/>
    <s v="CP"/>
    <s v="SP"/>
    <s v="MOULD"/>
    <x v="3"/>
    <x v="1"/>
    <m/>
    <x v="7"/>
  </r>
  <r>
    <n v="691"/>
    <x v="125"/>
    <x v="125"/>
    <x v="117"/>
    <x v="2"/>
    <s v="DENNIS LAM"/>
    <n v="674"/>
    <s v="Contract: General Contract"/>
    <s v="Supplier"/>
    <m/>
    <x v="265"/>
    <s v="Join Star_General agreement_ind.11 26 JUN 13.pdf"/>
    <s v=".pdf"/>
    <d v="2014-03-19T00:00:00"/>
    <s v="as\afok"/>
    <m/>
    <s v="FHA 00 016 ind.11"/>
    <x v="7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0"/>
    <m/>
    <m/>
    <s v="FP"/>
    <s v="CP"/>
    <s v="SP"/>
    <s v="MOULD"/>
    <x v="3"/>
    <x v="1"/>
    <m/>
    <x v="7"/>
  </r>
  <r>
    <n v="694"/>
    <x v="125"/>
    <x v="125"/>
    <x v="117"/>
    <x v="2"/>
    <s v="DENNIS LAM"/>
    <n v="677"/>
    <s v="Contract: Supply Chain Appendix"/>
    <s v="Supplier"/>
    <m/>
    <x v="553"/>
    <s v="Join Star_General agreement_ind.11 26 JUN 13.pdf"/>
    <s v=".pdf"/>
    <d v="2014-03-19T00:00:00"/>
    <s v="as\afok"/>
    <m/>
    <m/>
    <x v="0"/>
    <x v="2"/>
    <x v="2"/>
    <x v="0"/>
    <m/>
    <m/>
    <m/>
    <m/>
    <m/>
    <m/>
    <m/>
    <m/>
    <m/>
    <m/>
    <m/>
    <m/>
    <m/>
    <m/>
    <m/>
    <m/>
    <s v="CP Panel"/>
    <x v="0"/>
    <x v="0"/>
    <x v="1"/>
    <x v="2"/>
    <m/>
    <m/>
    <n v="1"/>
    <n v="0"/>
    <m/>
    <m/>
    <s v="FP"/>
    <s v="CP"/>
    <s v="SP"/>
    <s v="MOULD"/>
    <x v="3"/>
    <x v="1"/>
    <m/>
    <x v="7"/>
  </r>
  <r>
    <n v="693"/>
    <x v="125"/>
    <x v="125"/>
    <x v="117"/>
    <x v="2"/>
    <s v="DENNIS LAM"/>
    <n v="676"/>
    <s v="Declaration letter of group organization"/>
    <s v="Supplier"/>
    <m/>
    <x v="416"/>
    <s v="Join Star_General agreement_ind.11 26 JUN 13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x v="3"/>
    <x v="1"/>
    <m/>
    <x v="7"/>
  </r>
  <r>
    <n v="692"/>
    <x v="125"/>
    <x v="125"/>
    <x v="117"/>
    <x v="2"/>
    <s v="DENNIS LAM"/>
    <n v="675"/>
    <s v="Environmental Declaration"/>
    <s v="Supplier"/>
    <m/>
    <x v="265"/>
    <s v="Join Star_General agreement_ind.11 26 JUN 13.pdf"/>
    <s v=".pdf"/>
    <d v="2014-03-19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x v="3"/>
    <x v="1"/>
    <m/>
    <x v="7"/>
  </r>
  <r>
    <n v="685"/>
    <x v="125"/>
    <x v="125"/>
    <x v="117"/>
    <x v="2"/>
    <s v="DENNIS LAM"/>
    <n v="668"/>
    <s v="ISO 14001"/>
    <s v="Supplier"/>
    <d v="2011-03-02T00:00:00"/>
    <x v="554"/>
    <s v="JOINSTAR_ISO14001_201004.tif"/>
    <s v=".ti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x v="3"/>
    <x v="1"/>
    <m/>
    <x v="7"/>
  </r>
  <r>
    <n v="689"/>
    <x v="125"/>
    <x v="125"/>
    <x v="117"/>
    <x v="2"/>
    <s v="DENNIS LAM"/>
    <n v="672"/>
    <s v="ISO 14001"/>
    <s v="Supplier"/>
    <d v="2011-03-02T00:00:00"/>
    <x v="554"/>
    <s v="JOINSTAR_ISO14001_2011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x v="3"/>
    <x v="1"/>
    <m/>
    <x v="7"/>
  </r>
  <r>
    <n v="687"/>
    <x v="125"/>
    <x v="125"/>
    <x v="117"/>
    <x v="2"/>
    <s v="DENNIS LAM"/>
    <n v="670"/>
    <s v="Responsible Purchasing Charter"/>
    <s v="Supplier"/>
    <m/>
    <x v="228"/>
    <s v="Join Star - Responsible Purchasing Charter (ENG)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x v="3"/>
    <x v="1"/>
    <m/>
    <x v="7"/>
  </r>
  <r>
    <n v="695"/>
    <x v="125"/>
    <x v="125"/>
    <x v="117"/>
    <x v="2"/>
    <s v="DENNIS LAM"/>
    <n v="678"/>
    <s v="SEF"/>
    <s v="Supplier"/>
    <m/>
    <x v="90"/>
    <s v="SEF-Join Star 2013 Jun.xlsx"/>
    <s v=".xlsx"/>
    <d v="2014-03-19T00:00:00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x v="3"/>
    <x v="1"/>
    <m/>
    <x v="7"/>
  </r>
  <r>
    <n v="686"/>
    <x v="125"/>
    <x v="125"/>
    <x v="117"/>
    <x v="2"/>
    <s v="DENNIS LAM"/>
    <n v="669"/>
    <s v="SEF"/>
    <s v="Supplier"/>
    <m/>
    <x v="555"/>
    <s v="JOIN STAR_ SEF_JUN 2012.xlsx"/>
    <s v=".xlsx"/>
    <d v="2014-03-19T00:00:00"/>
    <s v="as\afok"/>
    <m/>
    <s v="2012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x v="3"/>
    <x v="1"/>
    <m/>
    <x v="7"/>
  </r>
  <r>
    <n v="688"/>
    <x v="125"/>
    <x v="125"/>
    <x v="117"/>
    <x v="2"/>
    <s v="DENNIS LAM"/>
    <n v="671"/>
    <s v="SIF"/>
    <s v="Supplier"/>
    <m/>
    <x v="12"/>
    <s v="JOIN STAR_SIF 2012_6Mar12.xls"/>
    <s v=".xls"/>
    <d v="2014-03-19T00:00:00"/>
    <s v="as\afok"/>
    <m/>
    <s v="2012"/>
    <x v="0"/>
    <x v="0"/>
    <x v="0"/>
    <x v="0"/>
    <m/>
    <m/>
    <m/>
    <m/>
    <m/>
    <n v="2012"/>
    <m/>
    <n v="130000000"/>
    <n v="125000000"/>
    <n v="100000000"/>
    <n v="110000000"/>
    <m/>
    <n v="8"/>
    <n v="12"/>
    <n v="20"/>
    <n v="18.3"/>
    <s v="CP Panel"/>
    <x v="0"/>
    <x v="0"/>
    <x v="1"/>
    <x v="2"/>
    <m/>
    <m/>
    <m/>
    <n v="0"/>
    <m/>
    <m/>
    <s v="FP"/>
    <s v="CP"/>
    <s v="SP"/>
    <s v="MOULD"/>
    <x v="3"/>
    <x v="1"/>
    <m/>
    <x v="7"/>
  </r>
  <r>
    <n v="690"/>
    <x v="125"/>
    <x v="125"/>
    <x v="117"/>
    <x v="2"/>
    <s v="DENNIS LAM"/>
    <n v="673"/>
    <s v="SIF"/>
    <s v="Supplier"/>
    <m/>
    <x v="556"/>
    <s v="Join Star - FHA6E502_EN_-_SIF 2013.xls"/>
    <s v=".xls"/>
    <d v="2014-03-19T00:00:00"/>
    <s v="as\afok"/>
    <m/>
    <s v="2013"/>
    <x v="0"/>
    <x v="0"/>
    <x v="0"/>
    <x v="0"/>
    <m/>
    <m/>
    <m/>
    <m/>
    <m/>
    <n v="2013"/>
    <n v="160000000"/>
    <n v="130000000"/>
    <n v="125000000"/>
    <n v="100000000"/>
    <n v="110000000"/>
    <n v="7"/>
    <n v="8"/>
    <n v="12"/>
    <n v="20"/>
    <n v="18.3"/>
    <s v="CP Panel"/>
    <x v="0"/>
    <x v="0"/>
    <x v="1"/>
    <x v="2"/>
    <m/>
    <m/>
    <m/>
    <n v="0"/>
    <m/>
    <m/>
    <s v="FP"/>
    <s v="CP"/>
    <s v="SP"/>
    <s v="MOULD"/>
    <x v="3"/>
    <x v="1"/>
    <m/>
    <x v="7"/>
  </r>
  <r>
    <n v="696"/>
    <x v="125"/>
    <x v="125"/>
    <x v="117"/>
    <x v="2"/>
    <s v="DENNIS LAM"/>
    <n v="679"/>
    <s v="SPR"/>
    <s v="Supplier"/>
    <m/>
    <x v="557"/>
    <s v="Join Star_SPR 2012 on Nov 26 2012 - v1 after meeting.pptx"/>
    <s v=".pptx"/>
    <d v="2014-03-19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x v="3"/>
    <x v="1"/>
    <m/>
    <x v="7"/>
  </r>
  <r>
    <n v="697"/>
    <x v="125"/>
    <x v="125"/>
    <x v="117"/>
    <x v="2"/>
    <s v="DENNIS LAM"/>
    <n v="680"/>
    <s v="SPR"/>
    <s v="Supplier"/>
    <m/>
    <x v="558"/>
    <s v="Join Star SPR 2013 v1 after meeting on 20130904 for Supplier.pptx"/>
    <s v=".pptx"/>
    <d v="2014-03-19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n v="1"/>
    <s v="FP"/>
    <s v="CP"/>
    <s v="SP"/>
    <s v="MOULD"/>
    <x v="3"/>
    <x v="1"/>
    <m/>
    <x v="7"/>
  </r>
  <r>
    <n v="2227"/>
    <x v="126"/>
    <x v="126"/>
    <x v="118"/>
    <x v="4"/>
    <s v="WILLIAM TSANG"/>
    <n v="2169"/>
    <s v="Contract: Quality Appendix"/>
    <s v="Supplier"/>
    <m/>
    <x v="370"/>
    <s v="Quality_appendix_JoyFu_2013.tif"/>
    <s v=".tif"/>
    <d v="2014-04-16T00:00:0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0"/>
    <m/>
    <m/>
    <m/>
    <m/>
    <m/>
    <m/>
    <x v="11"/>
    <x v="1"/>
    <m/>
    <x v="3"/>
  </r>
  <r>
    <n v="2225"/>
    <x v="126"/>
    <x v="126"/>
    <x v="118"/>
    <x v="4"/>
    <s v="WILLIAM TSANG"/>
    <n v="2167"/>
    <s v="Responsible Purchasing Charter"/>
    <s v="Supplier"/>
    <m/>
    <x v="416"/>
    <s v="JoyFu_Responsible_Purchasing_Charter_03Dec12.tif"/>
    <s v=".ti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m/>
    <x v="11"/>
    <x v="1"/>
    <m/>
    <x v="3"/>
  </r>
  <r>
    <n v="2226"/>
    <x v="126"/>
    <x v="126"/>
    <x v="118"/>
    <x v="4"/>
    <s v="WILLIAM TSANG"/>
    <n v="2168"/>
    <s v="SEF"/>
    <s v="Supplier"/>
    <m/>
    <x v="229"/>
    <s v="Joyfu_Supplier_Evaluation_Apr_2012.xlsx"/>
    <s v=".xlsx"/>
    <d v="2014-04-16T00:00:00"/>
    <s v="as\afok"/>
    <m/>
    <s v="2012"/>
    <x v="0"/>
    <x v="0"/>
    <x v="0"/>
    <x v="0"/>
    <m/>
    <m/>
    <m/>
    <m/>
    <n v="33"/>
    <m/>
    <m/>
    <m/>
    <m/>
    <m/>
    <m/>
    <m/>
    <m/>
    <m/>
    <m/>
    <m/>
    <m/>
    <x v="0"/>
    <x v="0"/>
    <x v="0"/>
    <x v="0"/>
    <m/>
    <m/>
    <m/>
    <n v="0"/>
    <m/>
    <m/>
    <m/>
    <m/>
    <m/>
    <m/>
    <x v="11"/>
    <x v="1"/>
    <m/>
    <x v="3"/>
  </r>
  <r>
    <n v="2228"/>
    <x v="126"/>
    <x v="126"/>
    <x v="118"/>
    <x v="4"/>
    <s v="WILLIAM TSANG"/>
    <n v="2170"/>
    <s v="SEF"/>
    <s v="Supplier"/>
    <m/>
    <x v="559"/>
    <s v="JOYWIN Supplier Evaluation Form Apr 2013.xlsx"/>
    <s v=".xlsx"/>
    <d v="2014-04-16T00:00:00"/>
    <s v="as\afok"/>
    <m/>
    <s v="2013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0"/>
    <m/>
    <n v="1"/>
    <m/>
    <m/>
    <m/>
    <m/>
    <x v="11"/>
    <x v="1"/>
    <m/>
    <x v="3"/>
  </r>
  <r>
    <n v="2224"/>
    <x v="126"/>
    <x v="126"/>
    <x v="118"/>
    <x v="4"/>
    <s v="WILLIAM TSANG"/>
    <n v="2166"/>
    <s v="SIF"/>
    <s v="Supplier"/>
    <m/>
    <x v="531"/>
    <s v="Joyfu_SIF2012_29Feb12.xls"/>
    <s v=".xls"/>
    <d v="2014-04-16T00:00:00"/>
    <s v="as\afok"/>
    <m/>
    <s v="2012"/>
    <x v="0"/>
    <x v="0"/>
    <x v="0"/>
    <x v="0"/>
    <m/>
    <m/>
    <m/>
    <m/>
    <m/>
    <n v="2012"/>
    <n v="15000000"/>
    <n v="19000000"/>
    <n v="15000000"/>
    <n v="13000000"/>
    <n v="13000000"/>
    <m/>
    <m/>
    <m/>
    <m/>
    <m/>
    <m/>
    <x v="0"/>
    <x v="0"/>
    <x v="0"/>
    <x v="0"/>
    <m/>
    <m/>
    <m/>
    <n v="0"/>
    <m/>
    <m/>
    <m/>
    <m/>
    <m/>
    <m/>
    <x v="11"/>
    <x v="1"/>
    <m/>
    <x v="3"/>
  </r>
  <r>
    <n v="2072"/>
    <x v="127"/>
    <x v="127"/>
    <x v="119"/>
    <x v="4"/>
    <s v="RICKY LAM"/>
    <n v="2015"/>
    <s v="Contract: General Contract"/>
    <s v="Supplier"/>
    <m/>
    <x v="560"/>
    <s v="KL_Precision_Supply Agreement_V8_29Oct2013.pdf"/>
    <s v=".pdf"/>
    <d v="2014-04-11T00:00:00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m/>
    <m/>
    <m/>
    <s v="CP"/>
    <m/>
    <m/>
    <x v="2"/>
    <x v="1"/>
    <m/>
    <x v="28"/>
  </r>
  <r>
    <n v="2074"/>
    <x v="127"/>
    <x v="127"/>
    <x v="119"/>
    <x v="4"/>
    <s v="RICKY LAM"/>
    <n v="2017"/>
    <s v="Contract: Quality Appendix"/>
    <s v="Supplier"/>
    <m/>
    <x v="25"/>
    <s v="KL_Precision_QUALITY_APPENDIX.tif"/>
    <s v=".tif"/>
    <d v="2014-04-11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s v="CP"/>
    <m/>
    <m/>
    <x v="2"/>
    <x v="1"/>
    <m/>
    <x v="28"/>
  </r>
  <r>
    <n v="2071"/>
    <x v="127"/>
    <x v="127"/>
    <x v="119"/>
    <x v="4"/>
    <s v="RICKY LAM"/>
    <n v="2014"/>
    <s v="Contract: Supply Chain Appendix"/>
    <s v="Supplier"/>
    <m/>
    <x v="561"/>
    <s v="KL_Precision_SupplyChainAppendix_V10_21Feb2014.pdf"/>
    <s v=".pdf"/>
    <d v="2014-04-11T00:00:00"/>
    <s v="as\afok"/>
    <m/>
    <m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m/>
    <x v="2"/>
    <x v="1"/>
    <m/>
    <x v="28"/>
  </r>
  <r>
    <n v="2076"/>
    <x v="127"/>
    <x v="127"/>
    <x v="119"/>
    <x v="4"/>
    <s v="RICKY LAM"/>
    <n v="2019"/>
    <s v="LOC (Letter of Confidentiality)"/>
    <s v="Supplier"/>
    <m/>
    <x v="287"/>
    <s v="LOC_KL_Precision_16Jan13.pdf"/>
    <s v=".pdf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x v="2"/>
    <x v="1"/>
    <m/>
    <x v="28"/>
  </r>
  <r>
    <n v="2075"/>
    <x v="127"/>
    <x v="127"/>
    <x v="119"/>
    <x v="4"/>
    <s v="RICKY LAM"/>
    <n v="2018"/>
    <s v="Responsible Purchasing Charter"/>
    <s v="Supplier"/>
    <m/>
    <x v="256"/>
    <s v="KL_Precision_Responsible_Purchasing_Charter_9Jan13.tif"/>
    <s v=".tif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x v="2"/>
    <x v="1"/>
    <m/>
    <x v="28"/>
  </r>
  <r>
    <n v="2073"/>
    <x v="127"/>
    <x v="127"/>
    <x v="119"/>
    <x v="4"/>
    <s v="RICKY LAM"/>
    <n v="2016"/>
    <s v="SIF"/>
    <s v="Supplier"/>
    <m/>
    <x v="256"/>
    <s v="JPK_SIF2013.xls"/>
    <s v=".xls"/>
    <d v="2014-04-11T00:00:00"/>
    <s v="as\afok"/>
    <m/>
    <s v="2013"/>
    <x v="0"/>
    <x v="0"/>
    <x v="0"/>
    <x v="0"/>
    <m/>
    <m/>
    <m/>
    <m/>
    <m/>
    <n v="2013"/>
    <n v="2880000"/>
    <n v="2650000"/>
    <n v="2407500"/>
    <n v="2139269.4500000002"/>
    <n v="2609347.2000000002"/>
    <n v="6"/>
    <n v="0"/>
    <n v="0"/>
    <n v="0"/>
    <n v="0"/>
    <s v="CP Panel"/>
    <x v="0"/>
    <x v="0"/>
    <x v="1"/>
    <x v="6"/>
    <m/>
    <m/>
    <m/>
    <n v="1"/>
    <m/>
    <m/>
    <m/>
    <s v="CP"/>
    <m/>
    <m/>
    <x v="2"/>
    <x v="1"/>
    <m/>
    <x v="28"/>
  </r>
  <r>
    <n v="2077"/>
    <x v="127"/>
    <x v="127"/>
    <x v="119"/>
    <x v="4"/>
    <s v="RICKY LAM"/>
    <n v="2020"/>
    <s v="SIF"/>
    <s v="Supplier"/>
    <m/>
    <x v="256"/>
    <s v="SIF2012 - KL Precision (Hanoi) Co  Ltd.xls"/>
    <s v=".xls"/>
    <d v="2014-04-11T00:00:00"/>
    <s v="as\afok"/>
    <m/>
    <s v="2012"/>
    <x v="0"/>
    <x v="0"/>
    <x v="0"/>
    <x v="0"/>
    <m/>
    <m/>
    <m/>
    <m/>
    <m/>
    <n v="2013"/>
    <n v="3500000"/>
    <n v="2407500"/>
    <n v="2139269.4500000002"/>
    <n v="2609347.2000000002"/>
    <n v="2437739.54"/>
    <n v="0"/>
    <n v="0"/>
    <n v="0"/>
    <n v="0"/>
    <n v="0"/>
    <s v="CP Panel"/>
    <x v="0"/>
    <x v="0"/>
    <x v="1"/>
    <x v="6"/>
    <m/>
    <m/>
    <m/>
    <n v="1"/>
    <n v="1"/>
    <m/>
    <m/>
    <s v="CP"/>
    <m/>
    <m/>
    <x v="2"/>
    <x v="1"/>
    <m/>
    <x v="28"/>
  </r>
  <r>
    <n v="25"/>
    <x v="128"/>
    <x v="128"/>
    <x v="120"/>
    <x v="2"/>
    <s v="GODFREY LI"/>
    <n v="21"/>
    <s v="Contract: General Contract"/>
    <s v="Supplier"/>
    <d v="2014-12-31T00:00:00"/>
    <x v="562"/>
    <s v="Junjia_General Agreement_20111114.pdf"/>
    <s v=".pdf"/>
    <d v="2014-03-04T00:00:00"/>
    <s v="as\afok"/>
    <m/>
    <s v="FHA00016 ind.10"/>
    <x v="3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1"/>
    <m/>
    <m/>
    <s v="FP"/>
    <m/>
    <s v="SP"/>
    <m/>
    <x v="9"/>
    <x v="1"/>
    <n v="1"/>
    <x v="25"/>
  </r>
  <r>
    <n v="148"/>
    <x v="128"/>
    <x v="128"/>
    <x v="120"/>
    <x v="2"/>
    <s v="GODFREY LI"/>
    <n v="140"/>
    <s v="Contract: Quality Appendix"/>
    <s v="Supplier"/>
    <m/>
    <x v="562"/>
    <s v="Junjia_General Agreement_20111205.pdf"/>
    <s v=".pdf"/>
    <d v="2014-03-10T00:00:00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2"/>
    <x v="0"/>
    <x v="0"/>
    <m/>
    <n v="1"/>
    <m/>
    <n v="1"/>
    <m/>
    <m/>
    <s v="FP"/>
    <m/>
    <s v="SP"/>
    <m/>
    <x v="9"/>
    <x v="1"/>
    <n v="1"/>
    <x v="25"/>
  </r>
  <r>
    <n v="147"/>
    <x v="128"/>
    <x v="128"/>
    <x v="120"/>
    <x v="2"/>
    <s v="GODFREY LI"/>
    <n v="139"/>
    <s v="Contract: Supply Chain Appendix"/>
    <s v="Supplier"/>
    <m/>
    <x v="562"/>
    <s v="Junjia_General Agreement_20111205.pdf"/>
    <s v=".pdf"/>
    <d v="2014-03-10T00:00:00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1"/>
    <m/>
    <m/>
    <s v="FP"/>
    <m/>
    <s v="SP"/>
    <m/>
    <x v="9"/>
    <x v="1"/>
    <n v="1"/>
    <x v="25"/>
  </r>
  <r>
    <n v="583"/>
    <x v="128"/>
    <x v="128"/>
    <x v="120"/>
    <x v="2"/>
    <s v="GODFREY LI"/>
    <n v="566"/>
    <s v="Declaration letter of group organization"/>
    <s v="Supplier"/>
    <m/>
    <x v="22"/>
    <s v="Junjia_General Agreement_20111114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n v="1"/>
    <m/>
    <s v="FP"/>
    <m/>
    <s v="SP"/>
    <m/>
    <x v="9"/>
    <x v="1"/>
    <n v="1"/>
    <x v="25"/>
  </r>
  <r>
    <n v="149"/>
    <x v="128"/>
    <x v="128"/>
    <x v="120"/>
    <x v="2"/>
    <s v="GODFREY LI"/>
    <n v="141"/>
    <s v="Environmental Declaration"/>
    <s v="Supplier"/>
    <m/>
    <x v="562"/>
    <s v="Junjia_General Agreement_20111205.pdf"/>
    <s v=".pdf"/>
    <d v="2014-03-10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m/>
    <x v="9"/>
    <x v="1"/>
    <n v="1"/>
    <x v="25"/>
  </r>
  <r>
    <n v="150"/>
    <x v="128"/>
    <x v="128"/>
    <x v="120"/>
    <x v="2"/>
    <s v="GODFREY LI"/>
    <n v="142"/>
    <s v="Environmental Declaration"/>
    <s v="Supplier"/>
    <m/>
    <x v="59"/>
    <s v="Junjia_Env_Declaration_27Mar2010.xlsx"/>
    <s v=".xlsx"/>
    <d v="2014-03-10T00:00:00"/>
    <s v="as\afok"/>
    <m/>
    <s v="2010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m/>
    <x v="9"/>
    <x v="1"/>
    <n v="1"/>
    <x v="25"/>
  </r>
  <r>
    <n v="159"/>
    <x v="128"/>
    <x v="128"/>
    <x v="120"/>
    <x v="2"/>
    <s v="GODFREY LI"/>
    <n v="151"/>
    <s v="Foodstuffs declaration"/>
    <s v="Supplier"/>
    <m/>
    <x v="563"/>
    <s v="FoodStuffs_Junjia FRD00069 ind.04 20090921.pdf"/>
    <s v=".pdf"/>
    <d v="2014-03-10T00:00:00"/>
    <s v="as\afok"/>
    <m/>
    <s v="FRD00069 ind.04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m/>
    <x v="9"/>
    <x v="1"/>
    <n v="1"/>
    <x v="25"/>
  </r>
  <r>
    <n v="151"/>
    <x v="128"/>
    <x v="128"/>
    <x v="120"/>
    <x v="2"/>
    <s v="GODFREY LI"/>
    <n v="143"/>
    <s v="Other business certifications (ex : FSC for Packaging)"/>
    <s v="Supplier"/>
    <m/>
    <x v="184"/>
    <s v="Raclette Versatilis - design property agreement.pdf"/>
    <s v=".pdf"/>
    <d v="2014-03-10T00:00:00"/>
    <s v="as\afok"/>
    <s v="design property agreement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m/>
    <x v="9"/>
    <x v="1"/>
    <n v="1"/>
    <x v="25"/>
  </r>
  <r>
    <n v="152"/>
    <x v="128"/>
    <x v="128"/>
    <x v="120"/>
    <x v="2"/>
    <s v="GODFREY LI"/>
    <n v="144"/>
    <s v="Responsible Purchasing Charter"/>
    <s v="Supplier"/>
    <m/>
    <x v="564"/>
    <s v="Junjia - Responsible Purchasing Charter (ENG).pdf"/>
    <s v=".pdf"/>
    <d v="2014-03-10T00:00:00"/>
    <s v="as\afok"/>
    <s v="English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m/>
    <x v="9"/>
    <x v="1"/>
    <n v="1"/>
    <x v="25"/>
  </r>
  <r>
    <n v="153"/>
    <x v="128"/>
    <x v="128"/>
    <x v="120"/>
    <x v="2"/>
    <s v="GODFREY LI"/>
    <n v="145"/>
    <s v="Responsible Purchasing Charter"/>
    <s v="Supplier"/>
    <m/>
    <x v="564"/>
    <s v="Junjia - Responsible Purchasing Charter (CH).pdf"/>
    <s v=".pdf"/>
    <d v="2014-03-10T00:00:00"/>
    <s v="as\afok"/>
    <s v="Chinese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m/>
    <x v="9"/>
    <x v="1"/>
    <n v="1"/>
    <x v="25"/>
  </r>
  <r>
    <n v="157"/>
    <x v="128"/>
    <x v="128"/>
    <x v="120"/>
    <x v="2"/>
    <s v="GODFREY LI"/>
    <n v="149"/>
    <s v="SEF"/>
    <s v="Supplier"/>
    <m/>
    <x v="55"/>
    <s v="Junjia SEF 2012.xlsx"/>
    <s v=".xlsx"/>
    <d v="2014-03-10T00:00:00"/>
    <s v="as\afok"/>
    <m/>
    <s v="2012"/>
    <x v="0"/>
    <x v="0"/>
    <x v="0"/>
    <x v="0"/>
    <m/>
    <m/>
    <m/>
    <m/>
    <n v="86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m/>
    <x v="9"/>
    <x v="1"/>
    <n v="1"/>
    <x v="25"/>
  </r>
  <r>
    <n v="154"/>
    <x v="128"/>
    <x v="128"/>
    <x v="120"/>
    <x v="2"/>
    <s v="GODFREY LI"/>
    <n v="146"/>
    <s v="SEF"/>
    <s v="Supplier"/>
    <m/>
    <x v="78"/>
    <s v="SEF 2013 - Junjia.xlsx"/>
    <s v=".xlsx"/>
    <d v="2014-03-10T00:00:00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m/>
    <x v="9"/>
    <x v="1"/>
    <n v="1"/>
    <x v="25"/>
  </r>
  <r>
    <n v="158"/>
    <x v="128"/>
    <x v="128"/>
    <x v="120"/>
    <x v="2"/>
    <s v="GODFREY LI"/>
    <n v="150"/>
    <s v="SIF"/>
    <s v="Supplier"/>
    <m/>
    <x v="303"/>
    <s v="JUNJIA_SIF 2012_3Mar12.xlsx"/>
    <s v=".xlsx"/>
    <d v="2014-03-10T00:00:00"/>
    <s v="as\afok"/>
    <m/>
    <s v="2012"/>
    <x v="0"/>
    <x v="0"/>
    <x v="0"/>
    <x v="0"/>
    <m/>
    <m/>
    <m/>
    <m/>
    <m/>
    <n v="2012"/>
    <m/>
    <n v="30000000"/>
    <n v="24000000"/>
    <n v="21000000"/>
    <n v="16678926"/>
    <m/>
    <m/>
    <n v="30"/>
    <n v="33"/>
    <n v="33"/>
    <s v="FP panel Top 15"/>
    <x v="1"/>
    <x v="2"/>
    <x v="0"/>
    <x v="0"/>
    <m/>
    <m/>
    <m/>
    <n v="1"/>
    <m/>
    <m/>
    <s v="FP"/>
    <m/>
    <s v="SP"/>
    <m/>
    <x v="9"/>
    <x v="1"/>
    <n v="1"/>
    <x v="25"/>
  </r>
  <r>
    <n v="155"/>
    <x v="128"/>
    <x v="128"/>
    <x v="120"/>
    <x v="2"/>
    <s v="GODFREY LI"/>
    <n v="147"/>
    <s v="SIF"/>
    <s v="Supplier"/>
    <m/>
    <x v="565"/>
    <s v="Junjia - SIF 2013.xlsx"/>
    <s v=".xlsx"/>
    <d v="2014-03-10T00:00:00"/>
    <s v="as\afok"/>
    <m/>
    <s v="2013"/>
    <x v="0"/>
    <x v="0"/>
    <x v="0"/>
    <x v="0"/>
    <m/>
    <m/>
    <m/>
    <m/>
    <m/>
    <n v="2013"/>
    <n v="28000000"/>
    <n v="26000000"/>
    <n v="24000000"/>
    <n v="21000000"/>
    <n v="16678926"/>
    <m/>
    <n v="33"/>
    <n v="30"/>
    <n v="33"/>
    <n v="33"/>
    <s v="FP panel Top 15"/>
    <x v="1"/>
    <x v="2"/>
    <x v="0"/>
    <x v="0"/>
    <m/>
    <m/>
    <m/>
    <n v="1"/>
    <m/>
    <m/>
    <s v="FP"/>
    <m/>
    <s v="SP"/>
    <m/>
    <x v="9"/>
    <x v="1"/>
    <n v="1"/>
    <x v="25"/>
  </r>
  <r>
    <n v="156"/>
    <x v="128"/>
    <x v="128"/>
    <x v="120"/>
    <x v="2"/>
    <s v="GODFREY LI"/>
    <n v="148"/>
    <s v="SPR"/>
    <s v="Supplier"/>
    <m/>
    <x v="107"/>
    <s v="Junjia - SPR 2012.pptx"/>
    <s v=".pptx"/>
    <d v="2014-03-10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m/>
    <x v="9"/>
    <x v="1"/>
    <n v="1"/>
    <x v="25"/>
  </r>
  <r>
    <n v="1720"/>
    <x v="129"/>
    <x v="129"/>
    <x v="121"/>
    <x v="5"/>
    <s v="JOHN YAN"/>
    <n v="1677"/>
    <s v="Contract: General Contract"/>
    <s v="Supplier"/>
    <m/>
    <x v="566"/>
    <s v="Junwill_Supply Agreement_15Nov12.pdf"/>
    <s v=".pdf"/>
    <d v="2014-04-08T00:00:00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34"/>
  </r>
  <r>
    <n v="1722"/>
    <x v="129"/>
    <x v="129"/>
    <x v="121"/>
    <x v="5"/>
    <s v="JOHN YAN"/>
    <n v="1679"/>
    <s v="Contract: Quality Appendix"/>
    <s v="Supplier"/>
    <m/>
    <x v="29"/>
    <s v="Junwill_Quality Appendix_2Jul2012.pdf"/>
    <s v=".pdf"/>
    <d v="2014-04-08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34"/>
  </r>
  <r>
    <n v="1717"/>
    <x v="129"/>
    <x v="129"/>
    <x v="121"/>
    <x v="5"/>
    <s v="JOHN YAN"/>
    <n v="1674"/>
    <s v="Contract: Supply Chain Appendix"/>
    <s v="Supplier"/>
    <m/>
    <x v="539"/>
    <s v="Junwill_Supply Chain Appendix_05Sep2012.pdf"/>
    <s v=".pdf"/>
    <d v="2014-04-08T00:00:00"/>
    <s v="as\afok"/>
    <m/>
    <m/>
    <x v="0"/>
    <x v="1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34"/>
  </r>
  <r>
    <n v="1723"/>
    <x v="129"/>
    <x v="129"/>
    <x v="121"/>
    <x v="5"/>
    <s v="JOHN YAN"/>
    <n v="1680"/>
    <s v="Contract: Supply Chain Appendix"/>
    <s v="Supplier"/>
    <m/>
    <x v="567"/>
    <s v="Junwill_Supply Chain Appendix_05Sep2012.pdf"/>
    <s v=".pdf"/>
    <d v="2014-04-08T00:00:00"/>
    <s v="as\afok"/>
    <m/>
    <m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34"/>
  </r>
  <r>
    <n v="1721"/>
    <x v="129"/>
    <x v="129"/>
    <x v="121"/>
    <x v="5"/>
    <s v="JOHN YAN"/>
    <n v="1678"/>
    <s v="Environmental Declaration"/>
    <s v="Supplier"/>
    <m/>
    <x v="566"/>
    <s v="Junwill_Supply Agreement_15Nov12.pdf"/>
    <s v=".pdf"/>
    <d v="2014-04-08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4"/>
  </r>
  <r>
    <n v="1726"/>
    <x v="129"/>
    <x v="129"/>
    <x v="121"/>
    <x v="5"/>
    <s v="JOHN YAN"/>
    <n v="1683"/>
    <s v="Responsible Purchasing Charter"/>
    <s v="Supplier"/>
    <m/>
    <x v="69"/>
    <s v="Junwei_Responsible Purchaser Charter_9Aug2012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4"/>
  </r>
  <r>
    <n v="1724"/>
    <x v="129"/>
    <x v="129"/>
    <x v="121"/>
    <x v="5"/>
    <s v="JOHN YAN"/>
    <n v="1681"/>
    <s v="SEF"/>
    <s v="Supplier"/>
    <m/>
    <x v="440"/>
    <s v="Junwei_SEF_Jun2012.xlsx"/>
    <s v=".xlsx"/>
    <d v="2014-04-08T00:00:00"/>
    <s v="as\afok"/>
    <m/>
    <s v="2012"/>
    <x v="0"/>
    <x v="0"/>
    <x v="0"/>
    <x v="0"/>
    <m/>
    <m/>
    <m/>
    <m/>
    <n v="79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4"/>
  </r>
  <r>
    <n v="1715"/>
    <x v="129"/>
    <x v="129"/>
    <x v="121"/>
    <x v="5"/>
    <s v="JOHN YAN"/>
    <n v="1672"/>
    <s v="SIF"/>
    <s v="Supplier"/>
    <m/>
    <x v="568"/>
    <s v="Junwill_SIF_20140402.xls"/>
    <s v=".xls"/>
    <d v="2014-04-08T00:00:00"/>
    <s v="as\afok"/>
    <m/>
    <s v="2014"/>
    <x v="0"/>
    <x v="0"/>
    <x v="0"/>
    <x v="0"/>
    <m/>
    <m/>
    <m/>
    <m/>
    <m/>
    <n v="2014"/>
    <n v="19000000"/>
    <n v="16760000"/>
    <n v="14942000"/>
    <n v="9972000"/>
    <n v="9040000"/>
    <n v="35"/>
    <n v="36.5"/>
    <n v="36"/>
    <n v="37"/>
    <n v="28"/>
    <s v="CP Panel"/>
    <x v="0"/>
    <x v="0"/>
    <x v="1"/>
    <x v="3"/>
    <m/>
    <m/>
    <m/>
    <n v="1"/>
    <m/>
    <m/>
    <m/>
    <s v="CP"/>
    <m/>
    <m/>
    <x v="2"/>
    <x v="1"/>
    <m/>
    <x v="34"/>
  </r>
  <r>
    <n v="1727"/>
    <x v="129"/>
    <x v="129"/>
    <x v="121"/>
    <x v="5"/>
    <s v="JOHN YAN"/>
    <n v="1684"/>
    <s v="SIF"/>
    <s v="Supplier"/>
    <m/>
    <x v="137"/>
    <s v="Junwei_SIF_14MAY2012.xls"/>
    <s v=".xls"/>
    <d v="2014-04-08T00:00:00"/>
    <s v="as\afok"/>
    <m/>
    <s v="2012"/>
    <x v="0"/>
    <x v="0"/>
    <x v="0"/>
    <x v="0"/>
    <m/>
    <m/>
    <m/>
    <m/>
    <m/>
    <n v="2012"/>
    <n v="12000000"/>
    <n v="11500000"/>
    <n v="9972000"/>
    <n v="9040000"/>
    <n v="7500000"/>
    <n v="38"/>
    <n v="38"/>
    <n v="37"/>
    <n v="28"/>
    <n v="26"/>
    <s v="CP Panel"/>
    <x v="0"/>
    <x v="0"/>
    <x v="1"/>
    <x v="3"/>
    <m/>
    <m/>
    <m/>
    <n v="1"/>
    <n v="1"/>
    <m/>
    <m/>
    <s v="CP"/>
    <m/>
    <m/>
    <x v="2"/>
    <x v="1"/>
    <m/>
    <x v="34"/>
  </r>
  <r>
    <n v="1718"/>
    <x v="129"/>
    <x v="129"/>
    <x v="121"/>
    <x v="5"/>
    <s v="JOHN YAN"/>
    <n v="1675"/>
    <s v="SIF"/>
    <s v="Supplier"/>
    <m/>
    <x v="133"/>
    <s v="Junwill_SIF_28Jun2013.xls"/>
    <s v=".xls"/>
    <d v="2014-04-08T00:00:00"/>
    <s v="as\afok"/>
    <m/>
    <s v="2013"/>
    <x v="0"/>
    <x v="0"/>
    <x v="0"/>
    <x v="0"/>
    <m/>
    <m/>
    <m/>
    <m/>
    <m/>
    <n v="2013"/>
    <n v="16700000"/>
    <n v="14942000"/>
    <n v="9972000"/>
    <n v="9040000"/>
    <n v="7500000"/>
    <n v="38"/>
    <n v="36"/>
    <n v="37"/>
    <n v="28"/>
    <n v="26"/>
    <s v="CP Panel"/>
    <x v="0"/>
    <x v="0"/>
    <x v="1"/>
    <x v="3"/>
    <m/>
    <m/>
    <m/>
    <n v="1"/>
    <m/>
    <m/>
    <m/>
    <s v="CP"/>
    <m/>
    <m/>
    <x v="2"/>
    <x v="1"/>
    <m/>
    <x v="34"/>
  </r>
  <r>
    <n v="1725"/>
    <x v="129"/>
    <x v="129"/>
    <x v="121"/>
    <x v="5"/>
    <s v="JOHN YAN"/>
    <n v="1682"/>
    <s v="SPR"/>
    <s v="Supplier"/>
    <m/>
    <x v="47"/>
    <s v="SPR Junwill 201207.pptx"/>
    <s v=".pptx"/>
    <d v="2014-04-08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4"/>
  </r>
  <r>
    <n v="1719"/>
    <x v="129"/>
    <x v="129"/>
    <x v="121"/>
    <x v="5"/>
    <s v="JOHN YAN"/>
    <n v="1676"/>
    <s v="SPR"/>
    <s v="Supplier"/>
    <m/>
    <x v="117"/>
    <s v="Junwill_SPR_2013May.pptx"/>
    <s v=".pptx"/>
    <d v="2014-04-08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4"/>
  </r>
  <r>
    <n v="1716"/>
    <x v="129"/>
    <x v="129"/>
    <x v="121"/>
    <x v="5"/>
    <s v="JOHN YAN"/>
    <n v="1673"/>
    <s v="SPR"/>
    <s v="Supplier"/>
    <m/>
    <x v="569"/>
    <s v="Junwill_SPR_2013Dec.ppt"/>
    <s v=".ppt"/>
    <d v="2014-04-08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34"/>
  </r>
  <r>
    <n v="2337"/>
    <x v="130"/>
    <x v="130"/>
    <x v="122"/>
    <x v="1"/>
    <s v="MAY LEE"/>
    <n v="2278"/>
    <s v="Environmental Declaration"/>
    <s v="Supplier"/>
    <m/>
    <x v="363"/>
    <s v="KAI_SUN_SUH_Env_Declaration.pdf"/>
    <s v=".pdf"/>
    <d v="2014-04-16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2338"/>
    <x v="130"/>
    <x v="130"/>
    <x v="122"/>
    <x v="1"/>
    <s v="MAY LEE"/>
    <n v="2279"/>
    <s v="ISO 14001"/>
    <s v="Supplier"/>
    <d v="2010-12-13T00:00:00"/>
    <x v="570"/>
    <s v="KAI_SUN_SUH_ISO14001.BMP"/>
    <s v=".BMP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2339"/>
    <x v="130"/>
    <x v="130"/>
    <x v="122"/>
    <x v="1"/>
    <s v="MAY LEE"/>
    <n v="2280"/>
    <s v="SIF"/>
    <s v="Supplier"/>
    <m/>
    <x v="54"/>
    <s v="KSS_SIF 2013.xls"/>
    <s v=".xls"/>
    <d v="2014-04-16T00:00:00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1033"/>
    <x v="131"/>
    <x v="131"/>
    <x v="123"/>
    <x v="1"/>
    <s v="EVA LAI"/>
    <n v="1010"/>
    <s v="ISO 14001"/>
    <s v="Supplier"/>
    <d v="2010-01-12T00:00:00"/>
    <x v="571"/>
    <s v="FOshan_Kasco_ISO14001_23Mar2010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1032"/>
    <x v="131"/>
    <x v="131"/>
    <x v="123"/>
    <x v="1"/>
    <s v="EVA LAI"/>
    <n v="1009"/>
    <s v="ISO 9001"/>
    <s v="Supplier"/>
    <d v="2009-09-30T00:00:00"/>
    <x v="338"/>
    <s v="FOshan_Kasco_ISO9001_23Mar2010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030"/>
    <x v="131"/>
    <x v="131"/>
    <x v="123"/>
    <x v="1"/>
    <s v="EVA LAI"/>
    <n v="1007"/>
    <s v="Responsible Purchasing Charter"/>
    <s v="Supplier"/>
    <m/>
    <x v="235"/>
    <s v="Kasco_Responsible_Purchasing_Charter_02Aug12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031"/>
    <x v="131"/>
    <x v="131"/>
    <x v="123"/>
    <x v="1"/>
    <s v="EVA LAI"/>
    <n v="1008"/>
    <s v="SIF"/>
    <s v="Supplier"/>
    <m/>
    <x v="572"/>
    <s v="Kasco_SIF_2010.xls"/>
    <s v=".xls"/>
    <d v="2014-03-24T00:00:00"/>
    <s v="as\afok"/>
    <m/>
    <s v="2010"/>
    <x v="0"/>
    <x v="0"/>
    <x v="0"/>
    <x v="0"/>
    <m/>
    <m/>
    <m/>
    <m/>
    <m/>
    <n v="2010"/>
    <n v="5000000"/>
    <n v="4200000"/>
    <n v="400000"/>
    <m/>
    <m/>
    <m/>
    <n v="2"/>
    <m/>
    <m/>
    <m/>
    <m/>
    <x v="0"/>
    <x v="0"/>
    <x v="0"/>
    <x v="0"/>
    <m/>
    <m/>
    <m/>
    <n v="0"/>
    <m/>
    <m/>
    <m/>
    <s v="CP"/>
    <m/>
    <m/>
    <x v="2"/>
    <x v="1"/>
    <m/>
    <x v="8"/>
  </r>
  <r>
    <n v="2639"/>
    <x v="132"/>
    <x v="132"/>
    <x v="124"/>
    <x v="0"/>
    <s v="KITTY LAI"/>
    <n v="2482"/>
    <s v="Contract: General Contract"/>
    <s v="Supplier"/>
    <m/>
    <x v="573"/>
    <s v="KEEN HING FHA000016 ind. 09 20081231.pdf"/>
    <s v=".pdf"/>
    <d v="2014-04-24T00:00:00"/>
    <s v="as\afok"/>
    <m/>
    <s v="FHA 00 016 ind.09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n v="1"/>
    <m/>
    <s v="FP"/>
    <s v="CP"/>
    <m/>
    <s v="MOULD"/>
    <x v="10"/>
    <x v="1"/>
    <m/>
    <x v="0"/>
  </r>
  <r>
    <n v="2634"/>
    <x v="132"/>
    <x v="132"/>
    <x v="124"/>
    <x v="0"/>
    <s v="KITTY LAI"/>
    <n v="2477"/>
    <s v="Contract: General Contract"/>
    <s v="Supplier"/>
    <m/>
    <x v="162"/>
    <s v="KEEN HING_General Agreement_22Jun11.pdf"/>
    <s v=".pdf"/>
    <d v="2014-04-24T00:00:00"/>
    <s v="as\afok"/>
    <m/>
    <s v="FHA 00 016 ind.10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s v="CP"/>
    <m/>
    <s v="MOULD"/>
    <x v="10"/>
    <x v="1"/>
    <m/>
    <x v="0"/>
  </r>
  <r>
    <n v="2637"/>
    <x v="132"/>
    <x v="132"/>
    <x v="124"/>
    <x v="0"/>
    <s v="KITTY LAI"/>
    <n v="2480"/>
    <s v="Contract: Quality Appendix"/>
    <s v="Supplier"/>
    <m/>
    <x v="442"/>
    <s v="KEEN HING_General Agreement_22Jun11.pdf"/>
    <s v=".pdf"/>
    <d v="2014-04-24T00:00:00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m/>
    <m/>
    <s v="FP"/>
    <s v="CP"/>
    <m/>
    <s v="MOULD"/>
    <x v="10"/>
    <x v="1"/>
    <m/>
    <x v="0"/>
  </r>
  <r>
    <n v="2636"/>
    <x v="132"/>
    <x v="132"/>
    <x v="124"/>
    <x v="0"/>
    <s v="KITTY LAI"/>
    <n v="2479"/>
    <s v="Contract: Supply Chain Appendix"/>
    <s v="Supplier"/>
    <m/>
    <x v="442"/>
    <s v="KEEN HING_General Agreement_22Jun11.pdf"/>
    <s v=".pdf"/>
    <d v="2014-04-24T00:00:00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2"/>
    <x v="0"/>
    <x v="0"/>
    <m/>
    <m/>
    <n v="1"/>
    <n v="1"/>
    <m/>
    <m/>
    <s v="FP"/>
    <s v="CP"/>
    <m/>
    <s v="MOULD"/>
    <x v="10"/>
    <x v="1"/>
    <m/>
    <x v="0"/>
  </r>
  <r>
    <n v="2638"/>
    <x v="132"/>
    <x v="132"/>
    <x v="124"/>
    <x v="0"/>
    <s v="KITTY LAI"/>
    <n v="2481"/>
    <s v="Declaration letter of group organization"/>
    <s v="Supplier"/>
    <m/>
    <x v="442"/>
    <s v="KEEN HING_General Agreement_22Jun11.pdf"/>
    <s v=".pdf"/>
    <d v="2014-04-2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x v="10"/>
    <x v="1"/>
    <m/>
    <x v="0"/>
  </r>
  <r>
    <n v="2635"/>
    <x v="132"/>
    <x v="132"/>
    <x v="124"/>
    <x v="0"/>
    <s v="KITTY LAI"/>
    <n v="2478"/>
    <s v="Environmental Declaration"/>
    <s v="Supplier"/>
    <m/>
    <x v="442"/>
    <s v="KEEN HING_General Agreement_22Jun11.pdf"/>
    <s v=".pdf"/>
    <d v="2014-04-24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x v="10"/>
    <x v="1"/>
    <m/>
    <x v="0"/>
  </r>
  <r>
    <n v="2631"/>
    <x v="132"/>
    <x v="132"/>
    <x v="124"/>
    <x v="0"/>
    <s v="KITTY LAI"/>
    <n v="2474"/>
    <s v="SEF"/>
    <s v="Supplier"/>
    <m/>
    <x v="337"/>
    <s v="SEF 2012 - Keen Hing.xlsx"/>
    <s v=".xlsx"/>
    <d v="2014-04-24T00:00:00"/>
    <s v="as\afok"/>
    <m/>
    <s v="2012"/>
    <x v="0"/>
    <x v="0"/>
    <x v="0"/>
    <x v="0"/>
    <m/>
    <m/>
    <m/>
    <m/>
    <n v="80"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x v="10"/>
    <x v="1"/>
    <m/>
    <x v="0"/>
  </r>
  <r>
    <n v="2629"/>
    <x v="132"/>
    <x v="132"/>
    <x v="124"/>
    <x v="0"/>
    <s v="KITTY LAI"/>
    <n v="2472"/>
    <s v="SEF"/>
    <s v="Supplier"/>
    <m/>
    <x v="248"/>
    <s v="SEF - Keen Hing 2013.xlsx"/>
    <s v=".xlsx"/>
    <d v="2014-04-24T00:00:00"/>
    <s v="as\afok"/>
    <m/>
    <s v="2013"/>
    <x v="0"/>
    <x v="0"/>
    <x v="0"/>
    <x v="0"/>
    <m/>
    <m/>
    <m/>
    <m/>
    <n v="83"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x v="10"/>
    <x v="1"/>
    <m/>
    <x v="0"/>
  </r>
  <r>
    <n v="2630"/>
    <x v="132"/>
    <x v="132"/>
    <x v="124"/>
    <x v="0"/>
    <s v="KITTY LAI"/>
    <n v="2473"/>
    <s v="SIF"/>
    <s v="Supplier"/>
    <m/>
    <x v="163"/>
    <s v="Keen_Hing_SIF2013.xls"/>
    <s v=".xls"/>
    <d v="2014-04-24T00:00:00"/>
    <s v="as\afok"/>
    <m/>
    <s v="2013"/>
    <x v="0"/>
    <x v="0"/>
    <x v="0"/>
    <x v="0"/>
    <m/>
    <m/>
    <m/>
    <m/>
    <m/>
    <n v="2013"/>
    <n v="5000000"/>
    <n v="6000000"/>
    <n v="8000000"/>
    <n v="8000000"/>
    <n v="7000000"/>
    <n v="3"/>
    <n v="2"/>
    <n v="4"/>
    <n v="4"/>
    <n v="1"/>
    <s v="FP panel"/>
    <x v="1"/>
    <x v="2"/>
    <x v="0"/>
    <x v="0"/>
    <m/>
    <m/>
    <m/>
    <n v="1"/>
    <m/>
    <m/>
    <s v="FP"/>
    <s v="CP"/>
    <m/>
    <s v="MOULD"/>
    <x v="10"/>
    <x v="1"/>
    <m/>
    <x v="0"/>
  </r>
  <r>
    <n v="2633"/>
    <x v="132"/>
    <x v="132"/>
    <x v="124"/>
    <x v="0"/>
    <s v="KITTY LAI"/>
    <n v="2476"/>
    <s v="SIF"/>
    <s v="Supplier"/>
    <m/>
    <x v="499"/>
    <s v="Keen_Hing_SIF2012_28Feb2012.xls"/>
    <s v=".xls"/>
    <d v="2014-04-24T00:00:00"/>
    <s v="as\afok"/>
    <m/>
    <s v="2012"/>
    <x v="0"/>
    <x v="0"/>
    <x v="0"/>
    <x v="0"/>
    <m/>
    <m/>
    <m/>
    <m/>
    <m/>
    <n v="2012"/>
    <n v="7000000"/>
    <n v="6400000"/>
    <n v="6000000"/>
    <n v="5360000"/>
    <n v="8950000"/>
    <n v="10"/>
    <n v="5"/>
    <n v="5"/>
    <n v="5"/>
    <n v="5"/>
    <s v="FP panel"/>
    <x v="1"/>
    <x v="2"/>
    <x v="0"/>
    <x v="0"/>
    <m/>
    <m/>
    <m/>
    <n v="1"/>
    <m/>
    <m/>
    <s v="FP"/>
    <s v="CP"/>
    <m/>
    <s v="MOULD"/>
    <x v="10"/>
    <x v="1"/>
    <m/>
    <x v="0"/>
  </r>
  <r>
    <n v="2628"/>
    <x v="132"/>
    <x v="132"/>
    <x v="124"/>
    <x v="0"/>
    <s v="KITTY LAI"/>
    <n v="2471"/>
    <s v="SPR"/>
    <s v="Supplier"/>
    <m/>
    <x v="108"/>
    <s v="SPR - Keen Hing 2013.pdf"/>
    <s v=".pdf"/>
    <d v="2014-04-23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x v="10"/>
    <x v="1"/>
    <m/>
    <x v="0"/>
  </r>
  <r>
    <n v="2632"/>
    <x v="132"/>
    <x v="132"/>
    <x v="124"/>
    <x v="0"/>
    <s v="KITTY LAI"/>
    <n v="2475"/>
    <s v="SPR"/>
    <s v="Supplier"/>
    <m/>
    <x v="69"/>
    <s v="SPR - Keen Hing P2_9Aug12.ppt"/>
    <s v=".ppt"/>
    <d v="2014-04-24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x v="10"/>
    <x v="1"/>
    <m/>
    <x v="0"/>
  </r>
  <r>
    <n v="869"/>
    <x v="133"/>
    <x v="133"/>
    <x v="125"/>
    <x v="1"/>
    <s v="DOUGLAS LAM"/>
    <n v="847"/>
    <s v="Contract: General Contract"/>
    <s v="Supplier"/>
    <m/>
    <x v="574"/>
    <s v="Kelson_Purchase_Agreement_2008.pdf"/>
    <s v=".pdf"/>
    <d v="2014-03-21T00:00:00"/>
    <s v="as\afok"/>
    <m/>
    <s v="V5"/>
    <x v="7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x v="2"/>
    <x v="1"/>
    <m/>
    <x v="6"/>
  </r>
  <r>
    <n v="862"/>
    <x v="133"/>
    <x v="133"/>
    <x v="125"/>
    <x v="1"/>
    <s v="DOUGLAS LAM"/>
    <n v="840"/>
    <s v="Contract: General Contract"/>
    <s v="Supplier"/>
    <m/>
    <x v="575"/>
    <s v="Kelson_General_agreement_Jul12.pdf"/>
    <s v=".pdf"/>
    <d v="2014-03-21T00:00:00"/>
    <s v="as\afok"/>
    <m/>
    <s v="V7"/>
    <x v="7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x v="2"/>
    <x v="1"/>
    <m/>
    <x v="6"/>
  </r>
  <r>
    <n v="865"/>
    <x v="133"/>
    <x v="133"/>
    <x v="125"/>
    <x v="1"/>
    <s v="DOUGLAS LAM"/>
    <n v="843"/>
    <s v="Contract: Quality Appendix"/>
    <s v="Supplier"/>
    <m/>
    <x v="575"/>
    <s v="Kelson_General_agreement_Jul12.pdf"/>
    <s v=".pdf"/>
    <d v="2014-03-21T00:00:00"/>
    <s v="as\afok"/>
    <m/>
    <m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x v="2"/>
    <x v="1"/>
    <m/>
    <x v="6"/>
  </r>
  <r>
    <n v="870"/>
    <x v="133"/>
    <x v="133"/>
    <x v="125"/>
    <x v="1"/>
    <s v="DOUGLAS LAM"/>
    <n v="848"/>
    <s v="Contract: Quality Appendix"/>
    <s v="Supplier"/>
    <m/>
    <x v="574"/>
    <s v="Kelson_Purchase_Agreement_2008.pdf"/>
    <s v=".pdf"/>
    <d v="2014-03-21T00:00:00"/>
    <s v="as\afok"/>
    <m/>
    <s v="FHA 00 014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x v="2"/>
    <x v="1"/>
    <m/>
    <x v="6"/>
  </r>
  <r>
    <n v="864"/>
    <x v="133"/>
    <x v="133"/>
    <x v="125"/>
    <x v="1"/>
    <s v="DOUGLAS LAM"/>
    <n v="842"/>
    <s v="Contract: Supply Chain Appendix"/>
    <s v="Supplier"/>
    <m/>
    <x v="575"/>
    <s v="Kelson_General_agreement_Jul12.pdf"/>
    <s v=".pdf"/>
    <d v="2014-03-21T00:00:00"/>
    <s v="as\afok"/>
    <m/>
    <m/>
    <x v="0"/>
    <x v="8"/>
    <x v="2"/>
    <x v="0"/>
    <m/>
    <m/>
    <m/>
    <m/>
    <m/>
    <m/>
    <m/>
    <m/>
    <m/>
    <m/>
    <m/>
    <m/>
    <m/>
    <m/>
    <m/>
    <m/>
    <s v="CP Panel"/>
    <x v="0"/>
    <x v="0"/>
    <x v="1"/>
    <x v="2"/>
    <m/>
    <m/>
    <n v="1"/>
    <n v="1"/>
    <m/>
    <m/>
    <m/>
    <s v="CP"/>
    <m/>
    <m/>
    <x v="2"/>
    <x v="1"/>
    <m/>
    <x v="6"/>
  </r>
  <r>
    <n v="871"/>
    <x v="133"/>
    <x v="133"/>
    <x v="125"/>
    <x v="1"/>
    <s v="DOUGLAS LAM"/>
    <n v="849"/>
    <s v="Contract: Supply Chain Appendix"/>
    <s v="Supplier"/>
    <m/>
    <x v="15"/>
    <s v="Kelson_Purchase_Agreement_2008.pdf"/>
    <s v=".pdf"/>
    <d v="2014-03-21T00:00:00"/>
    <s v="as\afok"/>
    <m/>
    <m/>
    <x v="0"/>
    <x v="1"/>
    <x v="1"/>
    <x v="0"/>
    <m/>
    <m/>
    <m/>
    <m/>
    <m/>
    <m/>
    <m/>
    <m/>
    <m/>
    <m/>
    <m/>
    <m/>
    <m/>
    <m/>
    <m/>
    <m/>
    <s v="CP Panel"/>
    <x v="0"/>
    <x v="0"/>
    <x v="1"/>
    <x v="2"/>
    <m/>
    <m/>
    <n v="1"/>
    <n v="1"/>
    <n v="1"/>
    <m/>
    <m/>
    <s v="CP"/>
    <m/>
    <m/>
    <x v="2"/>
    <x v="1"/>
    <m/>
    <x v="6"/>
  </r>
  <r>
    <n v="866"/>
    <x v="133"/>
    <x v="133"/>
    <x v="125"/>
    <x v="1"/>
    <s v="DOUGLAS LAM"/>
    <n v="844"/>
    <s v="Declaration letter of group organization"/>
    <s v="Supplier"/>
    <m/>
    <x v="38"/>
    <s v="Kelson_General_agreement_Jul12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6"/>
  </r>
  <r>
    <n v="863"/>
    <x v="133"/>
    <x v="133"/>
    <x v="125"/>
    <x v="1"/>
    <s v="DOUGLAS LAM"/>
    <n v="841"/>
    <s v="Environmental Declaration"/>
    <s v="Supplier"/>
    <m/>
    <x v="575"/>
    <s v="Kelson_General_agreement_Jul12.pdf"/>
    <s v=".pdf"/>
    <d v="2014-03-21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6"/>
  </r>
  <r>
    <n v="861"/>
    <x v="133"/>
    <x v="133"/>
    <x v="125"/>
    <x v="1"/>
    <s v="DOUGLAS LAM"/>
    <n v="839"/>
    <s v="Environmental Declaration"/>
    <s v="Supplier"/>
    <m/>
    <x v="62"/>
    <s v="Kelson_Env_Declaration_23Mar2010.xls"/>
    <s v=".xls"/>
    <d v="2014-03-21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6"/>
  </r>
  <r>
    <n v="860"/>
    <x v="133"/>
    <x v="133"/>
    <x v="125"/>
    <x v="1"/>
    <s v="DOUGLAS LAM"/>
    <n v="838"/>
    <s v="Responsible Purchasing Charter"/>
    <s v="Supplier"/>
    <m/>
    <x v="242"/>
    <s v="Kelson_Responsible_Purchasing_Charter_16Aug12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6"/>
  </r>
  <r>
    <n v="868"/>
    <x v="133"/>
    <x v="133"/>
    <x v="125"/>
    <x v="1"/>
    <s v="DOUGLAS LAM"/>
    <n v="846"/>
    <s v="SEF"/>
    <s v="Supplier"/>
    <m/>
    <x v="10"/>
    <s v="Kelson_SEF_2012.xlsx"/>
    <s v=".xlsx"/>
    <d v="2014-03-21T00:00:00"/>
    <s v="as\afok"/>
    <m/>
    <s v="2012"/>
    <x v="0"/>
    <x v="0"/>
    <x v="0"/>
    <x v="0"/>
    <m/>
    <m/>
    <m/>
    <m/>
    <n v="68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6"/>
  </r>
  <r>
    <n v="858"/>
    <x v="133"/>
    <x v="133"/>
    <x v="125"/>
    <x v="1"/>
    <s v="DOUGLAS LAM"/>
    <n v="836"/>
    <s v="SEF"/>
    <s v="Supplier"/>
    <m/>
    <x v="9"/>
    <s v="Kelson SEF 2013 -Manufacturer-20130601-70.xlsx"/>
    <s v=".xlsx"/>
    <d v="2014-03-21T00:00:00"/>
    <s v="as\afok"/>
    <m/>
    <s v="2013"/>
    <x v="0"/>
    <x v="0"/>
    <x v="0"/>
    <x v="0"/>
    <m/>
    <m/>
    <m/>
    <m/>
    <n v="70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6"/>
  </r>
  <r>
    <n v="867"/>
    <x v="133"/>
    <x v="133"/>
    <x v="125"/>
    <x v="1"/>
    <s v="DOUGLAS LAM"/>
    <n v="845"/>
    <s v="SIF"/>
    <s v="Supplier"/>
    <m/>
    <x v="54"/>
    <s v="Kelson_SIF 2013.xls"/>
    <s v=".xls"/>
    <d v="2014-03-21T00:00:00"/>
    <s v="as\afok"/>
    <m/>
    <s v="2013"/>
    <x v="0"/>
    <x v="0"/>
    <x v="0"/>
    <x v="0"/>
    <m/>
    <m/>
    <m/>
    <m/>
    <m/>
    <n v="2013"/>
    <n v="26000000"/>
    <n v="23000000"/>
    <n v="16492000"/>
    <n v="13500000"/>
    <n v="10004000"/>
    <n v="38"/>
    <n v="42"/>
    <n v="52"/>
    <n v="56"/>
    <n v="38"/>
    <s v="CP Panel"/>
    <x v="0"/>
    <x v="0"/>
    <x v="1"/>
    <x v="2"/>
    <m/>
    <m/>
    <m/>
    <n v="1"/>
    <m/>
    <m/>
    <m/>
    <s v="CP"/>
    <m/>
    <m/>
    <x v="2"/>
    <x v="1"/>
    <m/>
    <x v="6"/>
  </r>
  <r>
    <n v="859"/>
    <x v="133"/>
    <x v="133"/>
    <x v="125"/>
    <x v="1"/>
    <s v="DOUGLAS LAM"/>
    <n v="837"/>
    <s v="SPR"/>
    <s v="Supplier"/>
    <m/>
    <x v="14"/>
    <s v="Kelson SPR 2011.ppt"/>
    <s v=".ppt"/>
    <d v="2014-03-21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x v="2"/>
    <x v="1"/>
    <m/>
    <x v="6"/>
  </r>
  <r>
    <n v="26"/>
    <x v="134"/>
    <x v="134"/>
    <x v="126"/>
    <x v="0"/>
    <s v="KA WING KELVIN CHAN"/>
    <n v="22"/>
    <s v="Contract: General Contract"/>
    <s v="Supplier"/>
    <d v="2015-12-31T00:00:00"/>
    <x v="393"/>
    <s v="Kenford_General Agreement_28Jun12.pdf"/>
    <s v=".pdf"/>
    <d v="2014-03-04T00:00:00"/>
    <s v="as\afok"/>
    <m/>
    <s v="FHA00016 ind.11"/>
    <x v="4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n v="1"/>
    <m/>
    <m/>
    <n v="1"/>
    <m/>
    <m/>
    <s v="FP"/>
    <m/>
    <s v="SP"/>
    <s v="MOULD"/>
    <x v="4"/>
    <x v="1"/>
    <n v="1"/>
    <x v="10"/>
  </r>
  <r>
    <n v="161"/>
    <x v="134"/>
    <x v="134"/>
    <x v="126"/>
    <x v="0"/>
    <s v="KA WING KELVIN CHAN"/>
    <n v="153"/>
    <s v="Contract: Quality Appendix"/>
    <s v="Supplier"/>
    <m/>
    <x v="393"/>
    <s v="Kenford_General Agreement_28Jun12.pdf"/>
    <s v=".pdf"/>
    <d v="2014-03-10T00:00:00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1"/>
    <x v="0"/>
    <x v="0"/>
    <m/>
    <n v="1"/>
    <m/>
    <n v="1"/>
    <m/>
    <m/>
    <s v="FP"/>
    <m/>
    <s v="SP"/>
    <s v="MOULD"/>
    <x v="4"/>
    <x v="1"/>
    <n v="1"/>
    <x v="10"/>
  </r>
  <r>
    <n v="160"/>
    <x v="134"/>
    <x v="134"/>
    <x v="126"/>
    <x v="0"/>
    <s v="KA WING KELVIN CHAN"/>
    <n v="152"/>
    <s v="Contract: Supply Chain Appendix"/>
    <s v="Supplier"/>
    <m/>
    <x v="393"/>
    <s v="Kenford_General Agreement_28Jun12.pdf"/>
    <s v=".pdf"/>
    <d v="2014-03-10T00:00:00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1"/>
    <x v="0"/>
    <x v="0"/>
    <m/>
    <m/>
    <n v="1"/>
    <n v="1"/>
    <m/>
    <m/>
    <s v="FP"/>
    <m/>
    <s v="SP"/>
    <s v="MOULD"/>
    <x v="4"/>
    <x v="1"/>
    <n v="1"/>
    <x v="10"/>
  </r>
  <r>
    <n v="579"/>
    <x v="134"/>
    <x v="134"/>
    <x v="126"/>
    <x v="0"/>
    <s v="KA WING KELVIN CHAN"/>
    <n v="562"/>
    <s v="Declaration letter of group organization"/>
    <s v="Supplier"/>
    <m/>
    <x v="576"/>
    <s v="Kenford_General Agreement_28Jun12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n v="1"/>
    <m/>
    <s v="FP"/>
    <m/>
    <s v="SP"/>
    <s v="MOULD"/>
    <x v="4"/>
    <x v="1"/>
    <n v="1"/>
    <x v="10"/>
  </r>
  <r>
    <n v="164"/>
    <x v="134"/>
    <x v="134"/>
    <x v="126"/>
    <x v="0"/>
    <s v="KA WING KELVIN CHAN"/>
    <n v="156"/>
    <s v="Environmental Declaration"/>
    <s v="Supplier"/>
    <m/>
    <x v="393"/>
    <s v="Kenford_General Agreement_28Jun12.pdf"/>
    <s v=".pdf"/>
    <d v="2014-03-10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0"/>
  </r>
  <r>
    <n v="165"/>
    <x v="134"/>
    <x v="134"/>
    <x v="126"/>
    <x v="0"/>
    <s v="KA WING KELVIN CHAN"/>
    <n v="157"/>
    <s v="ISO 14001"/>
    <s v="Supplier"/>
    <d v="2012-11-24T00:00:00"/>
    <x v="577"/>
    <s v="Kenford_ISO14001_03Jan2011.tif"/>
    <s v=".tif"/>
    <d v="2014-03-10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0"/>
  </r>
  <r>
    <n v="162"/>
    <x v="134"/>
    <x v="134"/>
    <x v="126"/>
    <x v="0"/>
    <s v="KA WING KELVIN CHAN"/>
    <n v="154"/>
    <s v="LOC (Letter of Confidentiality)"/>
    <s v="Supplier"/>
    <m/>
    <x v="213"/>
    <s v="KENFORD  LOC - Straightener 14Jan11.pdf"/>
    <s v=".pdf"/>
    <d v="2014-03-10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0"/>
  </r>
  <r>
    <n v="166"/>
    <x v="134"/>
    <x v="134"/>
    <x v="126"/>
    <x v="0"/>
    <s v="KA WING KELVIN CHAN"/>
    <n v="158"/>
    <s v="Responsible Purchasing Charter"/>
    <s v="Supplier"/>
    <m/>
    <x v="576"/>
    <s v="Kenford_Responsible Purchasing Charter Chinese_23Aug12.pdf"/>
    <s v=".pdf"/>
    <d v="2014-03-10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0"/>
  </r>
  <r>
    <n v="169"/>
    <x v="134"/>
    <x v="134"/>
    <x v="126"/>
    <x v="0"/>
    <s v="KA WING KELVIN CHAN"/>
    <n v="161"/>
    <s v="SEF"/>
    <s v="Supplier"/>
    <m/>
    <x v="47"/>
    <s v="SEF - Kenford 2012.xlsx"/>
    <s v=".xlsx"/>
    <d v="2014-03-10T00:00:00"/>
    <s v="as\afok"/>
    <m/>
    <s v="2012"/>
    <x v="0"/>
    <x v="0"/>
    <x v="0"/>
    <x v="0"/>
    <m/>
    <m/>
    <m/>
    <m/>
    <n v="80"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0"/>
  </r>
  <r>
    <n v="170"/>
    <x v="134"/>
    <x v="134"/>
    <x v="126"/>
    <x v="0"/>
    <s v="KA WING KELVIN CHAN"/>
    <n v="162"/>
    <s v="SEF"/>
    <s v="Supplier"/>
    <m/>
    <x v="361"/>
    <s v="SEF Kenford 2013.XLSX"/>
    <s v=".xlsx"/>
    <d v="2014-03-10T00:00:00"/>
    <s v="as\afok"/>
    <m/>
    <s v="2013"/>
    <x v="0"/>
    <x v="0"/>
    <x v="0"/>
    <x v="0"/>
    <m/>
    <m/>
    <m/>
    <m/>
    <n v="78"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0"/>
  </r>
  <r>
    <n v="168"/>
    <x v="134"/>
    <x v="134"/>
    <x v="126"/>
    <x v="0"/>
    <s v="KA WING KELVIN CHAN"/>
    <n v="160"/>
    <s v="SIF"/>
    <s v="Supplier"/>
    <m/>
    <x v="578"/>
    <s v="KENFORD_SIF2013_130305.xlsx"/>
    <s v=".xlsx"/>
    <d v="2014-03-10T00:00:00"/>
    <s v="as\afok"/>
    <m/>
    <s v="2013"/>
    <x v="0"/>
    <x v="0"/>
    <x v="0"/>
    <x v="0"/>
    <m/>
    <m/>
    <m/>
    <m/>
    <m/>
    <n v="2013"/>
    <m/>
    <n v="82000000"/>
    <n v="84800000"/>
    <n v="78600000"/>
    <n v="99600000"/>
    <m/>
    <n v="10"/>
    <n v="20"/>
    <n v="15"/>
    <n v="15"/>
    <s v="FP panel Top 15"/>
    <x v="1"/>
    <x v="1"/>
    <x v="0"/>
    <x v="0"/>
    <m/>
    <m/>
    <m/>
    <n v="1"/>
    <m/>
    <m/>
    <s v="FP"/>
    <m/>
    <s v="SP"/>
    <s v="MOULD"/>
    <x v="4"/>
    <x v="1"/>
    <n v="1"/>
    <x v="10"/>
  </r>
  <r>
    <n v="167"/>
    <x v="134"/>
    <x v="134"/>
    <x v="126"/>
    <x v="0"/>
    <s v="KA WING KELVIN CHAN"/>
    <n v="159"/>
    <s v="SIF"/>
    <s v="Supplier"/>
    <m/>
    <x v="492"/>
    <s v="Kenford_SIF2012_8Mar12.xls"/>
    <s v=".xls"/>
    <d v="2014-03-10T00:00:00"/>
    <s v="as\afok"/>
    <m/>
    <s v="2012"/>
    <x v="0"/>
    <x v="0"/>
    <x v="0"/>
    <x v="0"/>
    <m/>
    <m/>
    <m/>
    <m/>
    <m/>
    <n v="2012"/>
    <m/>
    <n v="84800000"/>
    <n v="78600000"/>
    <n v="99600000"/>
    <n v="71600000"/>
    <m/>
    <n v="20"/>
    <n v="15"/>
    <n v="15"/>
    <n v="15"/>
    <s v="FP panel Top 15"/>
    <x v="1"/>
    <x v="1"/>
    <x v="0"/>
    <x v="0"/>
    <m/>
    <m/>
    <m/>
    <n v="1"/>
    <m/>
    <m/>
    <s v="FP"/>
    <m/>
    <s v="SP"/>
    <s v="MOULD"/>
    <x v="4"/>
    <x v="1"/>
    <n v="1"/>
    <x v="10"/>
  </r>
  <r>
    <n v="163"/>
    <x v="134"/>
    <x v="134"/>
    <x v="126"/>
    <x v="0"/>
    <s v="KA WING KELVIN CHAN"/>
    <n v="155"/>
    <s v="SPR"/>
    <s v="Supplier"/>
    <m/>
    <x v="579"/>
    <s v="Kenford - SPR 2012.pptx"/>
    <s v=".pptx"/>
    <d v="2014-03-10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s v="MOULD"/>
    <x v="4"/>
    <x v="1"/>
    <n v="1"/>
    <x v="10"/>
  </r>
  <r>
    <n v="938"/>
    <x v="135"/>
    <x v="135"/>
    <x v="127"/>
    <x v="4"/>
    <s v="ERIC KWOK"/>
    <n v="916"/>
    <s v="Environmental Declaration"/>
    <s v="Supplier"/>
    <m/>
    <x v="334"/>
    <s v="Keung_sing_Env_Declaration_15May2010.xls"/>
    <s v=".xls"/>
    <d v="2014-03-24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m/>
    <m/>
    <s v="MOULD"/>
    <x v="8"/>
    <x v="1"/>
    <m/>
    <x v="3"/>
  </r>
  <r>
    <n v="934"/>
    <x v="135"/>
    <x v="135"/>
    <x v="127"/>
    <x v="4"/>
    <s v="ERIC KWOK"/>
    <n v="912"/>
    <s v="Responsible Purchasing Charter"/>
    <s v="Supplier"/>
    <m/>
    <x v="242"/>
    <s v="Keung_Sing_Responsible_Purchasing_Charter_06Aug12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935"/>
    <x v="135"/>
    <x v="135"/>
    <x v="127"/>
    <x v="4"/>
    <s v="ERIC KWOK"/>
    <n v="913"/>
    <s v="SEF"/>
    <s v="Supplier"/>
    <m/>
    <x v="63"/>
    <s v="Keung Sing_SEF_May2011_R1.xlsx"/>
    <s v=".xlsx"/>
    <d v="2014-03-24T00:00:00"/>
    <s v="as\afok"/>
    <m/>
    <s v="2011"/>
    <x v="0"/>
    <x v="0"/>
    <x v="0"/>
    <x v="0"/>
    <m/>
    <m/>
    <m/>
    <m/>
    <n v="67"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933"/>
    <x v="135"/>
    <x v="135"/>
    <x v="127"/>
    <x v="4"/>
    <s v="ERIC KWOK"/>
    <n v="911"/>
    <s v="SIF"/>
    <s v="Supplier"/>
    <m/>
    <x v="25"/>
    <s v="Keung Sing_SIF2013.xlsx"/>
    <s v=".xlsx"/>
    <d v="2014-03-24T00:00:00"/>
    <s v="as\afok"/>
    <m/>
    <s v="2013"/>
    <x v="0"/>
    <x v="0"/>
    <x v="0"/>
    <x v="0"/>
    <m/>
    <m/>
    <m/>
    <m/>
    <m/>
    <n v="2013"/>
    <m/>
    <m/>
    <m/>
    <m/>
    <m/>
    <n v="15"/>
    <n v="15"/>
    <n v="15"/>
    <n v="15"/>
    <n v="15"/>
    <m/>
    <x v="0"/>
    <x v="0"/>
    <x v="0"/>
    <x v="0"/>
    <m/>
    <m/>
    <m/>
    <n v="0"/>
    <m/>
    <m/>
    <m/>
    <m/>
    <m/>
    <s v="MOULD"/>
    <x v="8"/>
    <x v="1"/>
    <m/>
    <x v="3"/>
  </r>
  <r>
    <n v="936"/>
    <x v="135"/>
    <x v="135"/>
    <x v="127"/>
    <x v="4"/>
    <s v="ERIC KWOK"/>
    <n v="914"/>
    <s v="SIF"/>
    <s v="Supplier"/>
    <m/>
    <x v="580"/>
    <s v="Keung_Sing_SIF2012_18Jul12.xlsx"/>
    <s v=".xlsx"/>
    <d v="2014-03-24T00:00:00"/>
    <s v="as\afok"/>
    <m/>
    <s v="2012"/>
    <x v="0"/>
    <x v="0"/>
    <x v="0"/>
    <x v="0"/>
    <m/>
    <m/>
    <m/>
    <m/>
    <m/>
    <n v="2012"/>
    <m/>
    <m/>
    <m/>
    <m/>
    <m/>
    <n v="15"/>
    <n v="15"/>
    <n v="15"/>
    <n v="15"/>
    <n v="15"/>
    <m/>
    <x v="0"/>
    <x v="0"/>
    <x v="0"/>
    <x v="0"/>
    <m/>
    <m/>
    <m/>
    <n v="0"/>
    <m/>
    <m/>
    <m/>
    <m/>
    <m/>
    <s v="MOULD"/>
    <x v="8"/>
    <x v="1"/>
    <m/>
    <x v="3"/>
  </r>
  <r>
    <n v="937"/>
    <x v="135"/>
    <x v="135"/>
    <x v="127"/>
    <x v="4"/>
    <s v="ERIC KWOK"/>
    <n v="915"/>
    <s v="SPR"/>
    <s v="Supplier"/>
    <m/>
    <x v="66"/>
    <s v="SPR_Keung Sing June 2011.ppt"/>
    <s v=".ppt"/>
    <d v="2014-03-24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2232"/>
    <x v="136"/>
    <x v="136"/>
    <x v="128"/>
    <x v="4"/>
    <s v="WILLIAM TSANG"/>
    <n v="2174"/>
    <s v="Contract: General Contract"/>
    <s v="Supplier"/>
    <m/>
    <x v="352"/>
    <s v="KinSun_SupplyAgreementV8.pdf"/>
    <s v=".pdf"/>
    <d v="2014-04-16T00:00:00"/>
    <s v="as\afok"/>
    <m/>
    <s v="V8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m/>
    <s v="CP"/>
    <m/>
    <m/>
    <x v="2"/>
    <x v="1"/>
    <m/>
    <x v="8"/>
  </r>
  <r>
    <n v="2231"/>
    <x v="136"/>
    <x v="136"/>
    <x v="128"/>
    <x v="4"/>
    <s v="WILLIAM TSANG"/>
    <n v="2173"/>
    <s v="Contract: Supply Chain Appendix"/>
    <s v="Supplier"/>
    <m/>
    <x v="581"/>
    <s v="KinSun_SupplyChainV10_25Sep2013.pdf"/>
    <s v=".pdf"/>
    <d v="2014-04-16T00:00:00"/>
    <s v="as\afok"/>
    <m/>
    <s v="V10"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m/>
    <m/>
    <s v="CP"/>
    <m/>
    <m/>
    <x v="2"/>
    <x v="1"/>
    <m/>
    <x v="8"/>
  </r>
  <r>
    <n v="2229"/>
    <x v="136"/>
    <x v="136"/>
    <x v="128"/>
    <x v="4"/>
    <s v="WILLIAM TSANG"/>
    <n v="2171"/>
    <s v="LOC (Letter of Confidentiality)"/>
    <s v="Product / Project"/>
    <m/>
    <x v="582"/>
    <s v="LOC_Kin_Sun(Nara_project).pdf"/>
    <s v=".pdf"/>
    <d v="2014-04-16T00:00:00"/>
    <s v="as\afok"/>
    <m/>
    <m/>
    <x v="0"/>
    <x v="0"/>
    <x v="0"/>
    <x v="0"/>
    <s v="Nara"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2230"/>
    <x v="136"/>
    <x v="136"/>
    <x v="128"/>
    <x v="4"/>
    <s v="WILLIAM TSANG"/>
    <n v="2172"/>
    <s v="Responsible Purchasing Charter"/>
    <s v="Supplier"/>
    <m/>
    <x v="270"/>
    <s v="Kin_Sun_Responsible_Purchasing_Charter_28Aug12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2234"/>
    <x v="136"/>
    <x v="136"/>
    <x v="128"/>
    <x v="4"/>
    <s v="WILLIAM TSANG"/>
    <n v="2176"/>
    <s v="SEF"/>
    <s v="Supplier"/>
    <m/>
    <x v="472"/>
    <s v="KIN_SUN_Supplier_Evaluation_May_2012.xlsx"/>
    <s v=".xlsx"/>
    <d v="2014-04-16T00:00:00"/>
    <s v="as\afok"/>
    <m/>
    <m/>
    <x v="0"/>
    <x v="0"/>
    <x v="0"/>
    <x v="0"/>
    <m/>
    <m/>
    <m/>
    <m/>
    <n v="70"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2233"/>
    <x v="136"/>
    <x v="136"/>
    <x v="128"/>
    <x v="4"/>
    <s v="WILLIAM TSANG"/>
    <n v="2175"/>
    <s v="SIF"/>
    <s v="Supplier"/>
    <m/>
    <x v="583"/>
    <s v="KIN_SUN_SIF_10Jun2010.xls"/>
    <s v=".xls"/>
    <d v="2014-04-16T00:00:00"/>
    <s v="as\afok"/>
    <m/>
    <s v="2010"/>
    <x v="0"/>
    <x v="0"/>
    <x v="0"/>
    <x v="0"/>
    <m/>
    <m/>
    <m/>
    <m/>
    <m/>
    <n v="2010"/>
    <n v="8000000"/>
    <n v="6500000"/>
    <n v="6500000"/>
    <n v="5400000"/>
    <n v="4800000"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2414"/>
    <x v="137"/>
    <x v="137"/>
    <x v="129"/>
    <x v="5"/>
    <s v="SHOT XU"/>
    <n v="2355"/>
    <s v="Contract: General Contract"/>
    <s v="Supplier"/>
    <m/>
    <x v="584"/>
    <s v="Kingclean FHA6E022_EN 7Apr10.pdf"/>
    <s v=".pdf"/>
    <d v="2014-04-17T00:00:00"/>
    <s v="as\afok"/>
    <m/>
    <s v="FHA6E022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5"/>
  </r>
  <r>
    <n v="2421"/>
    <x v="137"/>
    <x v="137"/>
    <x v="129"/>
    <x v="5"/>
    <s v="SHOT XU"/>
    <n v="2362"/>
    <s v="Contract: General Contract"/>
    <s v="Supplier"/>
    <m/>
    <x v="585"/>
    <s v="KingClean FHA00016 ind.05 20060831.pdf"/>
    <s v=".pdf"/>
    <d v="2014-04-17T00:00:00"/>
    <s v="as\afok"/>
    <m/>
    <s v="FHA 00 016 ind.05"/>
    <x v="7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m/>
    <s v="SP"/>
    <m/>
    <x v="9"/>
    <x v="1"/>
    <m/>
    <x v="5"/>
  </r>
  <r>
    <n v="2415"/>
    <x v="137"/>
    <x v="137"/>
    <x v="129"/>
    <x v="5"/>
    <s v="SHOT XU"/>
    <n v="2356"/>
    <s v="Contract: Quality Appendix"/>
    <s v="Supplier"/>
    <m/>
    <x v="511"/>
    <s v="Kingclean FHA6E022_EN 7Apr10.pdf"/>
    <s v=".pdf"/>
    <d v="2014-04-17T00:00:00"/>
    <s v="as\afok"/>
    <m/>
    <s v="FHA 00 014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x v="9"/>
    <x v="1"/>
    <m/>
    <x v="5"/>
  </r>
  <r>
    <n v="2416"/>
    <x v="137"/>
    <x v="137"/>
    <x v="129"/>
    <x v="5"/>
    <s v="SHOT XU"/>
    <n v="2357"/>
    <s v="Contract: Supply Chain Appendix"/>
    <s v="Supplier"/>
    <m/>
    <x v="511"/>
    <s v="Kingclean FHA6E022_EN 7Apr10.pdf"/>
    <s v=".pdf"/>
    <d v="2014-04-17T00:00:00"/>
    <s v="as\afok"/>
    <m/>
    <s v="FHA6E022"/>
    <x v="0"/>
    <x v="5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x v="9"/>
    <x v="1"/>
    <m/>
    <x v="5"/>
  </r>
  <r>
    <n v="2417"/>
    <x v="137"/>
    <x v="137"/>
    <x v="129"/>
    <x v="5"/>
    <s v="SHOT XU"/>
    <n v="2358"/>
    <s v="ISO 14001"/>
    <s v="Supplier"/>
    <d v="2012-11-04T00:00:00"/>
    <x v="586"/>
    <s v="Kingclean_ISO14001_24May2010.JPG"/>
    <s v=".jpg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5"/>
  </r>
  <r>
    <n v="2413"/>
    <x v="137"/>
    <x v="137"/>
    <x v="129"/>
    <x v="5"/>
    <s v="SHOT XU"/>
    <n v="2354"/>
    <s v="NDA (Non Disclosure Agreement)"/>
    <s v="Supplier"/>
    <m/>
    <x v="78"/>
    <s v="Kingclean_NDA_18Jul2013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5"/>
  </r>
  <r>
    <n v="2418"/>
    <x v="137"/>
    <x v="137"/>
    <x v="129"/>
    <x v="5"/>
    <s v="SHOT XU"/>
    <n v="2359"/>
    <s v="Responsible Purchasing Charter"/>
    <s v="Supplier"/>
    <m/>
    <x v="242"/>
    <s v="KINGCLEAN_Responsible Purchasing Charter_6Aug2012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5"/>
  </r>
  <r>
    <n v="2420"/>
    <x v="137"/>
    <x v="137"/>
    <x v="129"/>
    <x v="5"/>
    <s v="SHOT XU"/>
    <n v="2361"/>
    <s v="SEF"/>
    <s v="Supplier"/>
    <m/>
    <x v="587"/>
    <s v="SEF Kingclean2011 Nov.xlsx"/>
    <s v=".xlsx"/>
    <d v="2014-04-17T00:00:00"/>
    <s v="as\afok"/>
    <m/>
    <s v="2011"/>
    <x v="0"/>
    <x v="0"/>
    <x v="0"/>
    <x v="0"/>
    <m/>
    <m/>
    <m/>
    <m/>
    <n v="81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5"/>
  </r>
  <r>
    <n v="2412"/>
    <x v="137"/>
    <x v="137"/>
    <x v="129"/>
    <x v="5"/>
    <s v="SHOT XU"/>
    <n v="2353"/>
    <s v="SIF"/>
    <s v="Supplier"/>
    <m/>
    <x v="588"/>
    <s v="Kingclean_SIF_08 Oct2013.xls"/>
    <s v=".xls"/>
    <d v="2014-04-17T00:00:00"/>
    <s v="as\afok"/>
    <m/>
    <s v="2013"/>
    <x v="0"/>
    <x v="0"/>
    <x v="0"/>
    <x v="0"/>
    <m/>
    <m/>
    <m/>
    <m/>
    <m/>
    <n v="2013"/>
    <n v="600000000"/>
    <n v="500000000"/>
    <n v="440000000"/>
    <n v="290000000"/>
    <n v="268000000"/>
    <m/>
    <m/>
    <m/>
    <n v="0.15"/>
    <n v="0.2"/>
    <m/>
    <x v="0"/>
    <x v="0"/>
    <x v="0"/>
    <x v="0"/>
    <m/>
    <m/>
    <m/>
    <n v="1"/>
    <m/>
    <m/>
    <s v="FP"/>
    <m/>
    <s v="SP"/>
    <m/>
    <x v="9"/>
    <x v="1"/>
    <m/>
    <x v="5"/>
  </r>
  <r>
    <n v="2419"/>
    <x v="137"/>
    <x v="137"/>
    <x v="129"/>
    <x v="5"/>
    <s v="SHOT XU"/>
    <n v="2360"/>
    <s v="SIF"/>
    <s v="Supplier"/>
    <m/>
    <x v="183"/>
    <s v="Kingclean_SIF_10May2012.xls"/>
    <s v=".xls"/>
    <d v="2014-04-17T00:00:00"/>
    <s v="as\afok"/>
    <m/>
    <s v="2012"/>
    <x v="0"/>
    <x v="0"/>
    <x v="0"/>
    <x v="0"/>
    <m/>
    <m/>
    <m/>
    <m/>
    <m/>
    <n v="2012"/>
    <m/>
    <n v="500000000"/>
    <n v="440000000"/>
    <n v="290000000"/>
    <n v="268000000"/>
    <m/>
    <m/>
    <m/>
    <n v="0.15"/>
    <n v="0.2"/>
    <m/>
    <x v="0"/>
    <x v="0"/>
    <x v="0"/>
    <x v="0"/>
    <m/>
    <m/>
    <m/>
    <n v="1"/>
    <m/>
    <m/>
    <s v="FP"/>
    <m/>
    <s v="SP"/>
    <m/>
    <x v="9"/>
    <x v="1"/>
    <m/>
    <x v="5"/>
  </r>
  <r>
    <n v="2410"/>
    <x v="137"/>
    <x v="137"/>
    <x v="129"/>
    <x v="5"/>
    <s v="SHOT XU"/>
    <n v="2351"/>
    <s v="SIF"/>
    <s v="Supplier"/>
    <m/>
    <x v="589"/>
    <s v="Kingclean_SIF_20140217.xlsx"/>
    <s v=".xlsx"/>
    <d v="2014-04-17T00:00:00"/>
    <s v="as\afok"/>
    <m/>
    <s v="2014"/>
    <x v="0"/>
    <x v="0"/>
    <x v="0"/>
    <x v="0"/>
    <m/>
    <m/>
    <m/>
    <m/>
    <m/>
    <n v="2014"/>
    <n v="700000000"/>
    <n v="600000000"/>
    <n v="500000000"/>
    <n v="440000000"/>
    <n v="290000000"/>
    <m/>
    <m/>
    <m/>
    <m/>
    <m/>
    <m/>
    <x v="0"/>
    <x v="0"/>
    <x v="0"/>
    <x v="0"/>
    <m/>
    <m/>
    <m/>
    <n v="1"/>
    <m/>
    <m/>
    <s v="FP"/>
    <m/>
    <s v="SP"/>
    <m/>
    <x v="9"/>
    <x v="1"/>
    <m/>
    <x v="5"/>
  </r>
  <r>
    <n v="27"/>
    <x v="138"/>
    <x v="138"/>
    <x v="130"/>
    <x v="2"/>
    <s v="DENNIS LAM"/>
    <n v="23"/>
    <s v="Contract: General Contract"/>
    <s v="Supplier"/>
    <d v="2014-12-31T00:00:00"/>
    <x v="242"/>
    <s v="KJI_General Agreement_20120806 (except appendix 7).pdf"/>
    <s v=".pdf"/>
    <d v="2014-03-04T00:00:00"/>
    <s v="as\afok"/>
    <m/>
    <s v="FHA00016 ind.10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s v="MOULD"/>
    <x v="4"/>
    <x v="1"/>
    <m/>
    <x v="39"/>
  </r>
  <r>
    <n v="342"/>
    <x v="138"/>
    <x v="138"/>
    <x v="130"/>
    <x v="2"/>
    <s v="DENNIS LAM"/>
    <n v="329"/>
    <s v="Contract: Supply Chain Appendix"/>
    <s v="Supplier"/>
    <m/>
    <x v="378"/>
    <s v="KJI_General Agreement_2012-08-07 (except appendix 7).pdf"/>
    <s v=".pdf"/>
    <d v="2014-03-14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m/>
    <s v="FP"/>
    <m/>
    <s v="SP"/>
    <s v="MOULD"/>
    <x v="4"/>
    <x v="1"/>
    <m/>
    <x v="39"/>
  </r>
  <r>
    <n v="588"/>
    <x v="138"/>
    <x v="138"/>
    <x v="130"/>
    <x v="2"/>
    <s v="DENNIS LAM"/>
    <n v="571"/>
    <s v="Declaration letter of group organization"/>
    <s v="Supplier"/>
    <m/>
    <x v="55"/>
    <s v="KJI_General Agreement_2012-08-07 (except appendix 7)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s v="MOULD"/>
    <x v="4"/>
    <x v="1"/>
    <m/>
    <x v="39"/>
  </r>
  <r>
    <n v="343"/>
    <x v="138"/>
    <x v="138"/>
    <x v="130"/>
    <x v="2"/>
    <s v="DENNIS LAM"/>
    <n v="330"/>
    <s v="Environmental Declaration"/>
    <s v="Supplier"/>
    <m/>
    <x v="378"/>
    <s v="KJI_General Agreement_2012-08-07 (except appendix 7).pdf"/>
    <s v=".pdf"/>
    <d v="2014-03-14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x v="4"/>
    <x v="1"/>
    <m/>
    <x v="39"/>
  </r>
  <r>
    <n v="346"/>
    <x v="138"/>
    <x v="138"/>
    <x v="130"/>
    <x v="2"/>
    <s v="DENNIS LAM"/>
    <n v="333"/>
    <s v="Exclusivity (EA)"/>
    <s v="Product / Project"/>
    <m/>
    <x v="19"/>
    <s v="KJI_EA _Momenta blender - 2012-08-07.pdf"/>
    <s v=".pdf"/>
    <d v="2014-03-14T00:00:00"/>
    <s v="as\afok"/>
    <m/>
    <m/>
    <x v="0"/>
    <x v="0"/>
    <x v="0"/>
    <x v="0"/>
    <s v="Momenta blender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x v="4"/>
    <x v="1"/>
    <m/>
    <x v="39"/>
  </r>
  <r>
    <n v="344"/>
    <x v="138"/>
    <x v="138"/>
    <x v="130"/>
    <x v="2"/>
    <s v="DENNIS LAM"/>
    <n v="331"/>
    <s v="Exclusivity (EA)"/>
    <s v="Product / Project"/>
    <m/>
    <x v="346"/>
    <s v="MOMENTA_KJI_EA 2012-03-19.pdf"/>
    <s v=".pdf"/>
    <d v="2014-03-14T00:00:00"/>
    <s v="as\afok"/>
    <s v="_x000d__x000a_"/>
    <m/>
    <x v="0"/>
    <x v="0"/>
    <x v="0"/>
    <x v="0"/>
    <s v="MOMENTA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x v="4"/>
    <x v="1"/>
    <m/>
    <x v="39"/>
  </r>
  <r>
    <n v="345"/>
    <x v="138"/>
    <x v="138"/>
    <x v="130"/>
    <x v="2"/>
    <s v="DENNIS LAM"/>
    <n v="332"/>
    <s v="Exclusivity (EA)"/>
    <s v="Supplier"/>
    <m/>
    <x v="590"/>
    <s v="Exclusivity Summary KJI 2013-05-10.xls"/>
    <s v=".xls"/>
    <d v="2014-03-14T00:00:00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x v="4"/>
    <x v="1"/>
    <m/>
    <x v="39"/>
  </r>
  <r>
    <n v="349"/>
    <x v="138"/>
    <x v="138"/>
    <x v="130"/>
    <x v="2"/>
    <s v="DENNIS LAM"/>
    <n v="336"/>
    <s v="IP (Intellectual Property)"/>
    <s v="Product / Project"/>
    <m/>
    <x v="346"/>
    <s v="MOMENTA_KJI_IP 2012-03-19.pdf"/>
    <s v=".pdf"/>
    <d v="2014-03-14T00:00:00"/>
    <s v="as\afok"/>
    <s v="_x000d__x000a_"/>
    <m/>
    <x v="0"/>
    <x v="0"/>
    <x v="0"/>
    <x v="0"/>
    <s v="MOMENTA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x v="4"/>
    <x v="1"/>
    <m/>
    <x v="39"/>
  </r>
  <r>
    <n v="347"/>
    <x v="138"/>
    <x v="138"/>
    <x v="130"/>
    <x v="2"/>
    <s v="DENNIS LAM"/>
    <n v="334"/>
    <s v="ISO 14001"/>
    <s v="Supplier"/>
    <d v="2012-12-11T00:00:00"/>
    <x v="591"/>
    <s v="KJI_ISO14001_Expired 11Dec12.pdf"/>
    <s v=".pdf"/>
    <d v="2014-03-1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x v="4"/>
    <x v="1"/>
    <m/>
    <x v="39"/>
  </r>
  <r>
    <n v="348"/>
    <x v="138"/>
    <x v="138"/>
    <x v="130"/>
    <x v="2"/>
    <s v="DENNIS LAM"/>
    <n v="335"/>
    <s v="ISO 9001"/>
    <s v="Supplier"/>
    <d v="2012-12-11T00:00:00"/>
    <x v="591"/>
    <s v="KJI_ISO9001_Expired 11Dec12.pdf"/>
    <s v=".pdf"/>
    <d v="2014-03-1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x v="4"/>
    <x v="1"/>
    <m/>
    <x v="39"/>
  </r>
  <r>
    <n v="350"/>
    <x v="138"/>
    <x v="138"/>
    <x v="130"/>
    <x v="2"/>
    <s v="DENNIS LAM"/>
    <n v="337"/>
    <s v="Other business certifications (ex : FSC for Packaging)"/>
    <s v="Supplier"/>
    <m/>
    <x v="195"/>
    <s v="MOMENTA_KJI_NON COUNTERFEITING 2012-03-09.pdf"/>
    <s v=".pdf"/>
    <d v="2014-03-14T00:00:00"/>
    <s v="as\afok"/>
    <s v="NON COUNTERFEITING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x v="4"/>
    <x v="1"/>
    <m/>
    <x v="39"/>
  </r>
  <r>
    <n v="351"/>
    <x v="138"/>
    <x v="138"/>
    <x v="130"/>
    <x v="2"/>
    <s v="DENNIS LAM"/>
    <n v="338"/>
    <s v="Responsible Purchasing Charter"/>
    <s v="Supplier"/>
    <m/>
    <x v="420"/>
    <s v="KJI - Responsible Purchasing Charter (ENG).pdf"/>
    <s v=".pdf"/>
    <d v="2014-03-1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x v="4"/>
    <x v="1"/>
    <m/>
    <x v="39"/>
  </r>
  <r>
    <n v="352"/>
    <x v="138"/>
    <x v="138"/>
    <x v="130"/>
    <x v="2"/>
    <s v="DENNIS LAM"/>
    <n v="339"/>
    <s v="SEF"/>
    <s v="Supplier"/>
    <m/>
    <x v="592"/>
    <s v="SEF-KJI  2013 Jun.xlsx"/>
    <s v=".xlsx"/>
    <d v="2014-03-14T00:00:00"/>
    <s v="as\afok"/>
    <m/>
    <s v="2013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x v="4"/>
    <x v="1"/>
    <m/>
    <x v="39"/>
  </r>
  <r>
    <n v="353"/>
    <x v="138"/>
    <x v="138"/>
    <x v="130"/>
    <x v="2"/>
    <s v="DENNIS LAM"/>
    <n v="340"/>
    <s v="SIF"/>
    <s v="Supplier"/>
    <m/>
    <x v="83"/>
    <s v="KJI_SIF 2012_1Mar12.pdf"/>
    <s v=".pdf"/>
    <d v="2014-03-14T00:00:00"/>
    <s v="as\afok"/>
    <m/>
    <s v="2012"/>
    <x v="0"/>
    <x v="0"/>
    <x v="0"/>
    <x v="0"/>
    <m/>
    <m/>
    <m/>
    <m/>
    <m/>
    <n v="2012"/>
    <m/>
    <n v="58000000"/>
    <n v="48000000"/>
    <n v="43000000"/>
    <n v="35000000"/>
    <m/>
    <m/>
    <n v="5.99"/>
    <n v="5.69"/>
    <n v="2.14"/>
    <m/>
    <x v="0"/>
    <x v="0"/>
    <x v="0"/>
    <x v="0"/>
    <m/>
    <m/>
    <m/>
    <n v="0"/>
    <m/>
    <m/>
    <s v="FP"/>
    <m/>
    <s v="SP"/>
    <s v="MOULD"/>
    <x v="4"/>
    <x v="1"/>
    <m/>
    <x v="39"/>
  </r>
  <r>
    <n v="354"/>
    <x v="138"/>
    <x v="138"/>
    <x v="130"/>
    <x v="2"/>
    <s v="DENNIS LAM"/>
    <n v="341"/>
    <s v="SIF"/>
    <s v="Supplier"/>
    <m/>
    <x v="308"/>
    <s v="KJI - FHA6E502_EN - SIF 2013.XLSX"/>
    <s v=".xlsx"/>
    <d v="2014-03-14T00:00:00"/>
    <s v="as\afok"/>
    <m/>
    <s v="2013"/>
    <x v="0"/>
    <x v="0"/>
    <x v="0"/>
    <x v="0"/>
    <m/>
    <m/>
    <m/>
    <m/>
    <m/>
    <n v="2013"/>
    <n v="58000000"/>
    <n v="45000000"/>
    <n v="48000000"/>
    <n v="43000000"/>
    <n v="35000000"/>
    <m/>
    <m/>
    <n v="5.99"/>
    <n v="5.69"/>
    <n v="2.14"/>
    <m/>
    <x v="0"/>
    <x v="0"/>
    <x v="0"/>
    <x v="0"/>
    <m/>
    <m/>
    <m/>
    <n v="0"/>
    <m/>
    <m/>
    <s v="FP"/>
    <m/>
    <s v="SP"/>
    <s v="MOULD"/>
    <x v="4"/>
    <x v="1"/>
    <m/>
    <x v="39"/>
  </r>
  <r>
    <n v="2641"/>
    <x v="139"/>
    <x v="139"/>
    <x v="131"/>
    <x v="0"/>
    <s v="KITTY LAI"/>
    <n v="2484"/>
    <s v="Environmental Declaration"/>
    <s v="Supplier"/>
    <m/>
    <x v="14"/>
    <s v="Konstar_Environment Declaration_2011.pdf"/>
    <s v=".pdf"/>
    <d v="2014-04-24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m/>
    <m/>
    <x v="0"/>
    <x v="1"/>
    <m/>
    <x v="0"/>
  </r>
  <r>
    <n v="2640"/>
    <x v="139"/>
    <x v="139"/>
    <x v="131"/>
    <x v="0"/>
    <s v="KITTY LAI"/>
    <n v="2483"/>
    <s v="SEF"/>
    <s v="Supplier"/>
    <m/>
    <x v="248"/>
    <s v="SEF - Konstar 2013.xlsx"/>
    <s v=".xlsx"/>
    <d v="2014-04-24T00:00:00"/>
    <s v="as\afok"/>
    <m/>
    <s v="2013"/>
    <x v="0"/>
    <x v="0"/>
    <x v="0"/>
    <x v="0"/>
    <m/>
    <m/>
    <m/>
    <m/>
    <n v="84"/>
    <m/>
    <m/>
    <m/>
    <m/>
    <m/>
    <m/>
    <m/>
    <m/>
    <m/>
    <m/>
    <m/>
    <s v="FP panel"/>
    <x v="1"/>
    <x v="4"/>
    <x v="0"/>
    <x v="0"/>
    <m/>
    <m/>
    <m/>
    <n v="0"/>
    <m/>
    <m/>
    <s v="FP"/>
    <m/>
    <m/>
    <m/>
    <x v="0"/>
    <x v="1"/>
    <m/>
    <x v="0"/>
  </r>
  <r>
    <n v="2642"/>
    <x v="139"/>
    <x v="139"/>
    <x v="131"/>
    <x v="0"/>
    <s v="KITTY LAI"/>
    <n v="2485"/>
    <s v="SIF"/>
    <s v="Supplier"/>
    <m/>
    <x v="578"/>
    <s v="Konstar_SIF2013 (2013-03-05).xls"/>
    <s v=".xls"/>
    <d v="2014-04-24T00:00:00"/>
    <s v="as\afok"/>
    <m/>
    <s v="2013"/>
    <x v="0"/>
    <x v="0"/>
    <x v="0"/>
    <x v="0"/>
    <m/>
    <m/>
    <m/>
    <m/>
    <m/>
    <n v="2013"/>
    <n v="23000000"/>
    <n v="22000000"/>
    <n v="22000000"/>
    <n v="20000000"/>
    <m/>
    <m/>
    <n v="0.5"/>
    <m/>
    <m/>
    <m/>
    <s v="FP panel"/>
    <x v="1"/>
    <x v="4"/>
    <x v="0"/>
    <x v="0"/>
    <m/>
    <m/>
    <m/>
    <n v="0"/>
    <m/>
    <m/>
    <s v="FP"/>
    <m/>
    <m/>
    <m/>
    <x v="0"/>
    <x v="1"/>
    <m/>
    <x v="0"/>
  </r>
  <r>
    <n v="2643"/>
    <x v="139"/>
    <x v="139"/>
    <x v="131"/>
    <x v="0"/>
    <s v="KITTY LAI"/>
    <n v="2486"/>
    <s v="SIF"/>
    <s v="Supplier"/>
    <m/>
    <x v="523"/>
    <s v="Prodoo_SIF_2013.xls"/>
    <s v=".xls"/>
    <d v="2014-04-24T00:00:00"/>
    <s v="as\afok"/>
    <m/>
    <s v="2013"/>
    <x v="0"/>
    <x v="0"/>
    <x v="0"/>
    <x v="0"/>
    <m/>
    <m/>
    <m/>
    <m/>
    <m/>
    <n v="2013"/>
    <n v="5900000"/>
    <n v="5450000"/>
    <n v="6850000"/>
    <m/>
    <m/>
    <m/>
    <n v="23"/>
    <n v="22"/>
    <m/>
    <m/>
    <s v="FP panel"/>
    <x v="1"/>
    <x v="4"/>
    <x v="0"/>
    <x v="0"/>
    <m/>
    <m/>
    <m/>
    <n v="0"/>
    <m/>
    <n v="1"/>
    <s v="FP"/>
    <m/>
    <m/>
    <m/>
    <x v="0"/>
    <x v="1"/>
    <m/>
    <x v="0"/>
  </r>
  <r>
    <n v="2242"/>
    <x v="140"/>
    <x v="140"/>
    <x v="132"/>
    <x v="4"/>
    <s v="WILLIAM TSANG"/>
    <n v="2184"/>
    <s v="Contract: Supply Chain Appendix"/>
    <s v="Supplier"/>
    <m/>
    <x v="593"/>
    <s v="Supply_Chain_Appendix_V.10_KCT_22AUG2013.pdf"/>
    <s v=".pdf"/>
    <d v="2014-04-16T00:00:00"/>
    <s v="as\afok"/>
    <m/>
    <s v="V10"/>
    <x v="0"/>
    <x v="8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n v="1"/>
    <m/>
    <s v="CP"/>
    <m/>
    <m/>
    <x v="2"/>
    <x v="1"/>
    <m/>
    <x v="0"/>
  </r>
  <r>
    <n v="2238"/>
    <x v="140"/>
    <x v="140"/>
    <x v="132"/>
    <x v="4"/>
    <s v="WILLIAM TSANG"/>
    <n v="2180"/>
    <s v="Environmental Declaration"/>
    <s v="Supplier"/>
    <m/>
    <x v="594"/>
    <s v="KCT_Env_Declaration_20100426.pdf"/>
    <s v=".pdf"/>
    <d v="2014-04-16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0"/>
  </r>
  <r>
    <n v="2239"/>
    <x v="140"/>
    <x v="140"/>
    <x v="132"/>
    <x v="4"/>
    <s v="WILLIAM TSANG"/>
    <n v="2181"/>
    <s v="Responsible Purchasing Charter"/>
    <s v="Supplier"/>
    <m/>
    <x v="8"/>
    <s v="Korea_Clad_Responsible_Purchasing_Charter_08Aug12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0"/>
  </r>
  <r>
    <n v="2240"/>
    <x v="140"/>
    <x v="140"/>
    <x v="132"/>
    <x v="4"/>
    <s v="WILLIAM TSANG"/>
    <n v="2182"/>
    <s v="SEF"/>
    <s v="Supplier"/>
    <m/>
    <x v="559"/>
    <s v="KCT Supplier Evaluation Form Apr 2013.xlsx"/>
    <s v=".xlsx"/>
    <d v="2014-04-16T00:00:00"/>
    <s v="as\afok"/>
    <m/>
    <s v="2013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0"/>
  </r>
  <r>
    <n v="2237"/>
    <x v="140"/>
    <x v="140"/>
    <x v="132"/>
    <x v="4"/>
    <s v="WILLIAM TSANG"/>
    <n v="2179"/>
    <s v="SEF"/>
    <s v="Supplier"/>
    <m/>
    <x v="595"/>
    <s v="KCT_SEF_Oct2012.xlsx"/>
    <s v=".xlsx"/>
    <d v="2014-04-16T00:00:00"/>
    <s v="as\afok"/>
    <m/>
    <s v="2012"/>
    <x v="0"/>
    <x v="0"/>
    <x v="0"/>
    <x v="0"/>
    <m/>
    <m/>
    <m/>
    <m/>
    <n v="81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0"/>
  </r>
  <r>
    <n v="2236"/>
    <x v="140"/>
    <x v="140"/>
    <x v="132"/>
    <x v="4"/>
    <s v="WILLIAM TSANG"/>
    <n v="2178"/>
    <s v="SEF"/>
    <s v="Supplier"/>
    <m/>
    <x v="322"/>
    <s v="KCT_SEF_May2012.xlsx"/>
    <s v=".xlsx"/>
    <d v="2014-04-16T00:00:00"/>
    <s v="as\afok"/>
    <m/>
    <s v="2012"/>
    <x v="0"/>
    <x v="0"/>
    <x v="0"/>
    <x v="0"/>
    <m/>
    <m/>
    <m/>
    <m/>
    <n v="55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0"/>
  </r>
  <r>
    <n v="2241"/>
    <x v="140"/>
    <x v="140"/>
    <x v="132"/>
    <x v="4"/>
    <s v="WILLIAM TSANG"/>
    <n v="2183"/>
    <s v="SIF"/>
    <s v="Supplier"/>
    <m/>
    <x v="596"/>
    <s v="KCT-SIF2013.xlsx"/>
    <s v=".xlsx"/>
    <d v="2014-04-16T00:00:00"/>
    <s v="as\afok"/>
    <m/>
    <s v="2013"/>
    <x v="0"/>
    <x v="0"/>
    <x v="0"/>
    <x v="0"/>
    <m/>
    <m/>
    <m/>
    <m/>
    <m/>
    <n v="2013"/>
    <n v="42000000"/>
    <n v="33300000"/>
    <n v="31860000"/>
    <n v="35894000"/>
    <n v="31610000"/>
    <n v="0.32"/>
    <n v="1.74"/>
    <n v="0.92"/>
    <n v="1.65"/>
    <n v="0.86"/>
    <m/>
    <x v="0"/>
    <x v="0"/>
    <x v="0"/>
    <x v="0"/>
    <m/>
    <m/>
    <m/>
    <n v="0"/>
    <m/>
    <m/>
    <m/>
    <s v="CP"/>
    <m/>
    <m/>
    <x v="2"/>
    <x v="1"/>
    <m/>
    <x v="0"/>
  </r>
  <r>
    <n v="2235"/>
    <x v="140"/>
    <x v="140"/>
    <x v="132"/>
    <x v="4"/>
    <s v="WILLIAM TSANG"/>
    <n v="2177"/>
    <s v="SIF"/>
    <s v="Supplier"/>
    <m/>
    <x v="319"/>
    <s v="KCT_SIF2012_19Apr12.xlsx"/>
    <s v=".xlsx"/>
    <d v="2014-04-16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0"/>
  </r>
  <r>
    <n v="2431"/>
    <x v="141"/>
    <x v="141"/>
    <x v="133"/>
    <x v="5"/>
    <s v="SHOT XU"/>
    <n v="2372"/>
    <s v="Contract: General Contract"/>
    <s v="Supplier"/>
    <m/>
    <x v="597"/>
    <s v="Krell_General Agreement_20131025(contract body).pdf"/>
    <s v=".pdf"/>
    <d v="2014-04-17T00:00:00"/>
    <s v="as\afok"/>
    <m/>
    <s v="FHA 00 016 ind.12"/>
    <x v="7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m/>
    <m/>
    <s v="FP"/>
    <s v="CP"/>
    <s v="SP"/>
    <m/>
    <x v="14"/>
    <x v="1"/>
    <m/>
    <x v="10"/>
  </r>
  <r>
    <n v="2432"/>
    <x v="141"/>
    <x v="141"/>
    <x v="133"/>
    <x v="5"/>
    <s v="SHOT XU"/>
    <n v="2373"/>
    <s v="Contract: Quality Appendix"/>
    <s v="Supplier"/>
    <m/>
    <x v="597"/>
    <s v="Krell_Quality Appendix_20131025.pdf"/>
    <s v=".pdf"/>
    <d v="2014-04-17T00:00:00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1"/>
    <x v="0"/>
    <x v="0"/>
    <m/>
    <n v="1"/>
    <m/>
    <n v="1"/>
    <m/>
    <m/>
    <s v="FP"/>
    <s v="CP"/>
    <s v="SP"/>
    <m/>
    <x v="14"/>
    <x v="1"/>
    <m/>
    <x v="10"/>
  </r>
  <r>
    <n v="2425"/>
    <x v="141"/>
    <x v="141"/>
    <x v="133"/>
    <x v="5"/>
    <s v="SHOT XU"/>
    <n v="2366"/>
    <s v="Contract: Supply Chain Appendix"/>
    <s v="Supplier"/>
    <m/>
    <x v="137"/>
    <s v="Krell_Supply Chain Agreement_1Apr12.pdf"/>
    <s v=".pdf"/>
    <d v="2014-04-17T00:00:00"/>
    <s v="as\afok"/>
    <m/>
    <m/>
    <x v="0"/>
    <x v="12"/>
    <x v="2"/>
    <x v="0"/>
    <m/>
    <m/>
    <m/>
    <m/>
    <m/>
    <m/>
    <m/>
    <m/>
    <m/>
    <m/>
    <m/>
    <m/>
    <m/>
    <m/>
    <m/>
    <m/>
    <s v="FP panel"/>
    <x v="1"/>
    <x v="1"/>
    <x v="0"/>
    <x v="0"/>
    <m/>
    <m/>
    <n v="1"/>
    <n v="1"/>
    <m/>
    <m/>
    <s v="FP"/>
    <s v="CP"/>
    <s v="SP"/>
    <m/>
    <x v="14"/>
    <x v="1"/>
    <m/>
    <x v="10"/>
  </r>
  <r>
    <n v="2433"/>
    <x v="141"/>
    <x v="141"/>
    <x v="133"/>
    <x v="5"/>
    <s v="SHOT XU"/>
    <n v="2374"/>
    <s v="Environmental Declaration"/>
    <s v="Supplier"/>
    <m/>
    <x v="370"/>
    <s v="Krell_Environmental Declaration_20131025.pdf"/>
    <s v=".pdf"/>
    <d v="2014-04-17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n v="1"/>
    <m/>
    <s v="FP"/>
    <s v="CP"/>
    <s v="SP"/>
    <m/>
    <x v="14"/>
    <x v="1"/>
    <m/>
    <x v="10"/>
  </r>
  <r>
    <n v="2427"/>
    <x v="141"/>
    <x v="141"/>
    <x v="133"/>
    <x v="5"/>
    <s v="SHOT XU"/>
    <n v="2368"/>
    <s v="ISO 14001"/>
    <s v="Supplier"/>
    <d v="2011-12-25T00:00:00"/>
    <x v="598"/>
    <s v="Krell_ISO14001_201105.jpg"/>
    <s v=".jpg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m/>
    <x v="14"/>
    <x v="1"/>
    <m/>
    <x v="10"/>
  </r>
  <r>
    <n v="2426"/>
    <x v="141"/>
    <x v="141"/>
    <x v="133"/>
    <x v="5"/>
    <s v="SHOT XU"/>
    <n v="2367"/>
    <s v="LOC (Letter of Confidentiality)"/>
    <s v="Supplier"/>
    <m/>
    <x v="101"/>
    <s v="KRELL_LOC_24May2010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m/>
    <x v="14"/>
    <x v="1"/>
    <m/>
    <x v="10"/>
  </r>
  <r>
    <n v="2424"/>
    <x v="141"/>
    <x v="141"/>
    <x v="133"/>
    <x v="5"/>
    <s v="SHOT XU"/>
    <n v="2365"/>
    <s v="Responsible Purchasing Charter"/>
    <s v="Supplier"/>
    <m/>
    <x v="103"/>
    <s v="KRELL_RESPONSIBLE PURCHASING CHARTER_16Aug2012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m/>
    <x v="14"/>
    <x v="1"/>
    <m/>
    <x v="10"/>
  </r>
  <r>
    <n v="2423"/>
    <x v="141"/>
    <x v="141"/>
    <x v="133"/>
    <x v="5"/>
    <s v="SHOT XU"/>
    <n v="2364"/>
    <s v="SEF"/>
    <s v="Supplier"/>
    <m/>
    <x v="123"/>
    <s v="KRELL_SEF_ 2012May.xlsx"/>
    <s v=".xlsx"/>
    <d v="2014-04-17T00:00:00"/>
    <s v="as\afok"/>
    <m/>
    <s v="2012"/>
    <x v="0"/>
    <x v="0"/>
    <x v="0"/>
    <x v="0"/>
    <m/>
    <m/>
    <m/>
    <m/>
    <n v="79"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m/>
    <x v="14"/>
    <x v="1"/>
    <m/>
    <x v="10"/>
  </r>
  <r>
    <n v="2429"/>
    <x v="141"/>
    <x v="141"/>
    <x v="133"/>
    <x v="5"/>
    <s v="SHOT XU"/>
    <n v="2370"/>
    <s v="SIF"/>
    <s v="Supplier"/>
    <m/>
    <x v="599"/>
    <s v="Krell_SIF_20130905.xls"/>
    <s v=".xls"/>
    <d v="2014-04-17T00:00:00"/>
    <s v="as\afok"/>
    <m/>
    <s v="2013"/>
    <x v="0"/>
    <x v="0"/>
    <x v="0"/>
    <x v="0"/>
    <m/>
    <m/>
    <m/>
    <m/>
    <m/>
    <n v="2013"/>
    <n v="49000000"/>
    <n v="47000000"/>
    <n v="42000000"/>
    <n v="38000000"/>
    <n v="32000000"/>
    <n v="10"/>
    <n v="11"/>
    <n v="7"/>
    <n v="0"/>
    <n v="0.1"/>
    <s v="FP panel"/>
    <x v="1"/>
    <x v="1"/>
    <x v="0"/>
    <x v="0"/>
    <m/>
    <m/>
    <m/>
    <n v="1"/>
    <m/>
    <m/>
    <s v="FP"/>
    <s v="CP"/>
    <s v="SP"/>
    <m/>
    <x v="14"/>
    <x v="1"/>
    <m/>
    <x v="10"/>
  </r>
  <r>
    <n v="2430"/>
    <x v="141"/>
    <x v="141"/>
    <x v="133"/>
    <x v="5"/>
    <s v="SHOT XU"/>
    <n v="2371"/>
    <s v="SIF"/>
    <s v="Supplier"/>
    <m/>
    <x v="46"/>
    <s v="Krell_SIF_Jan2014.xlsx"/>
    <s v=".xlsx"/>
    <d v="2014-04-17T00:00:00"/>
    <s v="as\afok"/>
    <m/>
    <s v="2014"/>
    <x v="0"/>
    <x v="0"/>
    <x v="0"/>
    <x v="0"/>
    <m/>
    <m/>
    <m/>
    <m/>
    <m/>
    <n v="2014"/>
    <n v="47000000"/>
    <n v="45000000"/>
    <n v="47000000"/>
    <n v="42000000"/>
    <n v="38000000"/>
    <n v="10"/>
    <n v="11"/>
    <n v="11"/>
    <n v="7"/>
    <n v="0"/>
    <s v="FP panel"/>
    <x v="1"/>
    <x v="1"/>
    <x v="0"/>
    <x v="0"/>
    <m/>
    <m/>
    <m/>
    <n v="1"/>
    <m/>
    <m/>
    <s v="FP"/>
    <s v="CP"/>
    <s v="SP"/>
    <m/>
    <x v="14"/>
    <x v="1"/>
    <m/>
    <x v="10"/>
  </r>
  <r>
    <n v="2422"/>
    <x v="141"/>
    <x v="141"/>
    <x v="133"/>
    <x v="5"/>
    <s v="SHOT XU"/>
    <n v="2363"/>
    <s v="SIF"/>
    <s v="Supplier"/>
    <m/>
    <x v="600"/>
    <s v="Krell_SIF_14May2012.xls"/>
    <s v=".xls"/>
    <d v="2014-04-17T00:00:00"/>
    <s v="as\afok"/>
    <m/>
    <s v="2012"/>
    <x v="0"/>
    <x v="0"/>
    <x v="0"/>
    <x v="0"/>
    <m/>
    <m/>
    <m/>
    <m/>
    <m/>
    <n v="2012"/>
    <n v="50000000"/>
    <n v="48000000"/>
    <n v="42000000"/>
    <n v="38000000"/>
    <n v="32000000"/>
    <n v="10"/>
    <n v="8"/>
    <n v="7"/>
    <n v="0"/>
    <n v="0.1"/>
    <s v="FP panel"/>
    <x v="1"/>
    <x v="1"/>
    <x v="0"/>
    <x v="0"/>
    <m/>
    <m/>
    <m/>
    <n v="1"/>
    <m/>
    <m/>
    <s v="FP"/>
    <s v="CP"/>
    <s v="SP"/>
    <m/>
    <x v="14"/>
    <x v="1"/>
    <m/>
    <x v="10"/>
  </r>
  <r>
    <n v="2428"/>
    <x v="141"/>
    <x v="141"/>
    <x v="133"/>
    <x v="5"/>
    <s v="SHOT XU"/>
    <n v="2369"/>
    <s v="SPR"/>
    <s v="Supplier"/>
    <m/>
    <x v="523"/>
    <s v="SPR 2013-MAR KRELL.pptx"/>
    <s v=".pptx"/>
    <d v="2014-04-17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m/>
    <x v="14"/>
    <x v="1"/>
    <m/>
    <x v="10"/>
  </r>
  <r>
    <n v="1482"/>
    <x v="142"/>
    <x v="142"/>
    <x v="134"/>
    <x v="5"/>
    <s v="JASMINE YANG"/>
    <n v="1445"/>
    <s v="Contract: General Contract"/>
    <s v="Supplier"/>
    <m/>
    <x v="35"/>
    <s v="Xinbao_Supply Agreement_15Aug12.pdf"/>
    <s v=".pdf"/>
    <d v="2014-04-02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m/>
    <m/>
    <m/>
    <s v="CP"/>
    <m/>
    <s v="MOULD"/>
    <x v="15"/>
    <x v="1"/>
    <m/>
    <x v="40"/>
  </r>
  <r>
    <n v="1488"/>
    <x v="142"/>
    <x v="142"/>
    <x v="134"/>
    <x v="5"/>
    <s v="JASMINE YANG"/>
    <n v="1451"/>
    <s v="Contract: General Contract"/>
    <s v="Supplier"/>
    <m/>
    <x v="453"/>
    <s v="Xinbao_Purchase_Agreement_2009.pdf"/>
    <s v=".pdf"/>
    <d v="2014-04-02T00:00:00"/>
    <s v="as\afok"/>
    <m/>
    <s v="V5"/>
    <x v="7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n v="1"/>
    <m/>
    <m/>
    <s v="CP"/>
    <m/>
    <s v="MOULD"/>
    <x v="15"/>
    <x v="1"/>
    <m/>
    <x v="40"/>
  </r>
  <r>
    <n v="1481"/>
    <x v="142"/>
    <x v="142"/>
    <x v="134"/>
    <x v="5"/>
    <s v="JASMINE YANG"/>
    <n v="1444"/>
    <s v="Contract: Quality Appendix"/>
    <s v="Supplier"/>
    <m/>
    <x v="109"/>
    <s v="XINBAO_Quality Appendix_4Sep12.pdf"/>
    <s v=".pdf"/>
    <d v="2014-04-02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s v="CP"/>
    <m/>
    <s v="MOULD"/>
    <x v="15"/>
    <x v="1"/>
    <m/>
    <x v="40"/>
  </r>
  <r>
    <n v="1480"/>
    <x v="142"/>
    <x v="142"/>
    <x v="134"/>
    <x v="5"/>
    <s v="JASMINE YANG"/>
    <n v="1443"/>
    <s v="Contract: Supply Chain Appendix"/>
    <s v="Supplier"/>
    <m/>
    <x v="109"/>
    <s v="XINBAO_Supply Chain Appendix_22Nov12.pdf"/>
    <s v=".pdf"/>
    <d v="2014-04-02T00:00:00"/>
    <s v="as\afok"/>
    <m/>
    <m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s v="MOULD"/>
    <x v="15"/>
    <x v="1"/>
    <m/>
    <x v="40"/>
  </r>
  <r>
    <n v="1478"/>
    <x v="142"/>
    <x v="142"/>
    <x v="134"/>
    <x v="5"/>
    <s v="JASMINE YANG"/>
    <n v="1441"/>
    <s v="Contract: Supply Chain Appendix"/>
    <s v="Supplier"/>
    <m/>
    <x v="601"/>
    <s v="Xinbao_Supply Chain Appendix V8_12Aug2013 (50d LT 5 percent panelty).pdf"/>
    <s v=".pdf"/>
    <d v="2014-04-02T00:00:00"/>
    <s v="as\afok"/>
    <m/>
    <m/>
    <x v="0"/>
    <x v="6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s v="MOULD"/>
    <x v="15"/>
    <x v="1"/>
    <m/>
    <x v="40"/>
  </r>
  <r>
    <n v="1483"/>
    <x v="142"/>
    <x v="142"/>
    <x v="134"/>
    <x v="5"/>
    <s v="JASMINE YANG"/>
    <n v="1446"/>
    <s v="Declaration letter of group organization"/>
    <s v="Supplier"/>
    <m/>
    <x v="602"/>
    <s v="Xinbao_Supply Agreement_15Aug12.pdf"/>
    <s v=".pdf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s v="MOULD"/>
    <x v="15"/>
    <x v="1"/>
    <m/>
    <x v="40"/>
  </r>
  <r>
    <n v="1484"/>
    <x v="142"/>
    <x v="142"/>
    <x v="134"/>
    <x v="5"/>
    <s v="JASMINE YANG"/>
    <n v="1447"/>
    <s v="Environmental Declaration"/>
    <s v="Supplier"/>
    <m/>
    <x v="603"/>
    <s v="Xinbao_EnvN_Declaration_16Apr2010.xlsx"/>
    <s v=".xlsx"/>
    <d v="2014-04-02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s v="MOULD"/>
    <x v="15"/>
    <x v="1"/>
    <m/>
    <x v="40"/>
  </r>
  <r>
    <n v="1486"/>
    <x v="142"/>
    <x v="142"/>
    <x v="134"/>
    <x v="5"/>
    <s v="JASMINE YANG"/>
    <n v="1449"/>
    <s v="Responsible Purchasing Charter"/>
    <s v="Supplier"/>
    <m/>
    <x v="35"/>
    <s v="XINBAO_Responsible Purchaser Charter_15Aug2012.pdf"/>
    <s v=".pdf"/>
    <d v="2014-04-02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s v="MOULD"/>
    <x v="15"/>
    <x v="1"/>
    <m/>
    <x v="40"/>
  </r>
  <r>
    <n v="1485"/>
    <x v="142"/>
    <x v="142"/>
    <x v="134"/>
    <x v="5"/>
    <s v="JASMINE YANG"/>
    <n v="1448"/>
    <s v="SEF"/>
    <s v="Supplier"/>
    <m/>
    <x v="471"/>
    <s v="Xinbao_SEF_Jun2012.xlsx"/>
    <s v=".xlsx"/>
    <d v="2014-04-02T00:00:00"/>
    <s v="as\afok"/>
    <m/>
    <s v="2012"/>
    <x v="0"/>
    <x v="0"/>
    <x v="0"/>
    <x v="0"/>
    <m/>
    <m/>
    <m/>
    <m/>
    <n v="87"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s v="MOULD"/>
    <x v="15"/>
    <x v="1"/>
    <m/>
    <x v="40"/>
  </r>
  <r>
    <n v="1479"/>
    <x v="142"/>
    <x v="142"/>
    <x v="134"/>
    <x v="5"/>
    <s v="JASMINE YANG"/>
    <n v="1442"/>
    <s v="SIF"/>
    <s v="Supplier"/>
    <m/>
    <x v="396"/>
    <s v="XINBAO_SIF_20130516.xls"/>
    <s v=".xls"/>
    <d v="2014-04-02T00:00:00"/>
    <s v="as\afok"/>
    <m/>
    <s v="2013"/>
    <x v="0"/>
    <x v="0"/>
    <x v="0"/>
    <x v="0"/>
    <m/>
    <m/>
    <m/>
    <m/>
    <m/>
    <n v="2013"/>
    <n v="16500000"/>
    <n v="16000000"/>
    <n v="17000000"/>
    <n v="15000000"/>
    <n v="14000000"/>
    <n v="5"/>
    <n v="3"/>
    <n v="5"/>
    <n v="5"/>
    <n v="5"/>
    <s v="CP Panel"/>
    <x v="0"/>
    <x v="0"/>
    <x v="1"/>
    <x v="6"/>
    <m/>
    <m/>
    <m/>
    <n v="1"/>
    <m/>
    <m/>
    <m/>
    <s v="CP"/>
    <m/>
    <s v="MOULD"/>
    <x v="15"/>
    <x v="1"/>
    <m/>
    <x v="40"/>
  </r>
  <r>
    <n v="1476"/>
    <x v="142"/>
    <x v="142"/>
    <x v="134"/>
    <x v="5"/>
    <s v="JASMINE YANG"/>
    <n v="1439"/>
    <s v="SIF"/>
    <s v="Supplier"/>
    <m/>
    <x v="23"/>
    <s v="XINBAO_SIF_Jan2014.xls"/>
    <s v=".xls"/>
    <d v="2014-04-02T00:00:00"/>
    <s v="as\afok"/>
    <m/>
    <s v="2014"/>
    <x v="0"/>
    <x v="0"/>
    <x v="0"/>
    <x v="0"/>
    <m/>
    <m/>
    <m/>
    <m/>
    <m/>
    <n v="2014"/>
    <n v="18000000"/>
    <n v="17000000"/>
    <n v="16000000"/>
    <n v="17000000"/>
    <n v="15000000"/>
    <n v="5"/>
    <n v="4"/>
    <n v="3"/>
    <n v="5"/>
    <n v="5"/>
    <s v="CP Panel"/>
    <x v="0"/>
    <x v="0"/>
    <x v="1"/>
    <x v="6"/>
    <m/>
    <m/>
    <m/>
    <n v="1"/>
    <m/>
    <m/>
    <m/>
    <s v="CP"/>
    <m/>
    <s v="MOULD"/>
    <x v="15"/>
    <x v="1"/>
    <m/>
    <x v="40"/>
  </r>
  <r>
    <n v="1487"/>
    <x v="142"/>
    <x v="142"/>
    <x v="134"/>
    <x v="5"/>
    <s v="JASMINE YANG"/>
    <n v="1450"/>
    <s v="SIF"/>
    <s v="Supplier"/>
    <m/>
    <x v="184"/>
    <s v="XINBAO_SIF_07May2012.xls"/>
    <s v=".xls"/>
    <d v="2014-04-02T00:00:00"/>
    <s v="as\afok"/>
    <m/>
    <s v="2012"/>
    <x v="0"/>
    <x v="0"/>
    <x v="0"/>
    <x v="0"/>
    <m/>
    <m/>
    <m/>
    <m/>
    <m/>
    <n v="2012"/>
    <n v="18000000"/>
    <n v="18500000"/>
    <n v="17000000"/>
    <n v="15000000"/>
    <n v="14000000"/>
    <n v="5"/>
    <n v="5"/>
    <n v="5"/>
    <n v="5"/>
    <n v="5"/>
    <s v="CP Panel"/>
    <x v="0"/>
    <x v="0"/>
    <x v="1"/>
    <x v="6"/>
    <m/>
    <m/>
    <m/>
    <n v="1"/>
    <m/>
    <m/>
    <m/>
    <s v="CP"/>
    <m/>
    <s v="MOULD"/>
    <x v="15"/>
    <x v="1"/>
    <m/>
    <x v="40"/>
  </r>
  <r>
    <n v="1477"/>
    <x v="142"/>
    <x v="142"/>
    <x v="134"/>
    <x v="5"/>
    <s v="JASMINE YANG"/>
    <n v="1440"/>
    <s v="SPR"/>
    <s v="Supplier"/>
    <m/>
    <x v="569"/>
    <s v="Xinbao_SPR_2013.ppt"/>
    <s v=".ppt"/>
    <d v="2014-04-02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s v="MOULD"/>
    <x v="15"/>
    <x v="1"/>
    <m/>
    <x v="40"/>
  </r>
  <r>
    <n v="446"/>
    <x v="143"/>
    <x v="143"/>
    <x v="135"/>
    <x v="1"/>
    <s v="DOUGLAS LAM"/>
    <n v="432"/>
    <s v="ISO 14001"/>
    <s v="Supplier"/>
    <d v="2012-07-16T00:00:00"/>
    <x v="604"/>
    <s v="KUPO_ISO14001_29Mar2010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m/>
    <m/>
    <x v="1"/>
    <x v="1"/>
    <m/>
    <x v="41"/>
  </r>
  <r>
    <n v="447"/>
    <x v="143"/>
    <x v="143"/>
    <x v="135"/>
    <x v="1"/>
    <s v="DOUGLAS LAM"/>
    <n v="433"/>
    <s v="Responsible Purchasing Charter"/>
    <s v="Supplier"/>
    <m/>
    <x v="60"/>
    <s v="KUPO_Responsible_Purchasing_Charter_20Aug12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m/>
    <m/>
    <x v="1"/>
    <x v="1"/>
    <m/>
    <x v="41"/>
  </r>
  <r>
    <n v="445"/>
    <x v="143"/>
    <x v="143"/>
    <x v="135"/>
    <x v="1"/>
    <s v="DOUGLAS LAM"/>
    <n v="431"/>
    <s v="SEF"/>
    <s v="Supplier"/>
    <m/>
    <x v="9"/>
    <s v="Kupo SEF 2013-Manufacturer-20130601-75.xlsx"/>
    <s v=".xlsx"/>
    <d v="2014-03-17T00:00:00"/>
    <s v="as\afok"/>
    <m/>
    <s v="2013"/>
    <x v="0"/>
    <x v="0"/>
    <x v="0"/>
    <x v="0"/>
    <m/>
    <m/>
    <m/>
    <m/>
    <n v="75"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m/>
    <m/>
    <x v="1"/>
    <x v="1"/>
    <m/>
    <x v="41"/>
  </r>
  <r>
    <n v="448"/>
    <x v="143"/>
    <x v="143"/>
    <x v="135"/>
    <x v="1"/>
    <s v="DOUGLAS LAM"/>
    <n v="434"/>
    <s v="SEF"/>
    <s v="Supplier"/>
    <m/>
    <x v="10"/>
    <s v="KUPO_SEF_2012.xlsx"/>
    <s v=".xlsx"/>
    <d v="2014-03-17T00:00:00"/>
    <s v="as\afok"/>
    <m/>
    <s v="2012"/>
    <x v="0"/>
    <x v="0"/>
    <x v="0"/>
    <x v="0"/>
    <m/>
    <m/>
    <m/>
    <m/>
    <n v="55"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m/>
    <m/>
    <x v="1"/>
    <x v="1"/>
    <m/>
    <x v="41"/>
  </r>
  <r>
    <n v="449"/>
    <x v="143"/>
    <x v="143"/>
    <x v="135"/>
    <x v="1"/>
    <s v="DOUGLAS LAM"/>
    <n v="435"/>
    <s v="SIF"/>
    <s v="Supplier"/>
    <m/>
    <x v="605"/>
    <s v="KUPO_SIF2013.xlsx"/>
    <s v=".xlsx"/>
    <d v="2014-03-17T00:00:00"/>
    <s v="as\afok"/>
    <m/>
    <s v="2013"/>
    <x v="0"/>
    <x v="0"/>
    <x v="0"/>
    <x v="0"/>
    <m/>
    <m/>
    <m/>
    <m/>
    <m/>
    <n v="2013"/>
    <n v="11000000"/>
    <n v="10111880"/>
    <n v="11983795"/>
    <n v="10768622"/>
    <n v="6737000"/>
    <n v="20"/>
    <n v="19.5"/>
    <n v="23"/>
    <n v="21.5"/>
    <n v="14"/>
    <s v="CP Panel"/>
    <x v="0"/>
    <x v="0"/>
    <x v="1"/>
    <x v="1"/>
    <m/>
    <m/>
    <m/>
    <n v="0"/>
    <m/>
    <n v="1"/>
    <s v="FP"/>
    <s v="CP"/>
    <m/>
    <m/>
    <x v="1"/>
    <x v="1"/>
    <m/>
    <x v="41"/>
  </r>
  <r>
    <n v="2564"/>
    <x v="144"/>
    <x v="144"/>
    <x v="136"/>
    <x v="2"/>
    <s v="GODFREY LI"/>
    <n v="24"/>
    <s v="Contract: General Contract"/>
    <s v="Supplier"/>
    <d v="2015-12-31T00:00:00"/>
    <x v="48"/>
    <s v="KWONNIE_GENERAL AGREEMENT FHA00016 ind.09 20120420.pdf"/>
    <s v=".pdf"/>
    <d v="2014-03-04T00:00:00"/>
    <s v="as\afok"/>
    <m/>
    <s v="FHA00016 ind.09"/>
    <x v="6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n v="1"/>
    <m/>
    <m/>
    <n v="1"/>
    <m/>
    <m/>
    <s v="FP"/>
    <m/>
    <s v="SP"/>
    <m/>
    <x v="9"/>
    <x v="1"/>
    <n v="1"/>
    <x v="31"/>
  </r>
  <r>
    <n v="2565"/>
    <x v="145"/>
    <x v="145"/>
    <x v="136"/>
    <x v="2"/>
    <s v="GODFREY LI"/>
    <n v="24"/>
    <s v="Contract: General Contract"/>
    <s v="Supplier"/>
    <d v="2015-12-31T00:00:00"/>
    <x v="48"/>
    <s v="KWONNIE_GENERAL AGREEMENT FHA00016 ind.09 20120420.pdf"/>
    <s v=".pdf"/>
    <d v="2014-03-04T00:00:00"/>
    <s v="as\afok"/>
    <m/>
    <s v="FHA00016 ind.09"/>
    <x v="6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n v="1"/>
    <m/>
    <m/>
    <n v="1"/>
    <n v="1"/>
    <m/>
    <s v="FP"/>
    <m/>
    <s v="SP"/>
    <m/>
    <x v="9"/>
    <x v="1"/>
    <n v="1"/>
    <x v="10"/>
  </r>
  <r>
    <n v="2546"/>
    <x v="144"/>
    <x v="144"/>
    <x v="136"/>
    <x v="2"/>
    <s v="GODFREY LI"/>
    <n v="164"/>
    <s v="Contract: Quality Appendix"/>
    <s v="Supplier"/>
    <m/>
    <x v="265"/>
    <s v="KWONNIE_GENERAL AGREEMENT ind.11 2012-12-24.pdf"/>
    <s v=".pdf"/>
    <d v="2014-03-10T00:00:00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1"/>
    <x v="0"/>
    <x v="0"/>
    <m/>
    <n v="1"/>
    <m/>
    <n v="1"/>
    <m/>
    <m/>
    <s v="FP"/>
    <m/>
    <s v="SP"/>
    <m/>
    <x v="9"/>
    <x v="1"/>
    <n v="1"/>
    <x v="31"/>
  </r>
  <r>
    <n v="2547"/>
    <x v="145"/>
    <x v="145"/>
    <x v="136"/>
    <x v="2"/>
    <s v="GODFREY LI"/>
    <n v="164"/>
    <s v="Contract: Quality Appendix"/>
    <s v="Supplier"/>
    <m/>
    <x v="265"/>
    <s v="KWONNIE_GENERAL AGREEMENT ind.11 2012-12-24.pdf"/>
    <s v=".pdf"/>
    <d v="2014-03-10T00:00:00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1"/>
    <x v="0"/>
    <x v="0"/>
    <m/>
    <n v="1"/>
    <m/>
    <n v="1"/>
    <m/>
    <m/>
    <s v="FP"/>
    <m/>
    <s v="SP"/>
    <m/>
    <x v="9"/>
    <x v="1"/>
    <n v="1"/>
    <x v="10"/>
  </r>
  <r>
    <n v="2540"/>
    <x v="144"/>
    <x v="144"/>
    <x v="136"/>
    <x v="2"/>
    <s v="GODFREY LI"/>
    <n v="163"/>
    <s v="Contract: Supply Chain Appendix"/>
    <s v="Supplier"/>
    <m/>
    <x v="493"/>
    <s v="KWONNIE_GENERAL AGREEMENT ind.11 2012-12-24.pdf"/>
    <s v=".pdf"/>
    <d v="2014-03-10T00:00:00"/>
    <s v="as\afok"/>
    <m/>
    <m/>
    <x v="0"/>
    <x v="4"/>
    <x v="2"/>
    <x v="0"/>
    <m/>
    <m/>
    <m/>
    <m/>
    <m/>
    <m/>
    <m/>
    <m/>
    <m/>
    <m/>
    <m/>
    <m/>
    <m/>
    <m/>
    <m/>
    <m/>
    <s v="FP panel Top 15"/>
    <x v="1"/>
    <x v="1"/>
    <x v="0"/>
    <x v="0"/>
    <m/>
    <m/>
    <n v="1"/>
    <n v="1"/>
    <m/>
    <m/>
    <s v="FP"/>
    <m/>
    <s v="SP"/>
    <m/>
    <x v="9"/>
    <x v="1"/>
    <n v="1"/>
    <x v="31"/>
  </r>
  <r>
    <n v="2541"/>
    <x v="145"/>
    <x v="145"/>
    <x v="136"/>
    <x v="2"/>
    <s v="GODFREY LI"/>
    <n v="163"/>
    <s v="Contract: Supply Chain Appendix"/>
    <s v="Supplier"/>
    <m/>
    <x v="493"/>
    <s v="KWONNIE_GENERAL AGREEMENT ind.11 2012-12-24.pdf"/>
    <s v=".pdf"/>
    <d v="2014-03-10T00:00:00"/>
    <s v="as\afok"/>
    <m/>
    <m/>
    <x v="0"/>
    <x v="4"/>
    <x v="2"/>
    <x v="0"/>
    <m/>
    <m/>
    <m/>
    <m/>
    <m/>
    <m/>
    <m/>
    <m/>
    <m/>
    <m/>
    <m/>
    <m/>
    <m/>
    <m/>
    <m/>
    <m/>
    <s v="FP panel Top 15"/>
    <x v="1"/>
    <x v="1"/>
    <x v="0"/>
    <x v="0"/>
    <m/>
    <m/>
    <n v="1"/>
    <n v="1"/>
    <m/>
    <m/>
    <s v="FP"/>
    <m/>
    <s v="SP"/>
    <m/>
    <x v="9"/>
    <x v="1"/>
    <n v="1"/>
    <x v="10"/>
  </r>
  <r>
    <n v="2544"/>
    <x v="144"/>
    <x v="144"/>
    <x v="136"/>
    <x v="2"/>
    <s v="GODFREY LI"/>
    <n v="165"/>
    <s v="ISO 14001"/>
    <s v="Supplier"/>
    <d v="2010-10-10T00:00:00"/>
    <x v="606"/>
    <s v="Kwonnie_ISO14001_26Mar2010.pdf"/>
    <s v=".pdf"/>
    <d v="2014-03-10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31"/>
  </r>
  <r>
    <n v="2545"/>
    <x v="145"/>
    <x v="145"/>
    <x v="136"/>
    <x v="2"/>
    <s v="GODFREY LI"/>
    <n v="165"/>
    <s v="ISO 14001"/>
    <s v="Supplier"/>
    <d v="2010-10-10T00:00:00"/>
    <x v="606"/>
    <s v="Kwonnie_ISO14001_26Mar2010.pdf"/>
    <s v=".pdf"/>
    <d v="2014-03-10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538"/>
    <x v="144"/>
    <x v="144"/>
    <x v="136"/>
    <x v="2"/>
    <s v="GODFREY LI"/>
    <n v="167"/>
    <s v="LOC (Letter of Confidentiality)"/>
    <s v="Supplier"/>
    <m/>
    <x v="607"/>
    <s v="Kwonnie LOC 10112008.pdf"/>
    <s v=".pdf"/>
    <d v="2014-03-10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31"/>
  </r>
  <r>
    <n v="2536"/>
    <x v="144"/>
    <x v="144"/>
    <x v="136"/>
    <x v="2"/>
    <s v="GODFREY LI"/>
    <n v="168"/>
    <s v="LOC (Letter of Confidentiality)"/>
    <s v="Supplier"/>
    <m/>
    <x v="608"/>
    <s v="Kwonnie_LOC_PONANT.6A12-020_29Jun2010.pdf"/>
    <s v=".pdf"/>
    <d v="2014-03-10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31"/>
  </r>
  <r>
    <n v="2539"/>
    <x v="145"/>
    <x v="145"/>
    <x v="136"/>
    <x v="2"/>
    <s v="GODFREY LI"/>
    <n v="167"/>
    <s v="LOC (Letter of Confidentiality)"/>
    <s v="Supplier"/>
    <m/>
    <x v="607"/>
    <s v="Kwonnie LOC 10112008.pdf"/>
    <s v=".pdf"/>
    <d v="2014-03-10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537"/>
    <x v="145"/>
    <x v="145"/>
    <x v="136"/>
    <x v="2"/>
    <s v="GODFREY LI"/>
    <n v="168"/>
    <s v="LOC (Letter of Confidentiality)"/>
    <s v="Supplier"/>
    <m/>
    <x v="608"/>
    <s v="Kwonnie_LOC_PONANT.6A12-020_29Jun2010.pdf"/>
    <s v=".pdf"/>
    <d v="2014-03-10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556"/>
    <x v="144"/>
    <x v="144"/>
    <x v="136"/>
    <x v="2"/>
    <s v="GODFREY LI"/>
    <n v="166"/>
    <s v="NDA (Non Disclosure Agreement)"/>
    <s v="Supplier"/>
    <m/>
    <x v="609"/>
    <s v="Kwonnie NDA 22092007.pdf"/>
    <s v=".pdf"/>
    <d v="2014-03-10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31"/>
  </r>
  <r>
    <n v="2557"/>
    <x v="145"/>
    <x v="145"/>
    <x v="136"/>
    <x v="2"/>
    <s v="GODFREY LI"/>
    <n v="166"/>
    <s v="NDA (Non Disclosure Agreement)"/>
    <s v="Supplier"/>
    <m/>
    <x v="609"/>
    <s v="Kwonnie NDA 22092007.pdf"/>
    <s v=".pdf"/>
    <d v="2014-03-10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560"/>
    <x v="144"/>
    <x v="144"/>
    <x v="136"/>
    <x v="2"/>
    <s v="GODFREY LI"/>
    <n v="169"/>
    <s v="Responsible Purchasing Charter"/>
    <s v="Supplier"/>
    <m/>
    <x v="8"/>
    <s v="Kwonnie - Responsible Purchasing Charter.pdf"/>
    <s v=".pdf"/>
    <d v="2014-03-10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31"/>
  </r>
  <r>
    <n v="2561"/>
    <x v="145"/>
    <x v="145"/>
    <x v="136"/>
    <x v="2"/>
    <s v="GODFREY LI"/>
    <n v="169"/>
    <s v="Responsible Purchasing Charter"/>
    <s v="Supplier"/>
    <m/>
    <x v="8"/>
    <s v="Kwonnie - Responsible Purchasing Charter.pdf"/>
    <s v=".pdf"/>
    <d v="2014-03-10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550"/>
    <x v="144"/>
    <x v="144"/>
    <x v="136"/>
    <x v="2"/>
    <s v="GODFREY LI"/>
    <n v="170"/>
    <s v="SEF"/>
    <s v="Supplier"/>
    <m/>
    <x v="592"/>
    <s v="SEF-Kwonnie 2013 Jun.xlsx"/>
    <s v=".xlsx"/>
    <d v="2014-03-10T00:00:00"/>
    <s v="as\afok"/>
    <m/>
    <s v="2013"/>
    <x v="0"/>
    <x v="0"/>
    <x v="0"/>
    <x v="0"/>
    <m/>
    <m/>
    <m/>
    <m/>
    <n v="91"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31"/>
  </r>
  <r>
    <n v="2554"/>
    <x v="144"/>
    <x v="144"/>
    <x v="136"/>
    <x v="2"/>
    <s v="GODFREY LI"/>
    <n v="171"/>
    <s v="SEF"/>
    <s v="Supplier"/>
    <m/>
    <x v="555"/>
    <s v="KWONNIE_ SEF_JUN 2012.xlsx"/>
    <s v=".xlsx"/>
    <d v="2014-03-10T00:00:00"/>
    <s v="as\afok"/>
    <m/>
    <s v="2012"/>
    <x v="0"/>
    <x v="0"/>
    <x v="0"/>
    <x v="0"/>
    <m/>
    <m/>
    <m/>
    <m/>
    <n v="85"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31"/>
  </r>
  <r>
    <n v="2555"/>
    <x v="145"/>
    <x v="145"/>
    <x v="136"/>
    <x v="2"/>
    <s v="GODFREY LI"/>
    <n v="171"/>
    <s v="SEF"/>
    <s v="Supplier"/>
    <m/>
    <x v="555"/>
    <s v="KWONNIE_ SEF_JUN 2012.xlsx"/>
    <s v=".xlsx"/>
    <d v="2014-03-10T00:00:00"/>
    <s v="as\afok"/>
    <m/>
    <s v="2012"/>
    <x v="0"/>
    <x v="0"/>
    <x v="0"/>
    <x v="0"/>
    <m/>
    <m/>
    <m/>
    <m/>
    <n v="85"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551"/>
    <x v="145"/>
    <x v="145"/>
    <x v="136"/>
    <x v="2"/>
    <s v="GODFREY LI"/>
    <n v="170"/>
    <s v="SEF"/>
    <s v="Supplier"/>
    <m/>
    <x v="592"/>
    <s v="SEF-Kwonnie 2013 Jun.xlsx"/>
    <s v=".xlsx"/>
    <d v="2014-03-10T00:00:00"/>
    <s v="as\afok"/>
    <m/>
    <s v="2013"/>
    <x v="0"/>
    <x v="0"/>
    <x v="0"/>
    <x v="0"/>
    <m/>
    <m/>
    <m/>
    <m/>
    <n v="91"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548"/>
    <x v="144"/>
    <x v="144"/>
    <x v="136"/>
    <x v="2"/>
    <s v="GODFREY LI"/>
    <n v="172"/>
    <s v="SIF"/>
    <s v="Supplier"/>
    <m/>
    <x v="400"/>
    <s v="KWONNIE_SIF 2012_7Mar12.xls"/>
    <s v=".xls"/>
    <d v="2014-03-10T00:00:00"/>
    <s v="as\afok"/>
    <m/>
    <s v="2012"/>
    <x v="0"/>
    <x v="0"/>
    <x v="0"/>
    <x v="0"/>
    <m/>
    <m/>
    <m/>
    <m/>
    <m/>
    <n v="2012"/>
    <n v="115000000"/>
    <n v="100000000"/>
    <n v="100000000"/>
    <n v="110000000"/>
    <m/>
    <n v="10"/>
    <n v="7"/>
    <n v="8"/>
    <n v="5"/>
    <m/>
    <s v="FP panel Top 15"/>
    <x v="1"/>
    <x v="1"/>
    <x v="0"/>
    <x v="0"/>
    <m/>
    <m/>
    <m/>
    <n v="1"/>
    <m/>
    <m/>
    <s v="FP"/>
    <m/>
    <s v="SP"/>
    <m/>
    <x v="9"/>
    <x v="1"/>
    <n v="1"/>
    <x v="31"/>
  </r>
  <r>
    <n v="2562"/>
    <x v="144"/>
    <x v="144"/>
    <x v="136"/>
    <x v="2"/>
    <s v="GODFREY LI"/>
    <n v="173"/>
    <s v="SIF"/>
    <s v="Supplier"/>
    <m/>
    <x v="281"/>
    <s v="KWONNIE_SIF 2012_3Sep12.xls"/>
    <s v=".xls"/>
    <d v="2014-03-10T00:00:00"/>
    <s v="as\afok"/>
    <m/>
    <s v="2012"/>
    <x v="0"/>
    <x v="0"/>
    <x v="0"/>
    <x v="0"/>
    <m/>
    <m/>
    <m/>
    <m/>
    <m/>
    <n v="2012"/>
    <n v="100000000"/>
    <n v="95000000"/>
    <n v="100000000"/>
    <n v="110000000"/>
    <m/>
    <n v="10"/>
    <n v="6"/>
    <n v="8"/>
    <n v="5"/>
    <m/>
    <s v="FP panel Top 15"/>
    <x v="1"/>
    <x v="1"/>
    <x v="0"/>
    <x v="0"/>
    <m/>
    <m/>
    <m/>
    <n v="1"/>
    <m/>
    <m/>
    <s v="FP"/>
    <m/>
    <s v="SP"/>
    <m/>
    <x v="9"/>
    <x v="1"/>
    <n v="1"/>
    <x v="31"/>
  </r>
  <r>
    <n v="2558"/>
    <x v="144"/>
    <x v="144"/>
    <x v="136"/>
    <x v="2"/>
    <s v="GODFREY LI"/>
    <n v="176"/>
    <s v="SIF"/>
    <s v="Supplier"/>
    <m/>
    <x v="610"/>
    <s v="Kwonnie - FHA6E502_EN_-_SIF 2013.xlsx"/>
    <s v=".xlsx"/>
    <d v="2014-03-10T00:00:00"/>
    <s v="as\afok"/>
    <m/>
    <s v="2013"/>
    <x v="0"/>
    <x v="0"/>
    <x v="0"/>
    <x v="0"/>
    <m/>
    <m/>
    <m/>
    <m/>
    <m/>
    <n v="2013"/>
    <n v="115000000"/>
    <n v="115000000"/>
    <n v="100000000"/>
    <n v="100000000"/>
    <n v="110000000"/>
    <n v="10"/>
    <n v="10"/>
    <n v="7"/>
    <n v="8"/>
    <n v="5"/>
    <s v="FP panel Top 15"/>
    <x v="1"/>
    <x v="1"/>
    <x v="0"/>
    <x v="0"/>
    <m/>
    <m/>
    <m/>
    <n v="1"/>
    <m/>
    <m/>
    <s v="FP"/>
    <m/>
    <s v="SP"/>
    <m/>
    <x v="9"/>
    <x v="1"/>
    <n v="1"/>
    <x v="31"/>
  </r>
  <r>
    <n v="2549"/>
    <x v="145"/>
    <x v="145"/>
    <x v="136"/>
    <x v="2"/>
    <s v="GODFREY LI"/>
    <n v="172"/>
    <s v="SIF"/>
    <s v="Supplier"/>
    <m/>
    <x v="400"/>
    <s v="KWONNIE_SIF 2012_7Mar12.xls"/>
    <s v=".xls"/>
    <d v="2014-03-10T00:00:00"/>
    <s v="as\afok"/>
    <m/>
    <s v="2012"/>
    <x v="0"/>
    <x v="0"/>
    <x v="0"/>
    <x v="0"/>
    <m/>
    <m/>
    <m/>
    <m/>
    <m/>
    <n v="2012"/>
    <n v="115000000"/>
    <n v="100000000"/>
    <n v="100000000"/>
    <n v="110000000"/>
    <m/>
    <n v="10"/>
    <n v="7"/>
    <n v="8"/>
    <n v="5"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559"/>
    <x v="145"/>
    <x v="145"/>
    <x v="136"/>
    <x v="2"/>
    <s v="GODFREY LI"/>
    <n v="176"/>
    <s v="SIF"/>
    <s v="Supplier"/>
    <m/>
    <x v="610"/>
    <s v="Kwonnie - FHA6E502_EN_-_SIF 2013.xlsx"/>
    <s v=".xlsx"/>
    <d v="2014-03-10T00:00:00"/>
    <s v="as\afok"/>
    <m/>
    <s v="2013"/>
    <x v="0"/>
    <x v="0"/>
    <x v="0"/>
    <x v="0"/>
    <m/>
    <m/>
    <m/>
    <m/>
    <m/>
    <n v="2013"/>
    <n v="115000000"/>
    <n v="115000000"/>
    <n v="100000000"/>
    <n v="100000000"/>
    <n v="110000000"/>
    <n v="10"/>
    <n v="10"/>
    <n v="7"/>
    <n v="8"/>
    <n v="5"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563"/>
    <x v="145"/>
    <x v="145"/>
    <x v="136"/>
    <x v="2"/>
    <s v="GODFREY LI"/>
    <n v="173"/>
    <s v="SIF"/>
    <s v="Supplier"/>
    <m/>
    <x v="281"/>
    <s v="KWONNIE_SIF 2012_3Sep12.xls"/>
    <s v=".xls"/>
    <d v="2014-03-10T00:00:00"/>
    <s v="as\afok"/>
    <m/>
    <s v="2012"/>
    <x v="0"/>
    <x v="0"/>
    <x v="0"/>
    <x v="0"/>
    <m/>
    <m/>
    <m/>
    <m/>
    <m/>
    <n v="2012"/>
    <n v="100000000"/>
    <n v="95000000"/>
    <n v="100000000"/>
    <n v="110000000"/>
    <m/>
    <n v="10"/>
    <n v="6"/>
    <n v="8"/>
    <n v="5"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534"/>
    <x v="144"/>
    <x v="144"/>
    <x v="136"/>
    <x v="2"/>
    <s v="GODFREY LI"/>
    <n v="174"/>
    <s v="Social Audit"/>
    <s v="Supplier"/>
    <m/>
    <x v="611"/>
    <s v="Kwonnie Social Audit Warning Letter on 20120919.pdf"/>
    <s v=".pdf"/>
    <d v="2014-03-10T00:00:00"/>
    <s v="as\afok"/>
    <s v=" Warning Letter_x000d__x000a_"/>
    <m/>
    <x v="0"/>
    <x v="0"/>
    <x v="0"/>
    <x v="0"/>
    <m/>
    <s v="SEB Asia"/>
    <s v="Initial"/>
    <s v="Critical"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31"/>
  </r>
  <r>
    <n v="2535"/>
    <x v="145"/>
    <x v="145"/>
    <x v="136"/>
    <x v="2"/>
    <s v="GODFREY LI"/>
    <n v="174"/>
    <s v="Social Audit"/>
    <s v="Supplier"/>
    <m/>
    <x v="611"/>
    <s v="Kwonnie Social Audit Warning Letter on 20120919.pdf"/>
    <s v=".pdf"/>
    <d v="2014-03-10T00:00:00"/>
    <s v="as\afok"/>
    <s v=" Warning Letter_x000d__x000a_"/>
    <m/>
    <x v="0"/>
    <x v="0"/>
    <x v="0"/>
    <x v="0"/>
    <m/>
    <s v="SEB Asia"/>
    <s v="Initial"/>
    <s v="Critical"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552"/>
    <x v="144"/>
    <x v="144"/>
    <x v="136"/>
    <x v="2"/>
    <s v="GODFREY LI"/>
    <n v="175"/>
    <s v="SPR"/>
    <s v="Supplier"/>
    <m/>
    <x v="127"/>
    <s v="Kwonnie VPI Sept Sept_2012 v2 - SPR.pptx"/>
    <s v=".pptx"/>
    <d v="2014-03-10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31"/>
  </r>
  <r>
    <n v="2542"/>
    <x v="144"/>
    <x v="144"/>
    <x v="136"/>
    <x v="2"/>
    <s v="GODFREY LI"/>
    <n v="177"/>
    <s v="SPR"/>
    <s v="Supplier"/>
    <m/>
    <x v="120"/>
    <s v="Kwonnie SPR 2013 v1 after meeting on 20131107 for Supplier.pptx"/>
    <s v=".pptx"/>
    <d v="2014-03-10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31"/>
  </r>
  <r>
    <n v="2553"/>
    <x v="145"/>
    <x v="145"/>
    <x v="136"/>
    <x v="2"/>
    <s v="GODFREY LI"/>
    <n v="175"/>
    <s v="SPR"/>
    <s v="Supplier"/>
    <m/>
    <x v="127"/>
    <s v="Kwonnie VPI Sept Sept_2012 v2 - SPR.pptx"/>
    <s v=".pptx"/>
    <d v="2014-03-10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543"/>
    <x v="145"/>
    <x v="145"/>
    <x v="136"/>
    <x v="2"/>
    <s v="GODFREY LI"/>
    <n v="177"/>
    <s v="SPR"/>
    <s v="Supplier"/>
    <m/>
    <x v="120"/>
    <s v="Kwonnie SPR 2013 v1 after meeting on 20131107 for Supplier.pptx"/>
    <s v=".pptx"/>
    <d v="2014-03-10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1492"/>
    <x v="146"/>
    <x v="146"/>
    <x v="137"/>
    <x v="5"/>
    <s v="JASMINE YANG"/>
    <n v="1455"/>
    <s v="ISO 14001"/>
    <s v="Supplier"/>
    <d v="2011-01-10T00:00:00"/>
    <x v="612"/>
    <s v="LEONI_ISO14001_10Jan2011.pdf"/>
    <s v=".pdf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s v="SP"/>
    <m/>
    <x v="12"/>
    <x v="1"/>
    <m/>
    <x v="37"/>
  </r>
  <r>
    <n v="1489"/>
    <x v="146"/>
    <x v="146"/>
    <x v="137"/>
    <x v="5"/>
    <s v="JASMINE YANG"/>
    <n v="1452"/>
    <s v="Responsible Purchasing Charter"/>
    <s v="Supplier"/>
    <m/>
    <x v="613"/>
    <s v="LEONI_Responsible Purchasing Charter_20140303.pdf"/>
    <s v=".pdf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s v="SP"/>
    <m/>
    <x v="12"/>
    <x v="1"/>
    <m/>
    <x v="37"/>
  </r>
  <r>
    <n v="1493"/>
    <x v="146"/>
    <x v="146"/>
    <x v="137"/>
    <x v="5"/>
    <s v="JASMINE YANG"/>
    <n v="1456"/>
    <s v="SEF"/>
    <s v="Supplier"/>
    <m/>
    <x v="383"/>
    <s v="Leoni_SEF_ 201207.xlsx"/>
    <s v=".xlsx"/>
    <d v="2014-04-02T00:00:00"/>
    <s v="as\afok"/>
    <m/>
    <s v="2012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0"/>
    <m/>
    <m/>
    <m/>
    <s v="CP"/>
    <s v="SP"/>
    <m/>
    <x v="12"/>
    <x v="1"/>
    <m/>
    <x v="37"/>
  </r>
  <r>
    <n v="1490"/>
    <x v="146"/>
    <x v="146"/>
    <x v="137"/>
    <x v="5"/>
    <s v="JASMINE YANG"/>
    <n v="1453"/>
    <s v="SIF"/>
    <s v="Supplier"/>
    <m/>
    <x v="43"/>
    <s v="Leoni Changzhou_SIF_Jan2014.xls"/>
    <s v=".xls"/>
    <d v="2014-04-02T00:00:00"/>
    <s v="as\afok"/>
    <m/>
    <s v="2014"/>
    <x v="0"/>
    <x v="0"/>
    <x v="0"/>
    <x v="0"/>
    <m/>
    <m/>
    <m/>
    <m/>
    <m/>
    <n v="2014"/>
    <n v="100000000"/>
    <n v="95000000"/>
    <n v="98000000"/>
    <n v="11000000"/>
    <n v="10200000"/>
    <m/>
    <n v="8.7100000000000009"/>
    <n v="6.62"/>
    <n v="5.42"/>
    <n v="3.66"/>
    <m/>
    <x v="0"/>
    <x v="0"/>
    <x v="0"/>
    <x v="0"/>
    <m/>
    <m/>
    <m/>
    <n v="0"/>
    <m/>
    <m/>
    <m/>
    <s v="CP"/>
    <s v="SP"/>
    <m/>
    <x v="12"/>
    <x v="1"/>
    <m/>
    <x v="37"/>
  </r>
  <r>
    <n v="1494"/>
    <x v="146"/>
    <x v="146"/>
    <x v="137"/>
    <x v="5"/>
    <s v="JASMINE YANG"/>
    <n v="1457"/>
    <s v="SIF"/>
    <s v="Supplier"/>
    <m/>
    <x v="199"/>
    <s v="LEONI_SIF_20Apr2012.xls"/>
    <s v=".xls"/>
    <d v="2014-04-02T00:00:00"/>
    <s v="as\afok"/>
    <m/>
    <s v="2012"/>
    <x v="0"/>
    <x v="0"/>
    <x v="0"/>
    <x v="0"/>
    <m/>
    <m/>
    <m/>
    <m/>
    <m/>
    <n v="2012"/>
    <m/>
    <n v="250000000"/>
    <n v="215000000"/>
    <n v="150000000"/>
    <n v="100000000"/>
    <m/>
    <n v="1.5"/>
    <n v="2.2999999999999998"/>
    <n v="1.7"/>
    <n v="2"/>
    <m/>
    <x v="0"/>
    <x v="0"/>
    <x v="0"/>
    <x v="0"/>
    <m/>
    <m/>
    <m/>
    <n v="0"/>
    <m/>
    <n v="1"/>
    <m/>
    <s v="CP"/>
    <s v="SP"/>
    <m/>
    <x v="12"/>
    <x v="1"/>
    <m/>
    <x v="37"/>
  </r>
  <r>
    <n v="1491"/>
    <x v="146"/>
    <x v="146"/>
    <x v="137"/>
    <x v="5"/>
    <s v="JASMINE YANG"/>
    <n v="1454"/>
    <s v="SIF"/>
    <s v="Supplier"/>
    <m/>
    <x v="614"/>
    <s v="LEONI_PerformanceReview_2012.pdf"/>
    <s v=".pdf"/>
    <d v="2014-04-02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s v="SP"/>
    <m/>
    <x v="12"/>
    <x v="1"/>
    <m/>
    <x v="37"/>
  </r>
  <r>
    <n v="1035"/>
    <x v="147"/>
    <x v="147"/>
    <x v="138"/>
    <x v="1"/>
    <s v="EVA LAI"/>
    <n v="1012"/>
    <s v="Responsible Purchasing Charter"/>
    <s v="Supplier"/>
    <m/>
    <x v="265"/>
    <s v="Leoni_Xiamen_Responsible Purchasing Charter_18dec2012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1034"/>
    <x v="147"/>
    <x v="147"/>
    <x v="138"/>
    <x v="1"/>
    <s v="EVA LAI"/>
    <n v="1011"/>
    <s v="SIF"/>
    <s v="Supplier"/>
    <m/>
    <x v="615"/>
    <s v="Leoni Xiamen_SIF_2012 (Revised).XLSX"/>
    <s v=".xlsx"/>
    <d v="2014-03-25T00:00:00"/>
    <s v="as\afok"/>
    <m/>
    <s v="2013"/>
    <x v="0"/>
    <x v="0"/>
    <x v="0"/>
    <x v="0"/>
    <m/>
    <m/>
    <m/>
    <m/>
    <m/>
    <n v="2012"/>
    <n v="27000000"/>
    <n v="25000000"/>
    <n v="23000000"/>
    <n v="19000000"/>
    <n v="22000000"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703"/>
    <x v="148"/>
    <x v="148"/>
    <x v="139"/>
    <x v="2"/>
    <s v="DENNIS LAM"/>
    <n v="686"/>
    <s v="Contract: General Contract"/>
    <s v="Supplier"/>
    <m/>
    <x v="468"/>
    <s v="Liantek_FHA6E022_20090323.pdf"/>
    <s v=".pdf"/>
    <d v="2014-03-20T00:00:00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39"/>
  </r>
  <r>
    <n v="704"/>
    <x v="148"/>
    <x v="148"/>
    <x v="139"/>
    <x v="2"/>
    <s v="DENNIS LAM"/>
    <n v="687"/>
    <s v="Contract: Quality Appendix"/>
    <s v="Supplier"/>
    <m/>
    <x v="468"/>
    <s v="Liantek_FHA6E022_20090323.pdf"/>
    <s v=".pdf"/>
    <d v="2014-03-20T00:00:00"/>
    <s v="as\afok"/>
    <m/>
    <s v="FHA 00 014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x v="9"/>
    <x v="1"/>
    <m/>
    <x v="39"/>
  </r>
  <r>
    <n v="705"/>
    <x v="148"/>
    <x v="148"/>
    <x v="139"/>
    <x v="2"/>
    <s v="DENNIS LAM"/>
    <n v="688"/>
    <s v="Contract: Supply Chain Appendix"/>
    <s v="Supplier"/>
    <m/>
    <x v="468"/>
    <s v="Liantek_FHA6E022_20090323.pdf"/>
    <s v=".pdf"/>
    <d v="2014-03-20T00:00:00"/>
    <s v="as\afok"/>
    <m/>
    <m/>
    <x v="0"/>
    <x v="5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x v="9"/>
    <x v="1"/>
    <m/>
    <x v="39"/>
  </r>
  <r>
    <n v="701"/>
    <x v="148"/>
    <x v="148"/>
    <x v="139"/>
    <x v="2"/>
    <s v="DENNIS LAM"/>
    <n v="684"/>
    <s v="Environmental Declaration"/>
    <s v="Supplier"/>
    <m/>
    <x v="110"/>
    <s v="Liantek_Env_Declaration_31May2010.xls"/>
    <s v=".xls"/>
    <d v="2014-03-20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39"/>
  </r>
  <r>
    <n v="700"/>
    <x v="148"/>
    <x v="148"/>
    <x v="139"/>
    <x v="2"/>
    <s v="DENNIS LAM"/>
    <n v="683"/>
    <s v="Exclusivity (EA)"/>
    <s v="Supplier"/>
    <m/>
    <x v="95"/>
    <s v="Exclusivity Summary from liantek 130121.xlsx"/>
    <s v=".xlsx"/>
    <d v="2014-03-20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39"/>
  </r>
  <r>
    <n v="702"/>
    <x v="148"/>
    <x v="148"/>
    <x v="139"/>
    <x v="2"/>
    <s v="DENNIS LAM"/>
    <n v="685"/>
    <s v="Foodstuffs declaration"/>
    <s v="Supplier"/>
    <m/>
    <x v="616"/>
    <s v="Liantek FRD00069 ind.04 20090427.pdf"/>
    <s v=".pdf"/>
    <d v="2014-03-20T00:00:00"/>
    <s v="as\afok"/>
    <m/>
    <s v="FRD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39"/>
  </r>
  <r>
    <n v="698"/>
    <x v="148"/>
    <x v="148"/>
    <x v="139"/>
    <x v="2"/>
    <s v="DENNIS LAM"/>
    <n v="681"/>
    <s v="SEF"/>
    <s v="Supplier"/>
    <m/>
    <x v="592"/>
    <s v="SEF-Liantek 2013 Jun.xlsx"/>
    <s v=".xlsx"/>
    <d v="2014-03-20T00:00:00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39"/>
  </r>
  <r>
    <n v="699"/>
    <x v="148"/>
    <x v="148"/>
    <x v="139"/>
    <x v="2"/>
    <s v="DENNIS LAM"/>
    <n v="682"/>
    <s v="SIF"/>
    <s v="Supplier"/>
    <m/>
    <x v="610"/>
    <s v="Liantek 130521 - FHA6E502-EN SIF 2013.xlsx"/>
    <s v=".xlsx"/>
    <d v="2014-03-20T00:00:00"/>
    <s v="as\afok"/>
    <m/>
    <s v="2013"/>
    <x v="0"/>
    <x v="0"/>
    <x v="0"/>
    <x v="0"/>
    <m/>
    <m/>
    <m/>
    <m/>
    <m/>
    <n v="2013"/>
    <n v="85714285.700000003"/>
    <n v="67142857.5"/>
    <n v="55714285.700000003"/>
    <n v="50000000"/>
    <n v="34347810"/>
    <m/>
    <n v="0.8"/>
    <n v="0.8"/>
    <n v="0.96"/>
    <n v="0.16"/>
    <m/>
    <x v="0"/>
    <x v="0"/>
    <x v="0"/>
    <x v="0"/>
    <m/>
    <m/>
    <m/>
    <n v="1"/>
    <m/>
    <m/>
    <s v="FP"/>
    <m/>
    <s v="SP"/>
    <m/>
    <x v="9"/>
    <x v="1"/>
    <m/>
    <x v="39"/>
  </r>
  <r>
    <n v="706"/>
    <x v="148"/>
    <x v="148"/>
    <x v="139"/>
    <x v="2"/>
    <s v="DENNIS LAM"/>
    <n v="689"/>
    <s v="SPR"/>
    <s v="Supplier"/>
    <m/>
    <x v="520"/>
    <s v="Liantek_SPR_2009.xlsx"/>
    <s v=".xlsx"/>
    <d v="2014-03-20T00:00:00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x v="9"/>
    <x v="1"/>
    <m/>
    <x v="39"/>
  </r>
  <r>
    <n v="13"/>
    <x v="149"/>
    <x v="149"/>
    <x v="140"/>
    <x v="0"/>
    <s v="FELICITY YU"/>
    <n v="10"/>
    <s v="Contract: General Contract"/>
    <s v="Supplier"/>
    <d v="2015-12-31T00:00:00"/>
    <x v="480"/>
    <s v="Linkfair_General Agreement_28Nov11.pdf"/>
    <s v=".pdf"/>
    <d v="2014-03-04T00:00:00"/>
    <s v="as\afok"/>
    <m/>
    <s v="FHA00016 ind.10"/>
    <x v="4"/>
    <x v="0"/>
    <x v="0"/>
    <x v="0"/>
    <m/>
    <m/>
    <m/>
    <m/>
    <m/>
    <m/>
    <m/>
    <m/>
    <m/>
    <m/>
    <m/>
    <m/>
    <m/>
    <m/>
    <m/>
    <m/>
    <s v="FP panel Top 15 and CP panel"/>
    <x v="1"/>
    <x v="2"/>
    <x v="1"/>
    <x v="1"/>
    <n v="1"/>
    <m/>
    <m/>
    <n v="1"/>
    <m/>
    <m/>
    <s v="FP"/>
    <s v="CP"/>
    <m/>
    <s v="MOULD"/>
    <x v="10"/>
    <x v="1"/>
    <n v="1"/>
    <x v="42"/>
  </r>
  <r>
    <n v="190"/>
    <x v="149"/>
    <x v="149"/>
    <x v="140"/>
    <x v="0"/>
    <s v="FELICITY YU"/>
    <n v="181"/>
    <s v="Contract: Quality Appendix"/>
    <s v="Supplier"/>
    <m/>
    <x v="617"/>
    <s v="Linkfair_Quality Policy_6Mar13.pdf"/>
    <s v=".pdf"/>
    <d v="2014-03-11T00:00:00"/>
    <s v="as\afok"/>
    <m/>
    <m/>
    <x v="0"/>
    <x v="0"/>
    <x v="0"/>
    <x v="2"/>
    <m/>
    <m/>
    <m/>
    <m/>
    <m/>
    <m/>
    <m/>
    <m/>
    <m/>
    <m/>
    <m/>
    <m/>
    <m/>
    <m/>
    <m/>
    <m/>
    <s v="FP panel Top 15 and CP panel"/>
    <x v="1"/>
    <x v="2"/>
    <x v="1"/>
    <x v="1"/>
    <m/>
    <n v="1"/>
    <m/>
    <n v="1"/>
    <m/>
    <m/>
    <s v="FP"/>
    <s v="CP"/>
    <m/>
    <s v="MOULD"/>
    <x v="10"/>
    <x v="1"/>
    <n v="1"/>
    <x v="42"/>
  </r>
  <r>
    <n v="189"/>
    <x v="149"/>
    <x v="149"/>
    <x v="140"/>
    <x v="0"/>
    <s v="FELICITY YU"/>
    <n v="180"/>
    <s v="Contract: Supply Chain Appendix"/>
    <s v="Supplier"/>
    <m/>
    <x v="480"/>
    <s v="Linkfair_General Agreement_28Nov11.pdf"/>
    <s v=".pdf"/>
    <d v="2014-03-11T00:00:00"/>
    <s v="as\afok"/>
    <m/>
    <m/>
    <x v="0"/>
    <x v="2"/>
    <x v="2"/>
    <x v="0"/>
    <m/>
    <m/>
    <m/>
    <m/>
    <m/>
    <m/>
    <m/>
    <m/>
    <m/>
    <m/>
    <m/>
    <m/>
    <m/>
    <m/>
    <m/>
    <m/>
    <s v="FP panel Top 15 and CP panel"/>
    <x v="1"/>
    <x v="2"/>
    <x v="1"/>
    <x v="1"/>
    <m/>
    <m/>
    <n v="1"/>
    <n v="1"/>
    <m/>
    <m/>
    <s v="FP"/>
    <s v="CP"/>
    <m/>
    <s v="MOULD"/>
    <x v="10"/>
    <x v="1"/>
    <n v="1"/>
    <x v="42"/>
  </r>
  <r>
    <n v="581"/>
    <x v="149"/>
    <x v="149"/>
    <x v="140"/>
    <x v="0"/>
    <s v="FELICITY YU"/>
    <n v="564"/>
    <s v="Declaration letter of group organization"/>
    <s v="Supplier"/>
    <m/>
    <x v="480"/>
    <s v="Linkfair_General Agreement_28Nov11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 and CP panel"/>
    <x v="1"/>
    <x v="2"/>
    <x v="1"/>
    <x v="1"/>
    <m/>
    <m/>
    <m/>
    <n v="1"/>
    <n v="1"/>
    <m/>
    <s v="FP"/>
    <s v="CP"/>
    <m/>
    <s v="MOULD"/>
    <x v="10"/>
    <x v="1"/>
    <n v="1"/>
    <x v="42"/>
  </r>
  <r>
    <n v="191"/>
    <x v="149"/>
    <x v="149"/>
    <x v="140"/>
    <x v="0"/>
    <s v="FELICITY YU"/>
    <n v="182"/>
    <s v="Environmental Declaration"/>
    <s v="Supplier"/>
    <m/>
    <x v="480"/>
    <s v="Linkfair_General Agreement_28Nov11.pdf"/>
    <s v=".pdf"/>
    <d v="2014-03-11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 and CP panel"/>
    <x v="1"/>
    <x v="2"/>
    <x v="1"/>
    <x v="1"/>
    <m/>
    <m/>
    <m/>
    <n v="1"/>
    <m/>
    <m/>
    <s v="FP"/>
    <s v="CP"/>
    <m/>
    <s v="MOULD"/>
    <x v="10"/>
    <x v="1"/>
    <n v="1"/>
    <x v="42"/>
  </r>
  <r>
    <n v="187"/>
    <x v="149"/>
    <x v="149"/>
    <x v="140"/>
    <x v="0"/>
    <s v="FELICITY YU"/>
    <n v="178"/>
    <s v="Foodstuffs declaration"/>
    <s v="Supplier"/>
    <m/>
    <x v="618"/>
    <s v="Foodstuffs_FRD00069_EN certificato alimentarietà.pdf"/>
    <s v=".pdf"/>
    <d v="2014-03-11T00:00:00"/>
    <s v="as\afok"/>
    <m/>
    <s v="FRD00069 ind.04"/>
    <x v="0"/>
    <x v="0"/>
    <x v="0"/>
    <x v="0"/>
    <m/>
    <m/>
    <m/>
    <m/>
    <m/>
    <m/>
    <m/>
    <m/>
    <m/>
    <m/>
    <m/>
    <m/>
    <m/>
    <m/>
    <m/>
    <m/>
    <s v="FP panel Top 15 and CP panel"/>
    <x v="1"/>
    <x v="2"/>
    <x v="1"/>
    <x v="1"/>
    <m/>
    <m/>
    <m/>
    <n v="1"/>
    <m/>
    <m/>
    <s v="FP"/>
    <s v="CP"/>
    <m/>
    <s v="MOULD"/>
    <x v="10"/>
    <x v="1"/>
    <n v="1"/>
    <x v="42"/>
  </r>
  <r>
    <n v="188"/>
    <x v="149"/>
    <x v="149"/>
    <x v="140"/>
    <x v="0"/>
    <s v="FELICITY YU"/>
    <n v="179"/>
    <s v="ISO 14001"/>
    <s v="Supplier"/>
    <d v="2012-11-11T00:00:00"/>
    <x v="619"/>
    <s v="Link_Fair_ISO14001_11Nov2012.pdf"/>
    <s v=".pdf"/>
    <d v="2014-03-11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 and CP panel"/>
    <x v="1"/>
    <x v="2"/>
    <x v="1"/>
    <x v="1"/>
    <m/>
    <m/>
    <m/>
    <n v="1"/>
    <m/>
    <m/>
    <s v="FP"/>
    <s v="CP"/>
    <m/>
    <s v="MOULD"/>
    <x v="10"/>
    <x v="1"/>
    <n v="1"/>
    <x v="42"/>
  </r>
  <r>
    <n v="197"/>
    <x v="149"/>
    <x v="149"/>
    <x v="140"/>
    <x v="0"/>
    <s v="FELICITY YU"/>
    <n v="188"/>
    <s v="NDA (Non Disclosure Agreement)"/>
    <s v="Supplier"/>
    <m/>
    <x v="620"/>
    <s v="NDA_LinkFair_22Jun12.tif"/>
    <s v=".tif"/>
    <d v="2014-03-11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 and CP panel"/>
    <x v="1"/>
    <x v="2"/>
    <x v="1"/>
    <x v="1"/>
    <m/>
    <m/>
    <m/>
    <n v="1"/>
    <m/>
    <m/>
    <s v="FP"/>
    <s v="CP"/>
    <m/>
    <s v="MOULD"/>
    <x v="10"/>
    <x v="1"/>
    <n v="1"/>
    <x v="42"/>
  </r>
  <r>
    <n v="192"/>
    <x v="149"/>
    <x v="149"/>
    <x v="140"/>
    <x v="0"/>
    <s v="FELICITY YU"/>
    <n v="183"/>
    <s v="Other business certifications (ex : FSC for Packaging)"/>
    <s v="Supplier"/>
    <m/>
    <x v="383"/>
    <s v="Linkfair_Material Purchasing Agreement for SEB_17Jan2012.pdf"/>
    <s v=".pdf"/>
    <d v="2014-03-11T00:00:00"/>
    <s v="as\afok"/>
    <s v="Material Purchasing Agreement"/>
    <m/>
    <x v="0"/>
    <x v="0"/>
    <x v="0"/>
    <x v="0"/>
    <m/>
    <m/>
    <m/>
    <m/>
    <m/>
    <m/>
    <m/>
    <m/>
    <m/>
    <m/>
    <m/>
    <m/>
    <m/>
    <m/>
    <m/>
    <m/>
    <s v="FP panel Top 15 and CP panel"/>
    <x v="1"/>
    <x v="2"/>
    <x v="1"/>
    <x v="1"/>
    <m/>
    <m/>
    <m/>
    <n v="1"/>
    <m/>
    <m/>
    <s v="FP"/>
    <s v="CP"/>
    <m/>
    <s v="MOULD"/>
    <x v="10"/>
    <x v="1"/>
    <n v="1"/>
    <x v="42"/>
  </r>
  <r>
    <n v="193"/>
    <x v="149"/>
    <x v="149"/>
    <x v="140"/>
    <x v="0"/>
    <s v="FELICITY YU"/>
    <n v="184"/>
    <s v="Responsible Purchasing Charter"/>
    <s v="Supplier"/>
    <m/>
    <x v="320"/>
    <s v="Linkfair_Responsible Purchasing Charter_14Aug12.pdf"/>
    <s v=".pdf"/>
    <d v="2014-03-11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 and CP panel"/>
    <x v="1"/>
    <x v="2"/>
    <x v="1"/>
    <x v="1"/>
    <m/>
    <m/>
    <m/>
    <n v="1"/>
    <m/>
    <m/>
    <s v="FP"/>
    <s v="CP"/>
    <m/>
    <s v="MOULD"/>
    <x v="10"/>
    <x v="1"/>
    <n v="1"/>
    <x v="42"/>
  </r>
  <r>
    <n v="198"/>
    <x v="149"/>
    <x v="149"/>
    <x v="140"/>
    <x v="0"/>
    <s v="FELICITY YU"/>
    <n v="189"/>
    <s v="SEF"/>
    <s v="Supplier"/>
    <m/>
    <x v="621"/>
    <s v="SEF 2012 - Linkfair (Casting handles) Sep2012.xlsx"/>
    <s v=".xlsx"/>
    <d v="2014-03-11T00:00:00"/>
    <s v="as\afok"/>
    <s v="cast handles_x000d__x000a_"/>
    <s v="2012"/>
    <x v="0"/>
    <x v="0"/>
    <x v="0"/>
    <x v="0"/>
    <m/>
    <m/>
    <m/>
    <m/>
    <n v="87"/>
    <m/>
    <m/>
    <m/>
    <m/>
    <m/>
    <m/>
    <m/>
    <m/>
    <m/>
    <m/>
    <m/>
    <s v="FP panel Top 15 and CP panel"/>
    <x v="1"/>
    <x v="2"/>
    <x v="1"/>
    <x v="1"/>
    <m/>
    <m/>
    <m/>
    <n v="1"/>
    <m/>
    <m/>
    <s v="FP"/>
    <s v="CP"/>
    <m/>
    <s v="MOULD"/>
    <x v="10"/>
    <x v="1"/>
    <n v="1"/>
    <x v="42"/>
  </r>
  <r>
    <n v="199"/>
    <x v="149"/>
    <x v="149"/>
    <x v="140"/>
    <x v="0"/>
    <s v="FELICITY YU"/>
    <n v="190"/>
    <s v="SEF"/>
    <s v="Supplier"/>
    <m/>
    <x v="245"/>
    <s v="SEF 2012 - Linkfair cast handles 20120810.xlsx"/>
    <s v=".xlsx"/>
    <d v="2014-03-11T00:00:00"/>
    <s v="as\afok"/>
    <s v="cast handles_x000d__x000a_"/>
    <s v="2012"/>
    <x v="0"/>
    <x v="0"/>
    <x v="0"/>
    <x v="0"/>
    <m/>
    <m/>
    <m/>
    <m/>
    <n v="81"/>
    <m/>
    <m/>
    <m/>
    <m/>
    <m/>
    <m/>
    <m/>
    <m/>
    <m/>
    <m/>
    <m/>
    <s v="FP panel Top 15 and CP panel"/>
    <x v="1"/>
    <x v="2"/>
    <x v="1"/>
    <x v="1"/>
    <m/>
    <m/>
    <m/>
    <n v="1"/>
    <m/>
    <m/>
    <s v="FP"/>
    <s v="CP"/>
    <m/>
    <s v="MOULD"/>
    <x v="10"/>
    <x v="1"/>
    <n v="1"/>
    <x v="42"/>
  </r>
  <r>
    <n v="200"/>
    <x v="149"/>
    <x v="149"/>
    <x v="140"/>
    <x v="0"/>
    <s v="FELICITY YU"/>
    <n v="191"/>
    <s v="SEF"/>
    <s v="Supplier"/>
    <m/>
    <x v="245"/>
    <s v="SEF 2012 - Linkfair FP 20120810.xlsx"/>
    <s v=".xlsx"/>
    <d v="2014-03-11T00:00:00"/>
    <s v="as\afok"/>
    <s v="FP"/>
    <s v="2012"/>
    <x v="0"/>
    <x v="0"/>
    <x v="0"/>
    <x v="0"/>
    <m/>
    <m/>
    <m/>
    <m/>
    <n v="92"/>
    <m/>
    <m/>
    <m/>
    <m/>
    <m/>
    <m/>
    <m/>
    <m/>
    <m/>
    <m/>
    <m/>
    <s v="FP panel Top 15 and CP panel"/>
    <x v="1"/>
    <x v="2"/>
    <x v="1"/>
    <x v="1"/>
    <m/>
    <m/>
    <m/>
    <n v="1"/>
    <m/>
    <m/>
    <s v="FP"/>
    <s v="CP"/>
    <m/>
    <s v="MOULD"/>
    <x v="10"/>
    <x v="1"/>
    <n v="1"/>
    <x v="42"/>
  </r>
  <r>
    <n v="195"/>
    <x v="149"/>
    <x v="149"/>
    <x v="140"/>
    <x v="0"/>
    <s v="FELICITY YU"/>
    <n v="186"/>
    <s v="SIF"/>
    <s v="Supplier"/>
    <m/>
    <x v="622"/>
    <s v="Linkfair_SIF2013.xls"/>
    <s v=".xls"/>
    <d v="2014-03-11T00:00:00"/>
    <s v="as\afok"/>
    <m/>
    <s v="2013"/>
    <x v="0"/>
    <x v="0"/>
    <x v="0"/>
    <x v="0"/>
    <m/>
    <m/>
    <m/>
    <m/>
    <m/>
    <n v="2013"/>
    <n v="110000000"/>
    <n v="99000000"/>
    <n v="120000000"/>
    <n v="110000000"/>
    <n v="100000000"/>
    <n v="30"/>
    <n v="27"/>
    <n v="31"/>
    <n v="30"/>
    <n v="30"/>
    <s v="FP panel Top 15 and CP panel"/>
    <x v="1"/>
    <x v="2"/>
    <x v="1"/>
    <x v="1"/>
    <m/>
    <m/>
    <m/>
    <n v="1"/>
    <m/>
    <m/>
    <s v="FP"/>
    <s v="CP"/>
    <m/>
    <s v="MOULD"/>
    <x v="10"/>
    <x v="1"/>
    <n v="1"/>
    <x v="42"/>
  </r>
  <r>
    <n v="194"/>
    <x v="149"/>
    <x v="149"/>
    <x v="140"/>
    <x v="0"/>
    <s v="FELICITY YU"/>
    <n v="185"/>
    <s v="SIF"/>
    <s v="Supplier"/>
    <m/>
    <x v="475"/>
    <s v="Linkfair_SIF2012_15Feb12.xls"/>
    <s v=".xls"/>
    <d v="2014-03-11T00:00:00"/>
    <s v="as\afok"/>
    <m/>
    <s v="2012"/>
    <x v="0"/>
    <x v="0"/>
    <x v="0"/>
    <x v="0"/>
    <m/>
    <m/>
    <m/>
    <m/>
    <m/>
    <n v="2012"/>
    <n v="130000000"/>
    <n v="120000000"/>
    <n v="110000000"/>
    <n v="100000000"/>
    <n v="110000000"/>
    <n v="31"/>
    <n v="31"/>
    <n v="30"/>
    <n v="30"/>
    <n v="29"/>
    <s v="FP panel Top 15 and CP panel"/>
    <x v="1"/>
    <x v="2"/>
    <x v="1"/>
    <x v="1"/>
    <m/>
    <m/>
    <m/>
    <n v="1"/>
    <m/>
    <m/>
    <s v="FP"/>
    <s v="CP"/>
    <m/>
    <s v="MOULD"/>
    <x v="10"/>
    <x v="1"/>
    <n v="1"/>
    <x v="42"/>
  </r>
  <r>
    <n v="202"/>
    <x v="149"/>
    <x v="149"/>
    <x v="140"/>
    <x v="0"/>
    <s v="FELICITY YU"/>
    <n v="193"/>
    <s v="SPR"/>
    <s v="Supplier"/>
    <m/>
    <x v="266"/>
    <s v="SPR - Linkfair_ 6Nov12.ppt"/>
    <s v=".ppt"/>
    <d v="2014-03-11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 and CP panel"/>
    <x v="1"/>
    <x v="2"/>
    <x v="1"/>
    <x v="1"/>
    <m/>
    <m/>
    <m/>
    <n v="1"/>
    <m/>
    <m/>
    <s v="FP"/>
    <s v="CP"/>
    <m/>
    <s v="MOULD"/>
    <x v="10"/>
    <x v="1"/>
    <n v="1"/>
    <x v="42"/>
  </r>
  <r>
    <n v="196"/>
    <x v="149"/>
    <x v="149"/>
    <x v="140"/>
    <x v="0"/>
    <s v="FELICITY YU"/>
    <n v="187"/>
    <s v="SPR"/>
    <s v="Supplier"/>
    <m/>
    <x v="142"/>
    <s v="LINKFAIR_SPR_2013.pptx"/>
    <s v=".pptx"/>
    <d v="2014-03-11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 and CP panel"/>
    <x v="1"/>
    <x v="2"/>
    <x v="1"/>
    <x v="1"/>
    <m/>
    <m/>
    <m/>
    <n v="1"/>
    <m/>
    <m/>
    <s v="FP"/>
    <s v="CP"/>
    <m/>
    <s v="MOULD"/>
    <x v="10"/>
    <x v="1"/>
    <n v="1"/>
    <x v="42"/>
  </r>
  <r>
    <n v="201"/>
    <x v="149"/>
    <x v="149"/>
    <x v="140"/>
    <x v="0"/>
    <s v="FELICITY YU"/>
    <n v="192"/>
    <s v="SPR"/>
    <s v="Supplier"/>
    <m/>
    <x v="184"/>
    <s v="SPR - Linkfair (handle 7May12).pptx"/>
    <s v=".pptx"/>
    <d v="2014-03-11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 and CP panel"/>
    <x v="1"/>
    <x v="2"/>
    <x v="1"/>
    <x v="1"/>
    <m/>
    <m/>
    <m/>
    <n v="1"/>
    <m/>
    <m/>
    <s v="FP"/>
    <s v="CP"/>
    <m/>
    <s v="MOULD"/>
    <x v="10"/>
    <x v="1"/>
    <n v="1"/>
    <x v="42"/>
  </r>
  <r>
    <n v="2651"/>
    <x v="150"/>
    <x v="150"/>
    <x v="141"/>
    <x v="0"/>
    <s v="KITTY LAI"/>
    <n v="2494"/>
    <s v="Contract: General Contract"/>
    <s v="Supplier"/>
    <m/>
    <x v="611"/>
    <s v="Magician_General Agreement_11Sep12.pdf"/>
    <s v=".pdf"/>
    <d v="2014-04-24T00:00:00"/>
    <s v="as\afok"/>
    <s v="Magician Industrial Co. Ltd"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m/>
    <m/>
    <x v="1"/>
    <x v="1"/>
    <m/>
    <x v="0"/>
  </r>
  <r>
    <n v="2646"/>
    <x v="150"/>
    <x v="150"/>
    <x v="141"/>
    <x v="0"/>
    <s v="KITTY LAI"/>
    <n v="2489"/>
    <s v="Contract: General Contract"/>
    <s v="Supplier"/>
    <m/>
    <x v="29"/>
    <s v="Lisi_General Agreement_9Jul12.pdf"/>
    <s v=".pdf"/>
    <d v="2014-04-24T00:00:00"/>
    <s v="as\afok"/>
    <s v="Lisi Group (Holdings) Limited"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m/>
    <m/>
    <x v="1"/>
    <x v="1"/>
    <m/>
    <x v="0"/>
  </r>
  <r>
    <n v="2649"/>
    <x v="150"/>
    <x v="150"/>
    <x v="141"/>
    <x v="0"/>
    <s v="KITTY LAI"/>
    <n v="2492"/>
    <s v="Contract: Quality Appendix"/>
    <s v="Supplier"/>
    <m/>
    <x v="29"/>
    <s v="Lisi_General Agreement_9Jul12.pdf"/>
    <s v=".pdf"/>
    <d v="2014-04-24T00:00:00"/>
    <s v="as\afok"/>
    <s v="Lisi Group (Holdings) Limited"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s v="CP"/>
    <m/>
    <m/>
    <x v="1"/>
    <x v="1"/>
    <m/>
    <x v="0"/>
  </r>
  <r>
    <n v="2654"/>
    <x v="150"/>
    <x v="150"/>
    <x v="141"/>
    <x v="0"/>
    <s v="KITTY LAI"/>
    <n v="2497"/>
    <s v="Contract: Quality Appendix"/>
    <s v="Supplier"/>
    <m/>
    <x v="611"/>
    <s v="Magician_General Agreement_11Sep12.pdf"/>
    <s v=".pdf"/>
    <d v="2014-04-24T00:00:00"/>
    <s v="as\afok"/>
    <s v="Magician Industrial Co. Ltd"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s v="CP"/>
    <m/>
    <m/>
    <x v="1"/>
    <x v="1"/>
    <m/>
    <x v="0"/>
  </r>
  <r>
    <n v="2653"/>
    <x v="150"/>
    <x v="150"/>
    <x v="141"/>
    <x v="0"/>
    <s v="KITTY LAI"/>
    <n v="2496"/>
    <s v="Contract: Supply Chain Appendix"/>
    <s v="Supplier"/>
    <m/>
    <x v="611"/>
    <s v="Magician_General Agreement_11Sep12.pdf"/>
    <s v=".pdf"/>
    <d v="2014-04-24T00:00:00"/>
    <s v="as\afok"/>
    <s v="Magician Industrial Co. Ltd"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s v="CP"/>
    <m/>
    <m/>
    <x v="1"/>
    <x v="1"/>
    <m/>
    <x v="0"/>
  </r>
  <r>
    <n v="2648"/>
    <x v="150"/>
    <x v="150"/>
    <x v="141"/>
    <x v="0"/>
    <s v="KITTY LAI"/>
    <n v="2491"/>
    <s v="Contract: Supply Chain Appendix"/>
    <s v="Supplier"/>
    <m/>
    <x v="29"/>
    <s v="Lisi_General Agreement_9Jul12.pdf"/>
    <s v=".pdf"/>
    <d v="2014-04-24T00:00:00"/>
    <s v="as\afok"/>
    <s v="Lisi Group (Holdings) Limited"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s v="CP"/>
    <m/>
    <m/>
    <x v="1"/>
    <x v="1"/>
    <m/>
    <x v="0"/>
  </r>
  <r>
    <n v="2655"/>
    <x v="150"/>
    <x v="150"/>
    <x v="141"/>
    <x v="0"/>
    <s v="KITTY LAI"/>
    <n v="2498"/>
    <s v="Declaration letter of group organization"/>
    <s v="Supplier"/>
    <m/>
    <x v="623"/>
    <s v="Magician_General Agreement_11Sep12.pdf"/>
    <s v=".pdf"/>
    <d v="2014-04-24T00:00:00"/>
    <s v="as\afok"/>
    <s v="Magician Industrial Co. Ltd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s v="CP"/>
    <m/>
    <m/>
    <x v="1"/>
    <x v="1"/>
    <m/>
    <x v="0"/>
  </r>
  <r>
    <n v="2650"/>
    <x v="150"/>
    <x v="150"/>
    <x v="141"/>
    <x v="0"/>
    <s v="KITTY LAI"/>
    <n v="2493"/>
    <s v="Declaration letter of group organization"/>
    <s v="Supplier"/>
    <m/>
    <x v="322"/>
    <s v="Lisi_General Agreement_9Jul12.pdf"/>
    <s v=".pdf"/>
    <d v="2014-04-24T00:00:00"/>
    <s v="as\afok"/>
    <s v="Lisi Group (Holdings) Limited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x v="1"/>
    <x v="1"/>
    <m/>
    <x v="0"/>
  </r>
  <r>
    <n v="2647"/>
    <x v="150"/>
    <x v="150"/>
    <x v="141"/>
    <x v="0"/>
    <s v="KITTY LAI"/>
    <n v="2490"/>
    <s v="Environmental Declaration"/>
    <s v="Supplier"/>
    <m/>
    <x v="624"/>
    <s v="Lisi_General Agreement_9Jul12.pdf"/>
    <s v=".pdf"/>
    <d v="2014-04-24T00:00:00"/>
    <s v="as\afok"/>
    <s v="Lisi Household (Shenzhen) Co., Ltd"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x v="1"/>
    <x v="1"/>
    <m/>
    <x v="0"/>
  </r>
  <r>
    <n v="2652"/>
    <x v="150"/>
    <x v="150"/>
    <x v="141"/>
    <x v="0"/>
    <s v="KITTY LAI"/>
    <n v="2495"/>
    <s v="Environmental Declaration"/>
    <s v="Supplier"/>
    <m/>
    <x v="623"/>
    <s v="Magician_General Agreement_11Sep12.pdf"/>
    <s v=".pdf"/>
    <d v="2014-04-24T00:00:00"/>
    <s v="as\afok"/>
    <s v="Magician Industrial Co. Ltd"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x v="1"/>
    <x v="1"/>
    <m/>
    <x v="0"/>
  </r>
  <r>
    <n v="2645"/>
    <x v="150"/>
    <x v="150"/>
    <x v="141"/>
    <x v="0"/>
    <s v="KITTY LAI"/>
    <n v="2488"/>
    <s v="Responsible Purchasing Charter"/>
    <s v="Supplier"/>
    <m/>
    <x v="72"/>
    <s v="Magician_Responsible Purchasing Charter_24Sep12.pdf"/>
    <s v=".pdf"/>
    <d v="2014-04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x v="1"/>
    <x v="1"/>
    <m/>
    <x v="0"/>
  </r>
  <r>
    <n v="2644"/>
    <x v="150"/>
    <x v="150"/>
    <x v="141"/>
    <x v="0"/>
    <s v="KITTY LAI"/>
    <n v="2487"/>
    <s v="SIF"/>
    <s v="Supplier"/>
    <m/>
    <x v="523"/>
    <s v="Magician_SIF2013.xls"/>
    <s v=".xls"/>
    <d v="2014-04-24T00:00:00"/>
    <s v="as\afok"/>
    <m/>
    <s v="2013"/>
    <x v="0"/>
    <x v="0"/>
    <x v="0"/>
    <x v="0"/>
    <m/>
    <m/>
    <m/>
    <m/>
    <m/>
    <n v="2013"/>
    <n v="39000000"/>
    <n v="38000000"/>
    <n v="36000000"/>
    <n v="36250000"/>
    <n v="32250000"/>
    <m/>
    <m/>
    <m/>
    <m/>
    <m/>
    <m/>
    <x v="0"/>
    <x v="0"/>
    <x v="0"/>
    <x v="0"/>
    <m/>
    <m/>
    <m/>
    <n v="1"/>
    <m/>
    <m/>
    <s v="FP"/>
    <s v="CP"/>
    <m/>
    <m/>
    <x v="1"/>
    <x v="1"/>
    <m/>
    <x v="0"/>
  </r>
  <r>
    <n v="1809"/>
    <x v="151"/>
    <x v="151"/>
    <x v="142"/>
    <x v="0"/>
    <s v="KA WING KELVIN CHAN"/>
    <n v="1766"/>
    <s v="Contract: General Contract"/>
    <s v="Supplier"/>
    <m/>
    <x v="625"/>
    <s v="LOMAK-DEVELOPMENT AND SUPPLY AGREEMENT-12032009.pdf"/>
    <s v=".pdf"/>
    <d v="2014-04-09T00:00:00"/>
    <s v="as\afok"/>
    <m/>
    <s v="FHA 00 016 ind.07"/>
    <x v="4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m/>
    <m/>
    <s v="FP"/>
    <m/>
    <s v="SP"/>
    <m/>
    <x v="9"/>
    <x v="1"/>
    <m/>
    <x v="10"/>
  </r>
  <r>
    <n v="1802"/>
    <x v="151"/>
    <x v="151"/>
    <x v="142"/>
    <x v="0"/>
    <s v="KA WING KELVIN CHAN"/>
    <n v="1759"/>
    <s v="Contract: General Contract"/>
    <s v="Supplier"/>
    <m/>
    <x v="12"/>
    <s v="Lomak_General Agreement_17Feb12.pdf"/>
    <s v=".pdf"/>
    <d v="2014-04-09T00:00:00"/>
    <s v="as\afok"/>
    <m/>
    <s v="FHA 00 016 ind.11"/>
    <x v="4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m/>
    <m/>
    <s v="FP"/>
    <m/>
    <s v="SP"/>
    <m/>
    <x v="9"/>
    <x v="1"/>
    <m/>
    <x v="10"/>
  </r>
  <r>
    <n v="1805"/>
    <x v="151"/>
    <x v="151"/>
    <x v="142"/>
    <x v="0"/>
    <s v="KA WING KELVIN CHAN"/>
    <n v="1762"/>
    <s v="Contract: Quality Appendix"/>
    <s v="Supplier"/>
    <m/>
    <x v="12"/>
    <s v="Lomak_General Agreement_17Feb12.pdf"/>
    <s v=".pdf"/>
    <d v="2014-04-09T00:00:00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1"/>
    <x v="0"/>
    <x v="0"/>
    <m/>
    <n v="1"/>
    <m/>
    <n v="1"/>
    <m/>
    <m/>
    <s v="FP"/>
    <m/>
    <s v="SP"/>
    <m/>
    <x v="9"/>
    <x v="1"/>
    <m/>
    <x v="10"/>
  </r>
  <r>
    <n v="1810"/>
    <x v="151"/>
    <x v="151"/>
    <x v="142"/>
    <x v="0"/>
    <s v="KA WING KELVIN CHAN"/>
    <n v="1767"/>
    <s v="Contract: Quality Appendix"/>
    <s v="Supplier"/>
    <m/>
    <x v="625"/>
    <s v="LOMAK-APPENDIX 3-12032009.PDF"/>
    <s v=".pdf"/>
    <d v="2014-04-09T00:00:00"/>
    <s v="as\afok"/>
    <m/>
    <m/>
    <x v="0"/>
    <x v="0"/>
    <x v="0"/>
    <x v="4"/>
    <m/>
    <m/>
    <m/>
    <m/>
    <m/>
    <m/>
    <m/>
    <m/>
    <m/>
    <m/>
    <m/>
    <m/>
    <m/>
    <m/>
    <m/>
    <m/>
    <s v="FP panel"/>
    <x v="1"/>
    <x v="1"/>
    <x v="0"/>
    <x v="0"/>
    <m/>
    <n v="1"/>
    <m/>
    <n v="1"/>
    <n v="1"/>
    <m/>
    <s v="FP"/>
    <m/>
    <s v="SP"/>
    <m/>
    <x v="9"/>
    <x v="1"/>
    <m/>
    <x v="10"/>
  </r>
  <r>
    <n v="1804"/>
    <x v="151"/>
    <x v="151"/>
    <x v="142"/>
    <x v="0"/>
    <s v="KA WING KELVIN CHAN"/>
    <n v="1761"/>
    <s v="Contract: Supply Chain Appendix"/>
    <s v="Supplier"/>
    <m/>
    <x v="12"/>
    <s v="Lomak_General Agreement_17Feb12.pdf"/>
    <s v=".pdf"/>
    <d v="2014-04-09T00:00:00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1"/>
    <x v="0"/>
    <x v="0"/>
    <m/>
    <m/>
    <n v="1"/>
    <n v="1"/>
    <m/>
    <m/>
    <s v="FP"/>
    <m/>
    <s v="SP"/>
    <m/>
    <x v="9"/>
    <x v="1"/>
    <m/>
    <x v="10"/>
  </r>
  <r>
    <n v="1806"/>
    <x v="151"/>
    <x v="151"/>
    <x v="142"/>
    <x v="0"/>
    <s v="KA WING KELVIN CHAN"/>
    <n v="1763"/>
    <s v="Declaration letter of group organization"/>
    <s v="Supplier"/>
    <m/>
    <x v="151"/>
    <s v="Lomak_General Agreement_17Feb12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m/>
    <x v="9"/>
    <x v="1"/>
    <m/>
    <x v="10"/>
  </r>
  <r>
    <n v="1803"/>
    <x v="151"/>
    <x v="151"/>
    <x v="142"/>
    <x v="0"/>
    <s v="KA WING KELVIN CHAN"/>
    <n v="1760"/>
    <s v="Environmental Declaration"/>
    <s v="Supplier"/>
    <m/>
    <x v="151"/>
    <s v="Lomak_General Agreement_17Feb12.pdf"/>
    <s v=".pdf"/>
    <d v="2014-04-09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m/>
    <x v="9"/>
    <x v="1"/>
    <m/>
    <x v="10"/>
  </r>
  <r>
    <n v="1800"/>
    <x v="151"/>
    <x v="151"/>
    <x v="142"/>
    <x v="0"/>
    <s v="KA WING KELVIN CHAN"/>
    <n v="1757"/>
    <s v="Responsible Purchasing Charter"/>
    <s v="Supplier"/>
    <m/>
    <x v="626"/>
    <s v="Lomak RPC 25Mar2013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m/>
    <x v="9"/>
    <x v="1"/>
    <m/>
    <x v="10"/>
  </r>
  <r>
    <n v="1801"/>
    <x v="151"/>
    <x v="151"/>
    <x v="142"/>
    <x v="0"/>
    <s v="KA WING KELVIN CHAN"/>
    <n v="1758"/>
    <s v="SEF"/>
    <s v="Supplier"/>
    <m/>
    <x v="47"/>
    <s v="SEF - Lomak 2012.xlsx"/>
    <s v=".xlsx"/>
    <d v="2014-04-09T00:00:00"/>
    <s v="as\afok"/>
    <m/>
    <s v="2012"/>
    <x v="0"/>
    <x v="0"/>
    <x v="0"/>
    <x v="0"/>
    <m/>
    <m/>
    <m/>
    <m/>
    <n v="87"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m/>
    <x v="9"/>
    <x v="1"/>
    <m/>
    <x v="10"/>
  </r>
  <r>
    <n v="1799"/>
    <x v="151"/>
    <x v="151"/>
    <x v="142"/>
    <x v="0"/>
    <s v="KA WING KELVIN CHAN"/>
    <n v="1756"/>
    <s v="SEF"/>
    <s v="Supplier"/>
    <m/>
    <x v="361"/>
    <s v="SEF Lomak 2013.XLSX"/>
    <s v=".xlsx"/>
    <d v="2014-04-09T00:00:00"/>
    <s v="as\afok"/>
    <m/>
    <s v="2013"/>
    <x v="0"/>
    <x v="0"/>
    <x v="0"/>
    <x v="0"/>
    <m/>
    <m/>
    <m/>
    <m/>
    <n v="69"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m/>
    <x v="9"/>
    <x v="1"/>
    <m/>
    <x v="10"/>
  </r>
  <r>
    <n v="1807"/>
    <x v="151"/>
    <x v="151"/>
    <x v="142"/>
    <x v="0"/>
    <s v="KA WING KELVIN CHAN"/>
    <n v="1764"/>
    <s v="SIF"/>
    <s v="Supplier"/>
    <m/>
    <x v="531"/>
    <s v="Lomak_SIF2012_29Feb12.pdf"/>
    <s v=".pdf"/>
    <d v="2014-04-09T00:00:00"/>
    <s v="as\afok"/>
    <m/>
    <s v="2012"/>
    <x v="0"/>
    <x v="0"/>
    <x v="0"/>
    <x v="0"/>
    <m/>
    <m/>
    <m/>
    <m/>
    <m/>
    <n v="2012"/>
    <n v="27000000"/>
    <n v="26000000"/>
    <n v="23000000"/>
    <n v="26000000"/>
    <n v="30000000"/>
    <n v="6"/>
    <n v="6.6"/>
    <n v="3.7"/>
    <n v="0.5"/>
    <n v="0.5"/>
    <s v="FP panel"/>
    <x v="1"/>
    <x v="1"/>
    <x v="0"/>
    <x v="0"/>
    <m/>
    <m/>
    <m/>
    <n v="1"/>
    <m/>
    <m/>
    <s v="FP"/>
    <m/>
    <s v="SP"/>
    <m/>
    <x v="9"/>
    <x v="1"/>
    <m/>
    <x v="10"/>
  </r>
  <r>
    <n v="1808"/>
    <x v="151"/>
    <x v="151"/>
    <x v="142"/>
    <x v="0"/>
    <s v="KA WING KELVIN CHAN"/>
    <n v="1765"/>
    <s v="SPR"/>
    <s v="Supplier"/>
    <m/>
    <x v="587"/>
    <s v="SPR Lomak_Nov2011.pptx"/>
    <s v=".pptx"/>
    <d v="2014-04-09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m/>
    <x v="9"/>
    <x v="1"/>
    <m/>
    <x v="10"/>
  </r>
  <r>
    <n v="1287"/>
    <x v="152"/>
    <x v="152"/>
    <x v="143"/>
    <x v="2"/>
    <s v="GODFREY LI"/>
    <n v="1257"/>
    <s v="Contract: General Contract"/>
    <s v="Supplier"/>
    <m/>
    <x v="290"/>
    <s v="Lundar_General Agreement_ind.11_2012-05-22.pdf"/>
    <s v=".pdf"/>
    <d v="2014-03-28T00:00:00"/>
    <s v="as\afok"/>
    <m/>
    <s v="FHA 00 016 ind.11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x v="4"/>
    <x v="1"/>
    <m/>
    <x v="43"/>
  </r>
  <r>
    <n v="1291"/>
    <x v="152"/>
    <x v="152"/>
    <x v="143"/>
    <x v="2"/>
    <s v="GODFREY LI"/>
    <n v="1261"/>
    <s v="Contract: Quality Appendix"/>
    <s v="Supplier"/>
    <m/>
    <x v="472"/>
    <s v="Lundar_General Agreement_ind.11_2012-05-22.pdf"/>
    <s v=".pdf"/>
    <d v="2014-03-28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x v="4"/>
    <x v="1"/>
    <m/>
    <x v="43"/>
  </r>
  <r>
    <n v="1289"/>
    <x v="152"/>
    <x v="152"/>
    <x v="143"/>
    <x v="2"/>
    <s v="GODFREY LI"/>
    <n v="1259"/>
    <s v="Contract: Supply Chain Appendix"/>
    <s v="Supplier"/>
    <m/>
    <x v="290"/>
    <s v="Lundar_General Agreement_ind.11_2012-05-22.pdf"/>
    <s v=".pdf"/>
    <d v="2014-03-28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x v="4"/>
    <x v="1"/>
    <m/>
    <x v="43"/>
  </r>
  <r>
    <n v="1290"/>
    <x v="152"/>
    <x v="152"/>
    <x v="143"/>
    <x v="2"/>
    <s v="GODFREY LI"/>
    <n v="1260"/>
    <s v="Declaration letter of group organization"/>
    <s v="Supplier"/>
    <m/>
    <x v="614"/>
    <s v="Lundar_General Agreement_ind.11_2012-05-22.pdf"/>
    <s v=".pdf"/>
    <d v="2014-03-2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43"/>
  </r>
  <r>
    <n v="1288"/>
    <x v="152"/>
    <x v="152"/>
    <x v="143"/>
    <x v="2"/>
    <s v="GODFREY LI"/>
    <n v="1258"/>
    <s v="Environmental Declaration"/>
    <s v="Supplier"/>
    <m/>
    <x v="290"/>
    <s v="Lundar_General Agreement_ind.11_2012-05-22.pdf"/>
    <s v=".pdf"/>
    <d v="2014-03-28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43"/>
  </r>
  <r>
    <n v="1294"/>
    <x v="152"/>
    <x v="152"/>
    <x v="143"/>
    <x v="2"/>
    <s v="GODFREY LI"/>
    <n v="1264"/>
    <s v="Exclusivity (EA)"/>
    <s v="Product / Project"/>
    <m/>
    <x v="86"/>
    <s v="Lundar_Exclusivity Agreement_Food dehydrator_24Nov11.pdf"/>
    <s v=".pdf"/>
    <d v="2014-03-28T00:00:00"/>
    <s v="as\afok"/>
    <m/>
    <s v="FRD 6E 030 ind.00"/>
    <x v="0"/>
    <x v="0"/>
    <x v="0"/>
    <x v="0"/>
    <s v="Food dehydrator"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s v="MOULD"/>
    <x v="4"/>
    <x v="1"/>
    <m/>
    <x v="43"/>
  </r>
  <r>
    <n v="1286"/>
    <x v="152"/>
    <x v="152"/>
    <x v="143"/>
    <x v="2"/>
    <s v="GODFREY LI"/>
    <n v="1256"/>
    <s v="Exclusivity (EA)"/>
    <s v="Product / Project"/>
    <m/>
    <x v="121"/>
    <s v="Lundar_EA_Vertical Rotisserie_20Mar12.pdf"/>
    <s v=".pdf"/>
    <d v="2014-03-28T00:00:00"/>
    <s v="as\afok"/>
    <m/>
    <m/>
    <x v="0"/>
    <x v="0"/>
    <x v="0"/>
    <x v="0"/>
    <s v="Vertical Rotisseri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43"/>
  </r>
  <r>
    <n v="1284"/>
    <x v="152"/>
    <x v="152"/>
    <x v="143"/>
    <x v="2"/>
    <s v="GODFREY LI"/>
    <n v="1254"/>
    <s v="Exclusivity (EA)"/>
    <s v="Supplier"/>
    <m/>
    <x v="480"/>
    <s v="Lundar Exclusivity Summary 2011-11-01.xlsx"/>
    <s v=".xlsx"/>
    <d v="2014-03-28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43"/>
  </r>
  <r>
    <n v="1293"/>
    <x v="152"/>
    <x v="152"/>
    <x v="143"/>
    <x v="2"/>
    <s v="GODFREY LI"/>
    <n v="1263"/>
    <s v="IP (Intellectual Property)"/>
    <s v="Product / Project"/>
    <m/>
    <x v="121"/>
    <s v="Lundar_IP_Vertical Rotisserie_20Mar12.pdf"/>
    <s v=".pdf"/>
    <d v="2014-03-28T00:00:00"/>
    <s v="as\afok"/>
    <m/>
    <m/>
    <x v="0"/>
    <x v="0"/>
    <x v="0"/>
    <x v="0"/>
    <s v="Vertical Rotisseri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43"/>
  </r>
  <r>
    <n v="1292"/>
    <x v="152"/>
    <x v="152"/>
    <x v="143"/>
    <x v="2"/>
    <s v="GODFREY LI"/>
    <n v="1262"/>
    <s v="Responsible Purchasing Charter"/>
    <s v="Supplier"/>
    <m/>
    <x v="320"/>
    <s v="Lundar - Responsible Purchasing Charter.pdf"/>
    <s v=".pdf"/>
    <d v="2014-03-2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43"/>
  </r>
  <r>
    <n v="1285"/>
    <x v="152"/>
    <x v="152"/>
    <x v="143"/>
    <x v="2"/>
    <s v="GODFREY LI"/>
    <n v="1255"/>
    <s v="SEF"/>
    <s v="Supplier"/>
    <m/>
    <x v="128"/>
    <s v="Lundar SEF 2011.xlsx"/>
    <s v=".xlsx"/>
    <d v="2014-03-28T00:00:00"/>
    <s v="as\afok"/>
    <m/>
    <s v="2011"/>
    <x v="0"/>
    <x v="0"/>
    <x v="0"/>
    <x v="0"/>
    <m/>
    <m/>
    <m/>
    <m/>
    <n v="61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43"/>
  </r>
  <r>
    <n v="1283"/>
    <x v="152"/>
    <x v="152"/>
    <x v="143"/>
    <x v="2"/>
    <s v="GODFREY LI"/>
    <n v="1253"/>
    <s v="SIF"/>
    <s v="Supplier"/>
    <m/>
    <x v="27"/>
    <s v="Lundar - SIF 2013.xls"/>
    <s v=".xls"/>
    <d v="2014-03-28T00:00:00"/>
    <s v="as\afok"/>
    <m/>
    <s v="2013"/>
    <x v="0"/>
    <x v="0"/>
    <x v="0"/>
    <x v="0"/>
    <m/>
    <m/>
    <m/>
    <m/>
    <m/>
    <n v="2013"/>
    <n v="3100000"/>
    <n v="2750000"/>
    <m/>
    <m/>
    <m/>
    <m/>
    <n v="19"/>
    <m/>
    <m/>
    <m/>
    <m/>
    <x v="0"/>
    <x v="0"/>
    <x v="0"/>
    <x v="0"/>
    <m/>
    <m/>
    <m/>
    <n v="1"/>
    <m/>
    <m/>
    <s v="FP"/>
    <m/>
    <s v="SP"/>
    <s v="MOULD"/>
    <x v="4"/>
    <x v="1"/>
    <m/>
    <x v="43"/>
  </r>
  <r>
    <n v="39"/>
    <x v="153"/>
    <x v="153"/>
    <x v="144"/>
    <x v="2"/>
    <s v="DENNIS LAM"/>
    <n v="33"/>
    <s v="Contract: General Contract"/>
    <s v="Supplier"/>
    <d v="2015-12-31T00:00:00"/>
    <x v="236"/>
    <s v="Main Power_General Agreement (ind.10) 2013-02-07.pdf"/>
    <s v=".pdf"/>
    <d v="2014-03-04T00:00:00"/>
    <s v="as\afok"/>
    <m/>
    <s v="FHA00016 ind.10 "/>
    <x v="3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s v="CP"/>
    <s v="SP"/>
    <m/>
    <x v="14"/>
    <x v="1"/>
    <n v="1"/>
    <x v="44"/>
  </r>
  <r>
    <n v="203"/>
    <x v="153"/>
    <x v="153"/>
    <x v="144"/>
    <x v="2"/>
    <s v="DENNIS LAM"/>
    <n v="194"/>
    <s v="Contract: Supply Chain Appendix"/>
    <s v="Supplier"/>
    <m/>
    <x v="556"/>
    <s v="Main Power_General Agreement (ind.10) 2013-02-07.pdf"/>
    <s v=".pdf"/>
    <d v="2014-03-11T00:00:00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0"/>
    <m/>
    <m/>
    <s v="FP"/>
    <s v="CP"/>
    <s v="SP"/>
    <m/>
    <x v="14"/>
    <x v="1"/>
    <n v="1"/>
    <x v="44"/>
  </r>
  <r>
    <n v="571"/>
    <x v="153"/>
    <x v="153"/>
    <x v="144"/>
    <x v="2"/>
    <s v="DENNIS LAM"/>
    <n v="556"/>
    <s v="Declaration letter of group organization"/>
    <s v="Supplier"/>
    <m/>
    <x v="611"/>
    <s v="Main Power_General Agreement (ind.10) 2013-02-07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n v="1"/>
    <s v="FP"/>
    <s v="CP"/>
    <s v="SP"/>
    <m/>
    <x v="14"/>
    <x v="1"/>
    <n v="1"/>
    <x v="44"/>
  </r>
  <r>
    <n v="204"/>
    <x v="153"/>
    <x v="153"/>
    <x v="144"/>
    <x v="2"/>
    <s v="DENNIS LAM"/>
    <n v="195"/>
    <s v="Environmental Declaration"/>
    <s v="Supplier"/>
    <m/>
    <x v="556"/>
    <s v="Main Power_General Agreement (ind.10) 2013-02-07.pdf"/>
    <s v=".pdf"/>
    <d v="2014-03-11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05"/>
    <x v="153"/>
    <x v="153"/>
    <x v="144"/>
    <x v="2"/>
    <s v="DENNIS LAM"/>
    <n v="196"/>
    <s v="Environmental Declaration"/>
    <s v="Supplier"/>
    <m/>
    <x v="627"/>
    <s v="MAINPOWER_Env_Evaluation_201003.xls"/>
    <s v=".xls"/>
    <d v="2014-03-11T00:00:00"/>
    <s v="as\afok"/>
    <m/>
    <s v="2010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09"/>
    <x v="153"/>
    <x v="153"/>
    <x v="144"/>
    <x v="2"/>
    <s v="DENNIS LAM"/>
    <n v="200"/>
    <s v="Foodstuffs declaration"/>
    <s v="Supplier"/>
    <m/>
    <x v="628"/>
    <s v="Main Power - Food declaration 27May10.pdf"/>
    <s v=".pdf"/>
    <d v="2014-03-11T00:00:00"/>
    <s v="as\afok"/>
    <m/>
    <s v="FRD00069 ind.04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07"/>
    <x v="153"/>
    <x v="153"/>
    <x v="144"/>
    <x v="2"/>
    <s v="DENNIS LAM"/>
    <n v="198"/>
    <s v="ISO 14001"/>
    <s v="Supplier"/>
    <d v="2014-05-25T00:00:00"/>
    <x v="314"/>
    <s v="ISO14001-2004 Certificate CC5333.pdf"/>
    <s v=".pdf"/>
    <d v="2014-03-11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06"/>
    <x v="153"/>
    <x v="153"/>
    <x v="144"/>
    <x v="2"/>
    <s v="DENNIS LAM"/>
    <n v="197"/>
    <s v="ISO 9001"/>
    <s v="Supplier"/>
    <d v="2012-01-21T00:00:00"/>
    <x v="629"/>
    <s v="ISO9001-2008  Certificate CC3777.pdf"/>
    <s v=".pdf"/>
    <d v="2014-03-11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10"/>
    <x v="153"/>
    <x v="153"/>
    <x v="144"/>
    <x v="2"/>
    <s v="DENNIS LAM"/>
    <n v="201"/>
    <s v="LOC (Letter of Confidentiality)"/>
    <s v="Supplier"/>
    <m/>
    <x v="210"/>
    <s v="Main Power - LOC (HAMBOURG) 7May10.pdf"/>
    <s v=".pdf"/>
    <d v="2014-03-11T00:00:00"/>
    <s v="as\afok"/>
    <s v="HAMBOURG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11"/>
    <x v="153"/>
    <x v="153"/>
    <x v="144"/>
    <x v="2"/>
    <s v="DENNIS LAM"/>
    <n v="202"/>
    <s v="LOC (Letter of Confidentiality)"/>
    <s v="Product / Project"/>
    <m/>
    <x v="630"/>
    <s v="Main Power - LOC (HBX) 20Dec10.pdf"/>
    <s v=".pdf"/>
    <d v="2014-03-11T00:00:00"/>
    <s v="as\afok"/>
    <s v="_x000d__x000a_"/>
    <m/>
    <x v="0"/>
    <x v="0"/>
    <x v="0"/>
    <x v="0"/>
    <s v="HBX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12"/>
    <x v="153"/>
    <x v="153"/>
    <x v="144"/>
    <x v="2"/>
    <s v="DENNIS LAM"/>
    <n v="203"/>
    <s v="LOC (Letter of Confidentiality)"/>
    <s v="Product / Project"/>
    <m/>
    <x v="210"/>
    <s v="Main Power - LOC (ZEPHIR) 7May10.pdf"/>
    <s v=".pdf"/>
    <d v="2014-03-11T00:00:00"/>
    <s v="as\afok"/>
    <m/>
    <m/>
    <x v="0"/>
    <x v="0"/>
    <x v="0"/>
    <x v="0"/>
    <s v="ZEPHI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14"/>
    <x v="153"/>
    <x v="153"/>
    <x v="144"/>
    <x v="2"/>
    <s v="DENNIS LAM"/>
    <n v="205"/>
    <s v="Responsible Purchasing Charter"/>
    <s v="Supplier"/>
    <m/>
    <x v="228"/>
    <s v="Main Power - Responsible.Purchasing.Charter (ENG).pdf"/>
    <s v=".pdf"/>
    <d v="2014-03-11T00:00:00"/>
    <s v="as\afok"/>
    <s v="English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13"/>
    <x v="153"/>
    <x v="153"/>
    <x v="144"/>
    <x v="2"/>
    <s v="DENNIS LAM"/>
    <n v="204"/>
    <s v="Responsible Purchasing Charter"/>
    <s v="Supplier"/>
    <m/>
    <x v="228"/>
    <s v="Main Power - Responsible.Purchasing.Charter (CH).pdf"/>
    <s v=".pdf"/>
    <d v="2014-03-11T00:00:00"/>
    <s v="as\afok"/>
    <s v="Chinese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18"/>
    <x v="153"/>
    <x v="153"/>
    <x v="144"/>
    <x v="2"/>
    <s v="DENNIS LAM"/>
    <n v="209"/>
    <s v="SEF"/>
    <s v="Supplier"/>
    <m/>
    <x v="631"/>
    <s v="MAIN POWER_ SEF_JUN 2012.xlsx"/>
    <s v=".xlsx"/>
    <d v="2014-03-11T00:00:00"/>
    <s v="as\afok"/>
    <m/>
    <s v="2012"/>
    <x v="0"/>
    <x v="0"/>
    <x v="0"/>
    <x v="0"/>
    <m/>
    <m/>
    <m/>
    <m/>
    <n v="73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20"/>
    <x v="153"/>
    <x v="153"/>
    <x v="144"/>
    <x v="2"/>
    <s v="DENNIS LAM"/>
    <n v="211"/>
    <s v="SEF"/>
    <s v="Supplier"/>
    <m/>
    <x v="592"/>
    <s v="SEF-Main Power 2013 Jun.xlsx"/>
    <s v=".xlsx"/>
    <d v="2014-03-12T00:00:00"/>
    <s v="as\afok"/>
    <m/>
    <s v="2013"/>
    <x v="0"/>
    <x v="0"/>
    <x v="0"/>
    <x v="0"/>
    <m/>
    <m/>
    <m/>
    <m/>
    <n v="84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08"/>
    <x v="153"/>
    <x v="153"/>
    <x v="144"/>
    <x v="2"/>
    <s v="DENNIS LAM"/>
    <n v="199"/>
    <s v="SIF"/>
    <s v="Supplier"/>
    <m/>
    <x v="158"/>
    <s v="Main Power - FHA6E502_EN_-_SIF 2013.xlsx"/>
    <s v=".xlsx"/>
    <d v="2014-03-11T00:00:00"/>
    <s v="as\afok"/>
    <m/>
    <s v="2013"/>
    <x v="0"/>
    <x v="0"/>
    <x v="0"/>
    <x v="0"/>
    <m/>
    <m/>
    <m/>
    <m/>
    <m/>
    <n v="2013"/>
    <n v="120000000"/>
    <n v="113000000"/>
    <n v="116000000"/>
    <n v="100000000"/>
    <n v="98000000"/>
    <m/>
    <n v="21"/>
    <n v="14"/>
    <n v="9"/>
    <n v="11"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19"/>
    <x v="153"/>
    <x v="153"/>
    <x v="144"/>
    <x v="2"/>
    <s v="DENNIS LAM"/>
    <n v="210"/>
    <s v="SIF"/>
    <s v="Supplier"/>
    <m/>
    <x v="463"/>
    <s v="MAIN POWER_SIF 2012_16Mar12.xls"/>
    <s v=".xls"/>
    <d v="2014-03-12T00:00:00"/>
    <s v="as\afok"/>
    <m/>
    <s v="2012"/>
    <x v="0"/>
    <x v="0"/>
    <x v="0"/>
    <x v="0"/>
    <m/>
    <m/>
    <m/>
    <m/>
    <m/>
    <n v="2012"/>
    <n v="120000000"/>
    <n v="113000000"/>
    <n v="116000000"/>
    <n v="100000000"/>
    <n v="98000000"/>
    <n v="8"/>
    <n v="8"/>
    <n v="8"/>
    <n v="9"/>
    <n v="11"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22"/>
    <x v="153"/>
    <x v="153"/>
    <x v="144"/>
    <x v="2"/>
    <s v="DENNIS LAM"/>
    <n v="213"/>
    <s v="Social Audit"/>
    <s v="Supplier"/>
    <m/>
    <x v="347"/>
    <s v="SEB Asia-SZXWT00675955-Main Power Industrial (Shen Zhen) Co  Ltd -Mar 13 2013-Report.pdf"/>
    <s v=".pdf"/>
    <d v="2014-03-12T00:00:00"/>
    <s v="as\afok"/>
    <m/>
    <m/>
    <x v="0"/>
    <x v="0"/>
    <x v="0"/>
    <x v="0"/>
    <m/>
    <s v="SGS"/>
    <s v="Initial"/>
    <s v="Major"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15"/>
    <x v="153"/>
    <x v="153"/>
    <x v="144"/>
    <x v="2"/>
    <s v="DENNIS LAM"/>
    <n v="206"/>
    <s v="Social Audit"/>
    <s v="Supplier"/>
    <m/>
    <x v="190"/>
    <s v="Main Power Social Audit Letter with Major - 20130523.pdf"/>
    <s v=".pdf"/>
    <d v="2014-03-11T00:00:00"/>
    <s v="as\afok"/>
    <s v="Social Audit Letter_x000d__x000a_"/>
    <m/>
    <x v="0"/>
    <x v="0"/>
    <x v="0"/>
    <x v="0"/>
    <m/>
    <s v="SEB Asia"/>
    <s v="Initial"/>
    <s v="Major"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21"/>
    <x v="153"/>
    <x v="153"/>
    <x v="144"/>
    <x v="2"/>
    <s v="DENNIS LAM"/>
    <n v="212"/>
    <s v="Social Audit CAP"/>
    <s v="Supplier"/>
    <m/>
    <x v="347"/>
    <s v="SEB Asia-SZXWT00675955-Main Power Industrial (Shen Zhen) Co  Ltd -Mar 13 2013-CAP.DOC"/>
    <s v=".doc"/>
    <d v="2014-03-12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16"/>
    <x v="153"/>
    <x v="153"/>
    <x v="144"/>
    <x v="2"/>
    <s v="DENNIS LAM"/>
    <n v="207"/>
    <s v="SPR"/>
    <s v="Supplier"/>
    <m/>
    <x v="632"/>
    <s v="Main Power SPR 2013 v1 after meeting on 20131004.pptx"/>
    <s v=".pptx"/>
    <d v="2014-03-11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17"/>
    <x v="153"/>
    <x v="153"/>
    <x v="144"/>
    <x v="2"/>
    <s v="DENNIS LAM"/>
    <n v="208"/>
    <s v="SPR"/>
    <s v="Supplier"/>
    <m/>
    <x v="623"/>
    <s v="Main Power VPI Sept_2012 v2 - SPR.pptx"/>
    <s v=".pptx"/>
    <d v="2014-03-11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m/>
    <x v="14"/>
    <x v="1"/>
    <n v="1"/>
    <x v="44"/>
  </r>
  <r>
    <n v="2078"/>
    <x v="154"/>
    <x v="154"/>
    <x v="145"/>
    <x v="4"/>
    <s v="RICKY LAM"/>
    <n v="2021"/>
    <s v="Contract: General Contract"/>
    <s v="Supplier"/>
    <m/>
    <x v="597"/>
    <s v="Agreement_Malaplast_V8_22-Jan-2014.pdf"/>
    <s v=".pdf"/>
    <d v="2014-04-11T00:00:00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2"/>
  </r>
  <r>
    <n v="2083"/>
    <x v="154"/>
    <x v="154"/>
    <x v="145"/>
    <x v="4"/>
    <s v="RICKY LAM"/>
    <n v="2026"/>
    <s v="Contract: General Contract"/>
    <s v="Supplier"/>
    <m/>
    <x v="633"/>
    <s v="Purchase_agreement_Malaplast.pdf"/>
    <s v=".pdf"/>
    <d v="2014-04-11T00:00:00"/>
    <s v="as\afok"/>
    <m/>
    <s v="V5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2"/>
  </r>
  <r>
    <n v="2084"/>
    <x v="154"/>
    <x v="154"/>
    <x v="145"/>
    <x v="4"/>
    <s v="RICKY LAM"/>
    <n v="2027"/>
    <s v="Contract: Quality Appendix"/>
    <s v="Supplier"/>
    <m/>
    <x v="634"/>
    <s v="Purchase_agreement_Malaplast.pdf"/>
    <s v=".pdf"/>
    <d v="2014-04-11T00:00:00"/>
    <s v="as\afok"/>
    <m/>
    <s v="FHA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2"/>
  </r>
  <r>
    <n v="2079"/>
    <x v="154"/>
    <x v="154"/>
    <x v="145"/>
    <x v="4"/>
    <s v="RICKY LAM"/>
    <n v="2022"/>
    <s v="Contract: Quality Appendix"/>
    <s v="Supplier"/>
    <m/>
    <x v="370"/>
    <s v="Quality_appendix_Malaplast_2013.tif"/>
    <s v=".tif"/>
    <d v="2014-04-11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2"/>
  </r>
  <r>
    <n v="2080"/>
    <x v="154"/>
    <x v="154"/>
    <x v="145"/>
    <x v="4"/>
    <s v="RICKY LAM"/>
    <n v="2023"/>
    <s v="ISO 14001"/>
    <s v="Supplier"/>
    <d v="2012-06-28T00:00:00"/>
    <x v="635"/>
    <s v="Malaplast_ISO14001_08Apr2019.pdf"/>
    <s v=".pdf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2"/>
  </r>
  <r>
    <n v="2081"/>
    <x v="154"/>
    <x v="154"/>
    <x v="145"/>
    <x v="4"/>
    <s v="RICKY LAM"/>
    <n v="2024"/>
    <s v="Responsible Purchasing Charter"/>
    <s v="Supplier"/>
    <m/>
    <x v="320"/>
    <s v="Malaplast_Responsible_Purchasing_Charter_14Aug12.PDF"/>
    <s v=".pdf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2"/>
  </r>
  <r>
    <n v="2082"/>
    <x v="154"/>
    <x v="154"/>
    <x v="145"/>
    <x v="4"/>
    <s v="RICKY LAM"/>
    <n v="2025"/>
    <s v="Responsible Purchasing Charter"/>
    <s v="Supplier"/>
    <m/>
    <x v="636"/>
    <s v="Malaplast_Responsible_Purchasing_Charter_31Oct12.pdf"/>
    <s v=".pdf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2"/>
  </r>
  <r>
    <n v="2086"/>
    <x v="154"/>
    <x v="154"/>
    <x v="145"/>
    <x v="4"/>
    <s v="RICKY LAM"/>
    <n v="2029"/>
    <s v="SEF"/>
    <s v="Supplier"/>
    <m/>
    <x v="246"/>
    <s v="Malaplast_SEF_Dec2011_R2.xlsx"/>
    <s v=".xlsx"/>
    <d v="2014-04-11T00:00:00"/>
    <s v="as\afok"/>
    <m/>
    <s v="2011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x v="2"/>
    <x v="1"/>
    <m/>
    <x v="2"/>
  </r>
  <r>
    <n v="2085"/>
    <x v="154"/>
    <x v="154"/>
    <x v="145"/>
    <x v="4"/>
    <s v="RICKY LAM"/>
    <n v="2028"/>
    <s v="SIF"/>
    <s v="Supplier"/>
    <m/>
    <x v="637"/>
    <s v="Malaplast_SIF2012_20APR12.xlsx"/>
    <s v=".xlsx"/>
    <d v="2014-04-11T00:00:00"/>
    <s v="as\afok"/>
    <m/>
    <s v="2012"/>
    <x v="0"/>
    <x v="0"/>
    <x v="0"/>
    <x v="0"/>
    <m/>
    <m/>
    <m/>
    <m/>
    <m/>
    <n v="2011"/>
    <n v="43886000"/>
    <n v="40918000"/>
    <m/>
    <m/>
    <m/>
    <m/>
    <n v="0.08"/>
    <m/>
    <m/>
    <m/>
    <s v="CP Panel"/>
    <x v="0"/>
    <x v="0"/>
    <x v="1"/>
    <x v="3"/>
    <m/>
    <m/>
    <m/>
    <n v="1"/>
    <m/>
    <m/>
    <m/>
    <s v="CP"/>
    <m/>
    <m/>
    <x v="2"/>
    <x v="1"/>
    <m/>
    <x v="2"/>
  </r>
  <r>
    <n v="1038"/>
    <x v="155"/>
    <x v="155"/>
    <x v="146"/>
    <x v="1"/>
    <s v="EVA LAI"/>
    <n v="1015"/>
    <s v="Contract: General Contract"/>
    <s v="Supplier"/>
    <m/>
    <x v="169"/>
    <s v="Maxtronix_General Agreement_V7.pdf"/>
    <s v=".pdf"/>
    <d v="2014-03-25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n v="1"/>
    <m/>
    <m/>
    <n v="1"/>
    <m/>
    <m/>
    <m/>
    <s v="CP"/>
    <m/>
    <m/>
    <x v="2"/>
    <x v="1"/>
    <m/>
    <x v="45"/>
  </r>
  <r>
    <n v="1041"/>
    <x v="155"/>
    <x v="155"/>
    <x v="146"/>
    <x v="1"/>
    <s v="EVA LAI"/>
    <n v="1018"/>
    <s v="Contract: Quality Appendix"/>
    <s v="Supplier"/>
    <m/>
    <x v="137"/>
    <s v="Maxtronix_General Agreement_V7.pdf"/>
    <s v=".pdf"/>
    <d v="2014-03-25T00:00:00"/>
    <s v="as\afok"/>
    <m/>
    <m/>
    <x v="0"/>
    <x v="0"/>
    <x v="0"/>
    <x v="9"/>
    <m/>
    <m/>
    <m/>
    <m/>
    <m/>
    <m/>
    <m/>
    <m/>
    <m/>
    <m/>
    <m/>
    <m/>
    <m/>
    <m/>
    <m/>
    <m/>
    <s v="CP Panel"/>
    <x v="0"/>
    <x v="0"/>
    <x v="1"/>
    <x v="4"/>
    <m/>
    <n v="1"/>
    <m/>
    <n v="1"/>
    <m/>
    <m/>
    <m/>
    <s v="CP"/>
    <m/>
    <m/>
    <x v="2"/>
    <x v="1"/>
    <m/>
    <x v="45"/>
  </r>
  <r>
    <n v="1040"/>
    <x v="155"/>
    <x v="155"/>
    <x v="146"/>
    <x v="1"/>
    <s v="EVA LAI"/>
    <n v="1017"/>
    <s v="Contract: Supply Chain Appendix"/>
    <s v="Supplier"/>
    <m/>
    <x v="638"/>
    <s v="Maxtronix_General Agreement_V7.pdf"/>
    <s v=".pdf"/>
    <d v="2014-03-25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4"/>
    <m/>
    <m/>
    <n v="1"/>
    <n v="1"/>
    <m/>
    <m/>
    <m/>
    <s v="CP"/>
    <m/>
    <m/>
    <x v="2"/>
    <x v="1"/>
    <m/>
    <x v="45"/>
  </r>
  <r>
    <n v="1042"/>
    <x v="155"/>
    <x v="155"/>
    <x v="146"/>
    <x v="1"/>
    <s v="EVA LAI"/>
    <n v="1019"/>
    <s v="Declaration letter of group organization"/>
    <s v="Supplier"/>
    <m/>
    <x v="169"/>
    <s v="Maxtronix_General Agreement_V7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x v="2"/>
    <x v="1"/>
    <m/>
    <x v="45"/>
  </r>
  <r>
    <n v="1037"/>
    <x v="155"/>
    <x v="155"/>
    <x v="146"/>
    <x v="1"/>
    <s v="EVA LAI"/>
    <n v="1014"/>
    <s v="Environmental Declaration"/>
    <s v="Supplier"/>
    <m/>
    <x v="639"/>
    <s v="Maxtronix_EnvDeclaration2011.pdf"/>
    <s v=".pdf"/>
    <d v="2014-03-25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x v="2"/>
    <x v="1"/>
    <m/>
    <x v="45"/>
  </r>
  <r>
    <n v="1039"/>
    <x v="155"/>
    <x v="155"/>
    <x v="146"/>
    <x v="1"/>
    <s v="EVA LAI"/>
    <n v="1016"/>
    <s v="Environmental Declaration"/>
    <s v="Supplier"/>
    <m/>
    <x v="169"/>
    <s v="Maxtronix_General Agreement_V7.pdf"/>
    <s v=".pdf"/>
    <d v="2014-03-25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x v="2"/>
    <x v="1"/>
    <m/>
    <x v="45"/>
  </r>
  <r>
    <n v="1043"/>
    <x v="155"/>
    <x v="155"/>
    <x v="146"/>
    <x v="1"/>
    <s v="EVA LAI"/>
    <n v="1020"/>
    <s v="Responsible Purchasing Charter"/>
    <s v="Supplier"/>
    <m/>
    <x v="235"/>
    <s v="Maxtronix_Responsible_Purchasing_Charter_02Aug12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x v="2"/>
    <x v="1"/>
    <m/>
    <x v="45"/>
  </r>
  <r>
    <n v="1045"/>
    <x v="155"/>
    <x v="155"/>
    <x v="146"/>
    <x v="1"/>
    <s v="EVA LAI"/>
    <n v="1022"/>
    <s v="SEF"/>
    <s v="Supplier"/>
    <m/>
    <x v="89"/>
    <s v="Maxtronix_SEF_2012-2.xlsx"/>
    <s v=".xlsx"/>
    <d v="2014-03-25T00:00:00"/>
    <s v="as\afok"/>
    <m/>
    <s v="2012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x v="2"/>
    <x v="1"/>
    <m/>
    <x v="45"/>
  </r>
  <r>
    <n v="1048"/>
    <x v="155"/>
    <x v="155"/>
    <x v="146"/>
    <x v="1"/>
    <s v="EVA LAI"/>
    <n v="1025"/>
    <s v="SEF"/>
    <s v="Supplier"/>
    <m/>
    <x v="610"/>
    <s v="Maxtronix _SEF_201305-1.xls"/>
    <s v=".xls"/>
    <d v="2014-03-25T00:00:00"/>
    <s v="as\afok"/>
    <m/>
    <s v="2013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4"/>
    <m/>
    <m/>
    <m/>
    <n v="1"/>
    <n v="1"/>
    <m/>
    <m/>
    <s v="CP"/>
    <m/>
    <m/>
    <x v="2"/>
    <x v="1"/>
    <m/>
    <x v="45"/>
  </r>
  <r>
    <n v="1044"/>
    <x v="155"/>
    <x v="155"/>
    <x v="146"/>
    <x v="1"/>
    <s v="EVA LAI"/>
    <n v="1021"/>
    <s v="SEF"/>
    <s v="Supplier"/>
    <m/>
    <x v="30"/>
    <s v="Maxtronix_SEF_2012.xlsx"/>
    <s v=".xlsx"/>
    <d v="2014-03-25T00:00:00"/>
    <s v="as\afok"/>
    <m/>
    <s v="2012"/>
    <x v="0"/>
    <x v="0"/>
    <x v="0"/>
    <x v="0"/>
    <m/>
    <m/>
    <m/>
    <m/>
    <n v="86"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x v="2"/>
    <x v="1"/>
    <m/>
    <x v="45"/>
  </r>
  <r>
    <n v="1046"/>
    <x v="155"/>
    <x v="155"/>
    <x v="146"/>
    <x v="1"/>
    <s v="EVA LAI"/>
    <n v="1023"/>
    <s v="SIF"/>
    <s v="Supplier"/>
    <m/>
    <x v="640"/>
    <s v="Maxtronix_SIF 2013.xlsx"/>
    <s v=".xlsx"/>
    <d v="2014-03-25T00:00:00"/>
    <s v="as\afok"/>
    <m/>
    <s v="2013"/>
    <x v="0"/>
    <x v="0"/>
    <x v="0"/>
    <x v="0"/>
    <m/>
    <m/>
    <m/>
    <m/>
    <m/>
    <n v="2013"/>
    <n v="800000"/>
    <n v="623000"/>
    <n v="42714"/>
    <m/>
    <m/>
    <n v="3"/>
    <n v="2"/>
    <n v="0.3"/>
    <m/>
    <m/>
    <s v="CP Panel"/>
    <x v="0"/>
    <x v="0"/>
    <x v="1"/>
    <x v="4"/>
    <m/>
    <m/>
    <m/>
    <n v="1"/>
    <m/>
    <m/>
    <m/>
    <s v="CP"/>
    <m/>
    <m/>
    <x v="2"/>
    <x v="1"/>
    <m/>
    <x v="45"/>
  </r>
  <r>
    <n v="1047"/>
    <x v="155"/>
    <x v="155"/>
    <x v="146"/>
    <x v="1"/>
    <s v="EVA LAI"/>
    <n v="1024"/>
    <s v="SPR"/>
    <s v="Supplier"/>
    <m/>
    <x v="247"/>
    <s v="Maxtronix_SPR_Sept 2012.pptx"/>
    <s v=".pptx"/>
    <d v="2014-03-25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x v="2"/>
    <x v="1"/>
    <m/>
    <x v="45"/>
  </r>
  <r>
    <n v="1036"/>
    <x v="155"/>
    <x v="155"/>
    <x v="146"/>
    <x v="1"/>
    <s v="EVA LAI"/>
    <n v="1013"/>
    <s v="SPR"/>
    <s v="Supplier"/>
    <m/>
    <x v="27"/>
    <s v="Maxtronix_SPR_2013_05.pptx"/>
    <s v=".pptx"/>
    <d v="2014-03-25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x v="2"/>
    <x v="1"/>
    <m/>
    <x v="45"/>
  </r>
  <r>
    <n v="624"/>
    <x v="156"/>
    <x v="156"/>
    <x v="147"/>
    <x v="1"/>
    <s v="DAVID LIM"/>
    <n v="607"/>
    <s v="Contract: General Contract"/>
    <s v="Supplier"/>
    <m/>
    <x v="55"/>
    <s v="Merchant_General_agreement_JUN2012.pdf"/>
    <s v=".pdf"/>
    <d v="2014-03-19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7"/>
  </r>
  <r>
    <n v="627"/>
    <x v="156"/>
    <x v="156"/>
    <x v="147"/>
    <x v="1"/>
    <s v="DAVID LIM"/>
    <n v="610"/>
    <s v="Contract: Quality Appendix"/>
    <s v="Supplier"/>
    <m/>
    <x v="641"/>
    <s v="Merchant_General_agreement_JUN2012.pdf"/>
    <s v=".pdf"/>
    <d v="2014-03-19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7"/>
  </r>
  <r>
    <n v="626"/>
    <x v="156"/>
    <x v="156"/>
    <x v="147"/>
    <x v="1"/>
    <s v="DAVID LIM"/>
    <n v="609"/>
    <s v="Contract: Supply Chain Appendix"/>
    <s v="Supplier"/>
    <m/>
    <x v="55"/>
    <s v="Merchant_General_agreement_JUN2012.pdf"/>
    <s v=".pdf"/>
    <d v="2014-03-19T00:00:00"/>
    <s v="as\afok"/>
    <m/>
    <m/>
    <x v="0"/>
    <x v="13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7"/>
  </r>
  <r>
    <n v="628"/>
    <x v="156"/>
    <x v="156"/>
    <x v="147"/>
    <x v="1"/>
    <s v="DAVID LIM"/>
    <n v="611"/>
    <s v="Declaration letter of group organization"/>
    <s v="Supplier"/>
    <m/>
    <x v="55"/>
    <s v="Merchant_General_agreement_JUN2012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7"/>
  </r>
  <r>
    <n v="625"/>
    <x v="156"/>
    <x v="156"/>
    <x v="147"/>
    <x v="1"/>
    <s v="DAVID LIM"/>
    <n v="608"/>
    <s v="Environmental Declaration"/>
    <s v="Supplier"/>
    <m/>
    <x v="55"/>
    <s v="Merchant_General_agreement_JUN2012.pdf"/>
    <s v=".pdf"/>
    <d v="2014-03-19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7"/>
  </r>
  <r>
    <n v="619"/>
    <x v="156"/>
    <x v="156"/>
    <x v="147"/>
    <x v="1"/>
    <s v="DAVID LIM"/>
    <n v="602"/>
    <s v="ISO 14001"/>
    <s v="Supplier"/>
    <d v="2013-05-16T00:00:00"/>
    <x v="642"/>
    <s v="Merchant_ISO14001_2013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7"/>
  </r>
  <r>
    <n v="618"/>
    <x v="156"/>
    <x v="156"/>
    <x v="147"/>
    <x v="1"/>
    <s v="DAVID LIM"/>
    <n v="601"/>
    <s v="ISO 9001"/>
    <s v="Supplier"/>
    <d v="2010-11-13T00:00:00"/>
    <x v="643"/>
    <s v="Merchant_ISO9001_2010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7"/>
  </r>
  <r>
    <n v="621"/>
    <x v="156"/>
    <x v="156"/>
    <x v="147"/>
    <x v="1"/>
    <s v="DAVID LIM"/>
    <n v="604"/>
    <s v="LOC (Letter of Confidentiality)"/>
    <s v="Supplier"/>
    <m/>
    <x v="110"/>
    <s v="Merchant_LOC_09Jun2010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7"/>
  </r>
  <r>
    <n v="622"/>
    <x v="156"/>
    <x v="156"/>
    <x v="147"/>
    <x v="1"/>
    <s v="DAVID LIM"/>
    <n v="605"/>
    <s v="Responsible Purchasing Charter"/>
    <s v="Supplier"/>
    <m/>
    <x v="564"/>
    <s v="Merchant_Responsible_Purchasing_Charter_27Aug12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7"/>
  </r>
  <r>
    <n v="629"/>
    <x v="156"/>
    <x v="156"/>
    <x v="147"/>
    <x v="1"/>
    <s v="DAVID LIM"/>
    <n v="612"/>
    <s v="SEF"/>
    <s v="Supplier"/>
    <m/>
    <x v="123"/>
    <s v="Merchant_SEF_2012.xls"/>
    <s v=".xls"/>
    <d v="2014-03-19T00:00:00"/>
    <s v="as\afok"/>
    <m/>
    <s v="2012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x v="2"/>
    <x v="1"/>
    <m/>
    <x v="7"/>
  </r>
  <r>
    <n v="617"/>
    <x v="156"/>
    <x v="156"/>
    <x v="147"/>
    <x v="1"/>
    <s v="DAVID LIM"/>
    <n v="600"/>
    <s v="SEF"/>
    <s v="Supplier"/>
    <m/>
    <x v="117"/>
    <s v="Merchant_SEF_2013-1.xlsx"/>
    <s v=".xlsx"/>
    <d v="2014-03-19T00:00:00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7"/>
  </r>
  <r>
    <n v="623"/>
    <x v="156"/>
    <x v="156"/>
    <x v="147"/>
    <x v="1"/>
    <s v="DAVID LIM"/>
    <n v="606"/>
    <s v="SEF"/>
    <s v="Supplier"/>
    <m/>
    <x v="107"/>
    <s v="Merchant_SEF_2012.xls"/>
    <s v=".xls"/>
    <d v="2014-03-19T00:00:00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7"/>
  </r>
  <r>
    <n v="616"/>
    <x v="156"/>
    <x v="156"/>
    <x v="147"/>
    <x v="1"/>
    <s v="DAVID LIM"/>
    <n v="599"/>
    <s v="SIF"/>
    <s v="Supplier"/>
    <m/>
    <x v="418"/>
    <s v="Merchant_SIF 2013.xls"/>
    <s v=".xls"/>
    <d v="2014-03-19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7"/>
  </r>
  <r>
    <n v="620"/>
    <x v="156"/>
    <x v="156"/>
    <x v="147"/>
    <x v="1"/>
    <s v="DAVID LIM"/>
    <n v="603"/>
    <s v="SPR"/>
    <s v="Supplier"/>
    <m/>
    <x v="587"/>
    <s v="Merchant SPR 2011.pptx"/>
    <s v=".pptx"/>
    <d v="2014-03-19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7"/>
  </r>
  <r>
    <n v="1328"/>
    <x v="157"/>
    <x v="157"/>
    <x v="148"/>
    <x v="0"/>
    <s v="JACQUELINE POON"/>
    <n v="1297"/>
    <s v="Contract: General Contract"/>
    <s v="Supplier"/>
    <m/>
    <x v="644"/>
    <s v="Metropolitan DEVELOPMENT AND SUPPLY MANAGEMENT 10Jan2010.pdf"/>
    <s v=".pdf"/>
    <d v="2014-03-31T00:00:00"/>
    <s v="as\afok"/>
    <m/>
    <s v="FHA 00 016 ind.07"/>
    <x v="2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0"/>
    <m/>
    <m/>
    <s v="FP"/>
    <m/>
    <s v="SP"/>
    <s v="MOULD"/>
    <x v="4"/>
    <x v="1"/>
    <m/>
    <x v="4"/>
  </r>
  <r>
    <n v="1329"/>
    <x v="157"/>
    <x v="157"/>
    <x v="148"/>
    <x v="0"/>
    <s v="JACQUELINE POON"/>
    <n v="1298"/>
    <s v="Environmental Declaration"/>
    <s v="Supplier"/>
    <m/>
    <x v="326"/>
    <s v="Metropolitan_Env_Declaration_26May2010.xls"/>
    <s v=".xls"/>
    <d v="2014-03-31T00:00:00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0"/>
    <m/>
    <m/>
    <s v="FP"/>
    <m/>
    <s v="SP"/>
    <s v="MOULD"/>
    <x v="4"/>
    <x v="1"/>
    <m/>
    <x v="4"/>
  </r>
  <r>
    <n v="1326"/>
    <x v="157"/>
    <x v="157"/>
    <x v="148"/>
    <x v="0"/>
    <s v="JACQUELINE POON"/>
    <n v="1295"/>
    <s v="Responsible Purchasing Charter"/>
    <s v="Supplier"/>
    <m/>
    <x v="27"/>
    <s v="metropolitan_responsible purchasing charter 27May13.pdf"/>
    <s v=".pdf"/>
    <d v="2014-03-31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0"/>
    <m/>
    <m/>
    <s v="FP"/>
    <m/>
    <s v="SP"/>
    <s v="MOULD"/>
    <x v="4"/>
    <x v="1"/>
    <m/>
    <x v="4"/>
  </r>
  <r>
    <n v="1327"/>
    <x v="157"/>
    <x v="157"/>
    <x v="148"/>
    <x v="0"/>
    <s v="JACQUELINE POON"/>
    <n v="1296"/>
    <s v="SEF"/>
    <s v="Supplier"/>
    <m/>
    <x v="36"/>
    <s v="SEF_Metropolitan_12Nov12.xlsx"/>
    <s v=".xlsx"/>
    <d v="2014-03-31T00:00:00"/>
    <s v="as\afok"/>
    <m/>
    <s v="2012"/>
    <x v="0"/>
    <x v="0"/>
    <x v="0"/>
    <x v="0"/>
    <m/>
    <m/>
    <m/>
    <m/>
    <n v="41"/>
    <m/>
    <m/>
    <m/>
    <m/>
    <m/>
    <m/>
    <m/>
    <m/>
    <m/>
    <m/>
    <m/>
    <s v="FP panel"/>
    <x v="1"/>
    <x v="2"/>
    <x v="0"/>
    <x v="0"/>
    <m/>
    <m/>
    <m/>
    <n v="0"/>
    <m/>
    <m/>
    <s v="FP"/>
    <m/>
    <s v="SP"/>
    <s v="MOULD"/>
    <x v="4"/>
    <x v="1"/>
    <m/>
    <x v="4"/>
  </r>
  <r>
    <n v="1330"/>
    <x v="157"/>
    <x v="157"/>
    <x v="148"/>
    <x v="0"/>
    <s v="JACQUELINE POON"/>
    <n v="1299"/>
    <s v="SIF"/>
    <s v="Supplier"/>
    <m/>
    <x v="572"/>
    <s v="Metropolitan_SIF_2010.xls"/>
    <s v=".xls"/>
    <d v="2014-03-31T00:00:00"/>
    <s v="as\afok"/>
    <m/>
    <s v="2010"/>
    <x v="0"/>
    <x v="0"/>
    <x v="0"/>
    <x v="0"/>
    <m/>
    <m/>
    <m/>
    <m/>
    <m/>
    <n v="2010"/>
    <n v="18500000"/>
    <n v="17700000"/>
    <n v="18000000"/>
    <m/>
    <m/>
    <m/>
    <n v="20"/>
    <m/>
    <m/>
    <m/>
    <s v="FP panel"/>
    <x v="1"/>
    <x v="2"/>
    <x v="0"/>
    <x v="0"/>
    <m/>
    <m/>
    <m/>
    <n v="0"/>
    <m/>
    <n v="1"/>
    <s v="FP"/>
    <m/>
    <s v="SP"/>
    <s v="MOULD"/>
    <x v="4"/>
    <x v="1"/>
    <m/>
    <x v="4"/>
  </r>
  <r>
    <n v="2248"/>
    <x v="158"/>
    <x v="158"/>
    <x v="149"/>
    <x v="4"/>
    <s v="WILLIAM TSANG"/>
    <n v="2189"/>
    <s v="Contract: Quality Appendix"/>
    <s v="Supplier"/>
    <m/>
    <x v="347"/>
    <s v="Meyer_QualityAppendix_13Mar2014.pdf"/>
    <s v=".pdf"/>
    <d v="2014-04-16T00:00:00"/>
    <s v="as\afok"/>
    <m/>
    <m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4"/>
    <m/>
    <n v="1"/>
    <m/>
    <n v="0"/>
    <m/>
    <m/>
    <m/>
    <s v="CP"/>
    <m/>
    <m/>
    <x v="2"/>
    <x v="1"/>
    <m/>
    <x v="15"/>
  </r>
  <r>
    <n v="2246"/>
    <x v="158"/>
    <x v="158"/>
    <x v="149"/>
    <x v="4"/>
    <s v="WILLIAM TSANG"/>
    <n v="2188"/>
    <s v="Contract: Supply Chain Appendix"/>
    <s v="Supplier"/>
    <m/>
    <x v="645"/>
    <s v="Meyer_SupplyChain_V10_13Mar2014.pdf"/>
    <s v=".pdf"/>
    <d v="2014-04-16T00:00:00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4"/>
    <m/>
    <m/>
    <n v="1"/>
    <n v="0"/>
    <m/>
    <m/>
    <m/>
    <s v="CP"/>
    <m/>
    <m/>
    <x v="2"/>
    <x v="1"/>
    <m/>
    <x v="15"/>
  </r>
  <r>
    <n v="2249"/>
    <x v="158"/>
    <x v="158"/>
    <x v="149"/>
    <x v="4"/>
    <s v="WILLIAM TSANG"/>
    <n v="2190"/>
    <s v="Contract: Supply Chain Appendix"/>
    <s v="Supplier"/>
    <m/>
    <x v="339"/>
    <s v="SupplyChain_AppendixV.10_Meyer_Aluminiu,_9Aug13.pdf"/>
    <s v=".pdf"/>
    <d v="2014-04-16T00:00:00"/>
    <s v="as\afok"/>
    <m/>
    <s v="V10"/>
    <x v="0"/>
    <x v="14"/>
    <x v="2"/>
    <x v="0"/>
    <m/>
    <m/>
    <m/>
    <m/>
    <m/>
    <m/>
    <m/>
    <m/>
    <m/>
    <m/>
    <m/>
    <m/>
    <m/>
    <m/>
    <m/>
    <m/>
    <s v="CP Panel"/>
    <x v="0"/>
    <x v="0"/>
    <x v="1"/>
    <x v="4"/>
    <m/>
    <m/>
    <n v="1"/>
    <n v="0"/>
    <m/>
    <m/>
    <m/>
    <s v="CP"/>
    <m/>
    <m/>
    <x v="2"/>
    <x v="1"/>
    <m/>
    <x v="15"/>
  </r>
  <r>
    <n v="2247"/>
    <x v="159"/>
    <x v="159"/>
    <x v="149"/>
    <x v="4"/>
    <s v="WILLIAM TSANG"/>
    <n v="2188"/>
    <s v="Contract: Supply Chain Appendix"/>
    <s v="Supplier"/>
    <m/>
    <x v="645"/>
    <s v="Meyer_SupplyChain_V10_13Mar2014.pdf"/>
    <s v=".pdf"/>
    <d v="2014-04-16T00:00:00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4"/>
    <m/>
    <m/>
    <n v="1"/>
    <n v="0"/>
    <m/>
    <m/>
    <m/>
    <s v="CP"/>
    <m/>
    <m/>
    <x v="2"/>
    <x v="1"/>
    <m/>
    <x v="0"/>
  </r>
  <r>
    <n v="2255"/>
    <x v="158"/>
    <x v="158"/>
    <x v="149"/>
    <x v="4"/>
    <s v="WILLIAM TSANG"/>
    <n v="2196"/>
    <s v="Environmental Declaration"/>
    <s v="Supplier"/>
    <m/>
    <x v="287"/>
    <s v="Meyer_Environnement_Declaration.xlsx"/>
    <s v=".xlsx"/>
    <d v="2014-04-16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x v="2"/>
    <x v="1"/>
    <m/>
    <x v="15"/>
  </r>
  <r>
    <n v="2254"/>
    <x v="158"/>
    <x v="158"/>
    <x v="149"/>
    <x v="4"/>
    <s v="WILLIAM TSANG"/>
    <n v="2195"/>
    <s v="ISO 9001"/>
    <s v="Supplier"/>
    <d v="2012-12-14T00:00:00"/>
    <x v="646"/>
    <s v="Meyer_ISO9001_15Dec2009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x v="2"/>
    <x v="1"/>
    <m/>
    <x v="15"/>
  </r>
  <r>
    <n v="2245"/>
    <x v="158"/>
    <x v="158"/>
    <x v="149"/>
    <x v="4"/>
    <s v="WILLIAM TSANG"/>
    <n v="2187"/>
    <s v="Responsible Purchasing Charter"/>
    <s v="Supplier"/>
    <m/>
    <x v="645"/>
    <s v="Meyer_SupplyAgreement_13Mar2014.pdf"/>
    <s v=".pdf"/>
    <d v="2014-04-16T00:00:00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x v="2"/>
    <x v="1"/>
    <m/>
    <x v="15"/>
  </r>
  <r>
    <n v="2258"/>
    <x v="158"/>
    <x v="158"/>
    <x v="149"/>
    <x v="4"/>
    <s v="WILLIAM TSANG"/>
    <n v="2199"/>
    <s v="Responsible Purchasing Charter"/>
    <s v="Supplier"/>
    <m/>
    <x v="72"/>
    <s v="Meyer_Aluminium_Purchasing_Charter_24Sep12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n v="1"/>
    <m/>
    <s v="CP"/>
    <m/>
    <m/>
    <x v="2"/>
    <x v="1"/>
    <m/>
    <x v="15"/>
  </r>
  <r>
    <n v="2250"/>
    <x v="158"/>
    <x v="158"/>
    <x v="149"/>
    <x v="4"/>
    <s v="WILLIAM TSANG"/>
    <n v="2191"/>
    <s v="Responsible Purchasing Charter"/>
    <s v="Supplier"/>
    <m/>
    <x v="647"/>
    <s v="Meyer_Aluminium_Purchasing_Charter_24JUL13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x v="2"/>
    <x v="1"/>
    <m/>
    <x v="15"/>
  </r>
  <r>
    <n v="2256"/>
    <x v="158"/>
    <x v="158"/>
    <x v="149"/>
    <x v="4"/>
    <s v="WILLIAM TSANG"/>
    <n v="2197"/>
    <s v="SEF"/>
    <s v="Supplier"/>
    <m/>
    <x v="472"/>
    <s v="MEYER_HK_Supplier_Evaluation_May_2012.xlsx"/>
    <s v=".xlsx"/>
    <d v="2014-04-16T00:00:00"/>
    <s v="as\afok"/>
    <m/>
    <s v="2012"/>
    <x v="0"/>
    <x v="0"/>
    <x v="0"/>
    <x v="0"/>
    <m/>
    <m/>
    <m/>
    <m/>
    <n v="73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x v="2"/>
    <x v="1"/>
    <m/>
    <x v="15"/>
  </r>
  <r>
    <n v="2251"/>
    <x v="158"/>
    <x v="158"/>
    <x v="149"/>
    <x v="4"/>
    <s v="WILLIAM TSANG"/>
    <n v="2192"/>
    <s v="SEF"/>
    <s v="Supplier"/>
    <m/>
    <x v="347"/>
    <s v="MEYER HK Supplier Evaluation Form Mar 2013.xlsx"/>
    <s v=".xlsx"/>
    <d v="2014-04-16T00:00:00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x v="2"/>
    <x v="1"/>
    <m/>
    <x v="15"/>
  </r>
  <r>
    <n v="2243"/>
    <x v="159"/>
    <x v="159"/>
    <x v="149"/>
    <x v="4"/>
    <s v="WILLIAM TSANG"/>
    <n v="2185"/>
    <s v="SEF"/>
    <s v="Supplier"/>
    <m/>
    <x v="648"/>
    <s v="MEYER THAILAND Supplier Evaluation Form Mar 2013.xlsx"/>
    <s v=".xlsx"/>
    <d v="2014-04-16T00:00:00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x v="2"/>
    <x v="1"/>
    <m/>
    <x v="0"/>
  </r>
  <r>
    <n v="2244"/>
    <x v="159"/>
    <x v="159"/>
    <x v="149"/>
    <x v="4"/>
    <s v="WILLIAM TSANG"/>
    <n v="2186"/>
    <s v="SEF"/>
    <s v="Supplier"/>
    <m/>
    <x v="472"/>
    <s v="MEYER_THAILAND_Supplier_Evaluation_May_2012.xlsx"/>
    <s v=".xlsx"/>
    <d v="2014-04-16T00:00:00"/>
    <s v="as\afok"/>
    <m/>
    <s v="2012"/>
    <x v="0"/>
    <x v="0"/>
    <x v="0"/>
    <x v="0"/>
    <m/>
    <m/>
    <m/>
    <m/>
    <n v="72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x v="2"/>
    <x v="1"/>
    <m/>
    <x v="0"/>
  </r>
  <r>
    <n v="2257"/>
    <x v="158"/>
    <x v="158"/>
    <x v="149"/>
    <x v="4"/>
    <s v="WILLIAM TSANG"/>
    <n v="2198"/>
    <s v="SIF"/>
    <s v="Supplier"/>
    <m/>
    <x v="555"/>
    <s v="Meyer_Aluminium_SIF2012_19Jul12.xlsx"/>
    <s v=".xlsx"/>
    <d v="2014-04-16T00:00:00"/>
    <s v="as\afok"/>
    <m/>
    <s v="2012"/>
    <x v="0"/>
    <x v="0"/>
    <x v="0"/>
    <x v="0"/>
    <m/>
    <m/>
    <m/>
    <m/>
    <m/>
    <n v="2012"/>
    <n v="140000000"/>
    <n v="130000000"/>
    <m/>
    <m/>
    <m/>
    <n v="10"/>
    <n v="10"/>
    <m/>
    <m/>
    <m/>
    <s v="CP Panel"/>
    <x v="0"/>
    <x v="0"/>
    <x v="1"/>
    <x v="4"/>
    <m/>
    <m/>
    <m/>
    <n v="0"/>
    <m/>
    <m/>
    <m/>
    <s v="CP"/>
    <m/>
    <m/>
    <x v="2"/>
    <x v="1"/>
    <m/>
    <x v="15"/>
  </r>
  <r>
    <n v="2252"/>
    <x v="158"/>
    <x v="158"/>
    <x v="149"/>
    <x v="4"/>
    <s v="WILLIAM TSANG"/>
    <n v="2193"/>
    <s v="SIF"/>
    <s v="Supplier"/>
    <m/>
    <x v="77"/>
    <s v="Meyer_Aluminium_SIF2013.xlsx"/>
    <s v=".xlsx"/>
    <d v="2014-04-16T00:00:00"/>
    <s v="as\afok"/>
    <m/>
    <s v="2013"/>
    <x v="0"/>
    <x v="0"/>
    <x v="0"/>
    <x v="0"/>
    <m/>
    <m/>
    <m/>
    <m/>
    <m/>
    <n v="2013"/>
    <n v="140000000"/>
    <m/>
    <m/>
    <m/>
    <m/>
    <n v="10"/>
    <m/>
    <m/>
    <m/>
    <m/>
    <s v="CP Panel"/>
    <x v="0"/>
    <x v="0"/>
    <x v="1"/>
    <x v="4"/>
    <m/>
    <m/>
    <m/>
    <n v="0"/>
    <m/>
    <m/>
    <m/>
    <s v="CP"/>
    <m/>
    <m/>
    <x v="2"/>
    <x v="1"/>
    <m/>
    <x v="15"/>
  </r>
  <r>
    <n v="2253"/>
    <x v="158"/>
    <x v="158"/>
    <x v="149"/>
    <x v="4"/>
    <s v="WILLIAM TSANG"/>
    <n v="2194"/>
    <s v="SPR"/>
    <s v="Supplier"/>
    <m/>
    <x v="115"/>
    <s v="MEYER Performance Review 20121026.ppt"/>
    <s v=".ppt"/>
    <d v="2014-04-16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x v="2"/>
    <x v="1"/>
    <m/>
    <x v="15"/>
  </r>
  <r>
    <n v="358"/>
    <x v="160"/>
    <x v="160"/>
    <x v="150"/>
    <x v="3"/>
    <s v="JIMMY HO"/>
    <n v="345"/>
    <s v="Responsible Purchasing Charter"/>
    <s v="Supplier"/>
    <m/>
    <x v="649"/>
    <s v="Midea - Responsible.Purchasing.Charter (ENG).pdf"/>
    <s v=".pdf"/>
    <d v="2014-03-1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m/>
    <x v="9"/>
    <x v="1"/>
    <m/>
    <x v="46"/>
  </r>
  <r>
    <n v="357"/>
    <x v="160"/>
    <x v="160"/>
    <x v="150"/>
    <x v="3"/>
    <s v="JIMMY HO"/>
    <n v="344"/>
    <s v="SEF"/>
    <s v="Supplier"/>
    <m/>
    <x v="55"/>
    <s v="SEF_Midea_201206.xlsx"/>
    <s v=".xlsx"/>
    <d v="2014-03-14T00:00:00"/>
    <s v="as\afok"/>
    <m/>
    <s v="2012"/>
    <x v="0"/>
    <x v="0"/>
    <x v="0"/>
    <x v="0"/>
    <m/>
    <m/>
    <m/>
    <m/>
    <n v="52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46"/>
  </r>
  <r>
    <n v="356"/>
    <x v="160"/>
    <x v="160"/>
    <x v="150"/>
    <x v="3"/>
    <s v="JIMMY HO"/>
    <n v="343"/>
    <s v="SIF"/>
    <s v="Supplier"/>
    <m/>
    <x v="11"/>
    <s v="Copy of FHA6E502_EN_-_SIF  midea  2013.xlsx"/>
    <s v=".xlsx"/>
    <d v="2014-03-14T00:00:00"/>
    <s v="as\afok"/>
    <m/>
    <s v="2013"/>
    <x v="0"/>
    <x v="0"/>
    <x v="0"/>
    <x v="0"/>
    <m/>
    <m/>
    <m/>
    <m/>
    <m/>
    <n v="2013"/>
    <n v="288000000"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46"/>
  </r>
  <r>
    <n v="355"/>
    <x v="160"/>
    <x v="160"/>
    <x v="150"/>
    <x v="3"/>
    <s v="JIMMY HO"/>
    <n v="342"/>
    <s v="SIF"/>
    <s v="Supplier"/>
    <m/>
    <x v="332"/>
    <s v="Midea (MWO) - SIF 2013.xlsx"/>
    <s v=".xlsx"/>
    <d v="2014-03-14T00:00:00"/>
    <s v="as\afok"/>
    <m/>
    <s v="2013"/>
    <x v="0"/>
    <x v="0"/>
    <x v="0"/>
    <x v="0"/>
    <m/>
    <m/>
    <m/>
    <m/>
    <m/>
    <n v="2013"/>
    <n v="80000000"/>
    <n v="78000000"/>
    <n v="75000000"/>
    <n v="75000000"/>
    <n v="65000000"/>
    <m/>
    <m/>
    <m/>
    <m/>
    <m/>
    <m/>
    <x v="0"/>
    <x v="0"/>
    <x v="0"/>
    <x v="0"/>
    <m/>
    <m/>
    <m/>
    <n v="0"/>
    <m/>
    <m/>
    <s v="FP"/>
    <m/>
    <s v="SP"/>
    <m/>
    <x v="9"/>
    <x v="1"/>
    <m/>
    <x v="46"/>
  </r>
  <r>
    <n v="2666"/>
    <x v="161"/>
    <x v="161"/>
    <x v="151"/>
    <x v="0"/>
    <s v="KITTY LAI"/>
    <n v="2509"/>
    <s v="Contract: General Contract"/>
    <s v="Supplier"/>
    <m/>
    <x v="625"/>
    <s v="Mingle FHA000016 ind. 09 20090312.pdf"/>
    <s v=".pdf"/>
    <d v="2014-04-24T00:00:00"/>
    <s v="as\afok"/>
    <m/>
    <s v="FHA 00 016 ind.09"/>
    <x v="1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n v="1"/>
    <m/>
    <s v="FP"/>
    <m/>
    <m/>
    <s v="MOULD"/>
    <x v="13"/>
    <x v="1"/>
    <m/>
    <x v="0"/>
  </r>
  <r>
    <n v="2658"/>
    <x v="161"/>
    <x v="161"/>
    <x v="151"/>
    <x v="0"/>
    <s v="KITTY LAI"/>
    <n v="2501"/>
    <s v="Contract: General Contract"/>
    <s v="Supplier"/>
    <m/>
    <x v="30"/>
    <s v="Mingle_General Agreement_20Feb12.pdf"/>
    <s v=".pdf"/>
    <d v="2014-04-24T00:00:00"/>
    <s v="as\afok"/>
    <m/>
    <s v="FHA 00 016 ind.10"/>
    <x v="1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m/>
    <m/>
    <s v="FP"/>
    <m/>
    <m/>
    <s v="MOULD"/>
    <x v="13"/>
    <x v="1"/>
    <m/>
    <x v="0"/>
  </r>
  <r>
    <n v="2661"/>
    <x v="161"/>
    <x v="161"/>
    <x v="151"/>
    <x v="0"/>
    <s v="KITTY LAI"/>
    <n v="2504"/>
    <s v="Contract: Quality Appendix"/>
    <s v="Supplier"/>
    <m/>
    <x v="30"/>
    <s v="Mingle_General Agreement_20Feb12.pdf"/>
    <s v=".pdf"/>
    <d v="2014-04-24T00:00:00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1"/>
    <x v="0"/>
    <x v="0"/>
    <m/>
    <n v="1"/>
    <m/>
    <n v="1"/>
    <m/>
    <m/>
    <s v="FP"/>
    <m/>
    <m/>
    <s v="MOULD"/>
    <x v="13"/>
    <x v="1"/>
    <m/>
    <x v="0"/>
  </r>
  <r>
    <n v="2660"/>
    <x v="161"/>
    <x v="161"/>
    <x v="151"/>
    <x v="0"/>
    <s v="KITTY LAI"/>
    <n v="2503"/>
    <s v="Contract: Supply Chain Appendix"/>
    <s v="Supplier"/>
    <m/>
    <x v="30"/>
    <s v="Mingle_General Agreement_20Feb12.pdf"/>
    <s v=".pdf"/>
    <d v="2014-04-24T00:00:00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1"/>
    <x v="0"/>
    <x v="0"/>
    <m/>
    <m/>
    <n v="1"/>
    <n v="1"/>
    <m/>
    <m/>
    <s v="FP"/>
    <m/>
    <m/>
    <s v="MOULD"/>
    <x v="13"/>
    <x v="1"/>
    <m/>
    <x v="0"/>
  </r>
  <r>
    <n v="2662"/>
    <x v="161"/>
    <x v="161"/>
    <x v="151"/>
    <x v="0"/>
    <s v="KITTY LAI"/>
    <n v="2505"/>
    <s v="Declaration letter of group organization"/>
    <s v="Supplier"/>
    <m/>
    <x v="650"/>
    <s v="Mingle_General Agreement_20Feb12.pdf"/>
    <s v=".pdf"/>
    <d v="2014-04-2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m/>
    <s v="MOULD"/>
    <x v="13"/>
    <x v="1"/>
    <m/>
    <x v="0"/>
  </r>
  <r>
    <n v="2659"/>
    <x v="161"/>
    <x v="161"/>
    <x v="151"/>
    <x v="0"/>
    <s v="KITTY LAI"/>
    <n v="2502"/>
    <s v="Environmental Declaration"/>
    <s v="Supplier"/>
    <m/>
    <x v="143"/>
    <s v="Mingle_General Agreement_20Feb12.pdf"/>
    <s v=".pdf"/>
    <d v="2014-04-24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m/>
    <s v="MOULD"/>
    <x v="13"/>
    <x v="1"/>
    <m/>
    <x v="0"/>
  </r>
  <r>
    <n v="2664"/>
    <x v="161"/>
    <x v="161"/>
    <x v="151"/>
    <x v="0"/>
    <s v="KITTY LAI"/>
    <n v="2507"/>
    <s v="Responsible Purchasing Charter"/>
    <s v="Supplier"/>
    <m/>
    <x v="576"/>
    <s v="Mingle_Responsible Purchasing Charter_23Aug12.pdf"/>
    <s v=".pdf"/>
    <d v="2014-04-2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m/>
    <s v="MOULD"/>
    <x v="13"/>
    <x v="1"/>
    <m/>
    <x v="0"/>
  </r>
  <r>
    <n v="2656"/>
    <x v="161"/>
    <x v="161"/>
    <x v="151"/>
    <x v="0"/>
    <s v="KITTY LAI"/>
    <n v="2499"/>
    <s v="SEF"/>
    <s v="Supplier"/>
    <m/>
    <x v="361"/>
    <s v="SEF - Mingle 2013.xlsx"/>
    <s v=".xlsx"/>
    <d v="2014-04-24T00:00:00"/>
    <s v="as\afok"/>
    <m/>
    <s v="2013"/>
    <x v="0"/>
    <x v="0"/>
    <x v="0"/>
    <x v="0"/>
    <m/>
    <m/>
    <m/>
    <m/>
    <n v="86"/>
    <m/>
    <m/>
    <m/>
    <m/>
    <m/>
    <m/>
    <m/>
    <m/>
    <m/>
    <m/>
    <m/>
    <s v="FP panel"/>
    <x v="1"/>
    <x v="1"/>
    <x v="0"/>
    <x v="0"/>
    <m/>
    <m/>
    <m/>
    <n v="1"/>
    <m/>
    <m/>
    <s v="FP"/>
    <m/>
    <m/>
    <s v="MOULD"/>
    <x v="13"/>
    <x v="1"/>
    <m/>
    <x v="0"/>
  </r>
  <r>
    <n v="2657"/>
    <x v="161"/>
    <x v="161"/>
    <x v="151"/>
    <x v="0"/>
    <s v="KITTY LAI"/>
    <n v="2500"/>
    <s v="SEF"/>
    <s v="Supplier"/>
    <m/>
    <x v="337"/>
    <s v="SEF 2012 - Mingle.xlsx"/>
    <s v=".xlsx"/>
    <d v="2014-04-24T00:00:00"/>
    <s v="as\afok"/>
    <m/>
    <s v="2012"/>
    <x v="0"/>
    <x v="0"/>
    <x v="0"/>
    <x v="0"/>
    <m/>
    <m/>
    <m/>
    <m/>
    <n v="91"/>
    <m/>
    <m/>
    <m/>
    <m/>
    <m/>
    <m/>
    <m/>
    <m/>
    <m/>
    <m/>
    <m/>
    <s v="FP panel"/>
    <x v="1"/>
    <x v="1"/>
    <x v="0"/>
    <x v="0"/>
    <m/>
    <m/>
    <m/>
    <n v="1"/>
    <m/>
    <m/>
    <s v="FP"/>
    <m/>
    <m/>
    <s v="MOULD"/>
    <x v="13"/>
    <x v="1"/>
    <m/>
    <x v="0"/>
  </r>
  <r>
    <n v="2665"/>
    <x v="161"/>
    <x v="161"/>
    <x v="151"/>
    <x v="0"/>
    <s v="KITTY LAI"/>
    <n v="2508"/>
    <s v="SIF"/>
    <s v="Supplier"/>
    <m/>
    <x v="651"/>
    <s v="Mingle_SIF 2013.xls"/>
    <s v=".xls"/>
    <d v="2014-04-24T00:00:00"/>
    <s v="as\afok"/>
    <m/>
    <s v="2013"/>
    <x v="0"/>
    <x v="0"/>
    <x v="0"/>
    <x v="0"/>
    <m/>
    <m/>
    <m/>
    <m/>
    <m/>
    <n v="2012"/>
    <n v="20000000"/>
    <n v="19350000"/>
    <n v="20000000"/>
    <n v="17500000"/>
    <n v="15000000"/>
    <m/>
    <m/>
    <m/>
    <m/>
    <m/>
    <s v="FP panel"/>
    <x v="1"/>
    <x v="1"/>
    <x v="0"/>
    <x v="0"/>
    <m/>
    <m/>
    <m/>
    <n v="1"/>
    <m/>
    <m/>
    <s v="FP"/>
    <m/>
    <m/>
    <s v="MOULD"/>
    <x v="13"/>
    <x v="1"/>
    <m/>
    <x v="0"/>
  </r>
  <r>
    <n v="2663"/>
    <x v="161"/>
    <x v="161"/>
    <x v="151"/>
    <x v="0"/>
    <s v="KITTY LAI"/>
    <n v="2506"/>
    <s v="SPR"/>
    <s v="Supplier"/>
    <m/>
    <x v="316"/>
    <s v="Mingle SPR Apr 2010.ppt"/>
    <s v=".ppt"/>
    <d v="2014-04-24T00:00:00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m/>
    <s v="MOULD"/>
    <x v="13"/>
    <x v="1"/>
    <m/>
    <x v="0"/>
  </r>
  <r>
    <n v="1049"/>
    <x v="162"/>
    <x v="162"/>
    <x v="152"/>
    <x v="1"/>
    <s v="EVA LAI"/>
    <n v="1026"/>
    <s v="Responsible Purchasing Charter"/>
    <s v="Supplier"/>
    <m/>
    <x v="19"/>
    <s v="MOBICON_Responsible_Purchasing_Charter_07Aug12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050"/>
    <x v="162"/>
    <x v="162"/>
    <x v="152"/>
    <x v="1"/>
    <s v="EVA LAI"/>
    <n v="1027"/>
    <s v="SEF"/>
    <s v="Supplier"/>
    <m/>
    <x v="89"/>
    <s v="Mobicon_SEF_2012.xlsx"/>
    <s v=".xlsx"/>
    <d v="2014-03-25T00:00:00"/>
    <s v="as\afok"/>
    <m/>
    <s v="2012"/>
    <x v="0"/>
    <x v="0"/>
    <x v="0"/>
    <x v="0"/>
    <m/>
    <m/>
    <m/>
    <m/>
    <n v="78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051"/>
    <x v="162"/>
    <x v="162"/>
    <x v="152"/>
    <x v="1"/>
    <s v="EVA LAI"/>
    <n v="1028"/>
    <s v="SIF"/>
    <s v="Supplier"/>
    <m/>
    <x v="333"/>
    <s v="SIF2011_Mobicon.xls"/>
    <s v=".xls"/>
    <d v="2014-03-25T00:00:00"/>
    <s v="as\afok"/>
    <m/>
    <s v="2011"/>
    <x v="0"/>
    <x v="0"/>
    <x v="0"/>
    <x v="0"/>
    <m/>
    <m/>
    <m/>
    <m/>
    <m/>
    <n v="2012"/>
    <n v="40342000"/>
    <n v="38685800"/>
    <n v="38671500"/>
    <n v="42529000"/>
    <n v="43651700"/>
    <n v="0"/>
    <n v="0"/>
    <n v="0"/>
    <n v="0"/>
    <n v="0"/>
    <m/>
    <x v="0"/>
    <x v="0"/>
    <x v="0"/>
    <x v="0"/>
    <m/>
    <m/>
    <m/>
    <n v="0"/>
    <m/>
    <n v="1"/>
    <m/>
    <s v="CP"/>
    <m/>
    <m/>
    <x v="2"/>
    <x v="1"/>
    <m/>
    <x v="8"/>
  </r>
  <r>
    <n v="2668"/>
    <x v="163"/>
    <x v="163"/>
    <x v="153"/>
    <x v="0"/>
    <s v="KITTY LAI"/>
    <n v="2511"/>
    <s v="Contract: General Contract"/>
    <s v="Supplier"/>
    <m/>
    <x v="652"/>
    <s v="Ford (Montery)_General Agreement_4Sep12.pdf"/>
    <s v=".pdf"/>
    <d v="2014-04-24T00:00:00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m/>
    <m/>
    <x v="0"/>
    <x v="1"/>
    <m/>
    <x v="0"/>
  </r>
  <r>
    <n v="2671"/>
    <x v="163"/>
    <x v="163"/>
    <x v="153"/>
    <x v="0"/>
    <s v="KITTY LAI"/>
    <n v="2514"/>
    <s v="Contract: Quality Appendix"/>
    <s v="Supplier"/>
    <m/>
    <x v="652"/>
    <s v="Ford (Montery)_General Agreement_4Sep12.pdf"/>
    <s v=".pdf"/>
    <d v="2014-04-24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m/>
    <m/>
    <x v="0"/>
    <x v="1"/>
    <m/>
    <x v="0"/>
  </r>
  <r>
    <n v="2670"/>
    <x v="163"/>
    <x v="163"/>
    <x v="153"/>
    <x v="0"/>
    <s v="KITTY LAI"/>
    <n v="2513"/>
    <s v="Contract: Supply Chain Appendix"/>
    <s v="Supplier"/>
    <m/>
    <x v="652"/>
    <s v="Ford (Montery)_General Agreement_4Sep12.pdf"/>
    <s v=".pdf"/>
    <d v="2014-04-24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m/>
    <m/>
    <x v="0"/>
    <x v="1"/>
    <m/>
    <x v="0"/>
  </r>
  <r>
    <n v="2672"/>
    <x v="163"/>
    <x v="163"/>
    <x v="153"/>
    <x v="0"/>
    <s v="KITTY LAI"/>
    <n v="2515"/>
    <s v="Declaration letter of group organization"/>
    <s v="Supplier"/>
    <m/>
    <x v="205"/>
    <s v="Ford (Montery)_General Agreement_4Sep12.pdf"/>
    <s v=".pdf"/>
    <d v="2014-04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m/>
    <m/>
    <x v="0"/>
    <x v="1"/>
    <m/>
    <x v="0"/>
  </r>
  <r>
    <n v="2669"/>
    <x v="163"/>
    <x v="163"/>
    <x v="153"/>
    <x v="0"/>
    <s v="KITTY LAI"/>
    <n v="2512"/>
    <s v="Environmental Declaration"/>
    <s v="Supplier"/>
    <m/>
    <x v="45"/>
    <s v="Ford (Montery)_General Agreement_4Sep12.pdf"/>
    <s v=".pdf"/>
    <d v="2014-04-24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x v="0"/>
    <x v="1"/>
    <m/>
    <x v="0"/>
  </r>
  <r>
    <n v="2667"/>
    <x v="163"/>
    <x v="163"/>
    <x v="153"/>
    <x v="0"/>
    <s v="KITTY LAI"/>
    <n v="2510"/>
    <s v="SIF"/>
    <s v="Supplier"/>
    <m/>
    <x v="653"/>
    <s v="Ford - SIF 2012.pdf"/>
    <s v=".pdf"/>
    <d v="2014-04-24T00:00:00"/>
    <s v="as\afok"/>
    <m/>
    <s v="2012"/>
    <x v="0"/>
    <x v="0"/>
    <x v="0"/>
    <x v="0"/>
    <m/>
    <m/>
    <m/>
    <m/>
    <m/>
    <n v="2012"/>
    <n v="15000000"/>
    <n v="0"/>
    <n v="0"/>
    <n v="0"/>
    <n v="0"/>
    <n v="0.3"/>
    <n v="0"/>
    <n v="0"/>
    <n v="0"/>
    <n v="0"/>
    <m/>
    <x v="0"/>
    <x v="0"/>
    <x v="0"/>
    <x v="0"/>
    <m/>
    <m/>
    <m/>
    <n v="1"/>
    <m/>
    <m/>
    <s v="FP"/>
    <m/>
    <m/>
    <m/>
    <x v="0"/>
    <x v="1"/>
    <m/>
    <x v="0"/>
  </r>
  <r>
    <n v="716"/>
    <x v="164"/>
    <x v="164"/>
    <x v="154"/>
    <x v="2"/>
    <s v="DENNIS LAM"/>
    <n v="699"/>
    <s v="Contract: General Contract"/>
    <s v="Supplier"/>
    <m/>
    <x v="30"/>
    <s v="Motor_General Agreement_ind.11 2012-05-28.pdf"/>
    <s v=".pdf"/>
    <d v="2014-03-20T00:00:00"/>
    <s v="as\afok"/>
    <m/>
    <s v="FHA 00 016 ind.10"/>
    <x v="4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n v="1"/>
    <m/>
    <m/>
    <n v="1"/>
    <m/>
    <m/>
    <s v="FP"/>
    <m/>
    <s v="SP"/>
    <m/>
    <x v="9"/>
    <x v="1"/>
    <n v="1"/>
    <x v="47"/>
  </r>
  <r>
    <n v="707"/>
    <x v="164"/>
    <x v="164"/>
    <x v="154"/>
    <x v="2"/>
    <s v="DENNIS LAM"/>
    <n v="690"/>
    <s v="Contract: General Contract"/>
    <s v="Supplier"/>
    <m/>
    <x v="654"/>
    <s v="Motor FHA00016 ind.07 200710.pdf"/>
    <s v=".pdf"/>
    <d v="2014-03-20T00:00:00"/>
    <s v="as\afok"/>
    <m/>
    <s v="FHA 00 016 ind.07"/>
    <x v="9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n v="1"/>
    <m/>
    <m/>
    <n v="1"/>
    <m/>
    <m/>
    <s v="FP"/>
    <m/>
    <s v="SP"/>
    <m/>
    <x v="9"/>
    <x v="1"/>
    <n v="1"/>
    <x v="47"/>
  </r>
  <r>
    <n v="719"/>
    <x v="164"/>
    <x v="164"/>
    <x v="154"/>
    <x v="2"/>
    <s v="DENNIS LAM"/>
    <n v="702"/>
    <s v="Contract: Quality Appendix"/>
    <s v="Supplier"/>
    <m/>
    <x v="30"/>
    <s v="Motor_General Agreement_ind.11 2012-05-28.pdf"/>
    <s v=".pdf"/>
    <d v="2014-03-20T00:00:00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1"/>
    <x v="0"/>
    <x v="0"/>
    <m/>
    <n v="1"/>
    <m/>
    <n v="1"/>
    <m/>
    <m/>
    <s v="FP"/>
    <m/>
    <s v="SP"/>
    <m/>
    <x v="9"/>
    <x v="1"/>
    <n v="1"/>
    <x v="47"/>
  </r>
  <r>
    <n v="718"/>
    <x v="164"/>
    <x v="164"/>
    <x v="154"/>
    <x v="2"/>
    <s v="DENNIS LAM"/>
    <n v="701"/>
    <s v="Contract: Supply Chain Appendix"/>
    <s v="Supplier"/>
    <m/>
    <x v="30"/>
    <s v="Motor_General Agreement_ind.11 2012-05-28.pdf"/>
    <s v=".pdf"/>
    <d v="2014-03-20T00:00:00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1"/>
    <x v="0"/>
    <x v="0"/>
    <m/>
    <m/>
    <n v="1"/>
    <n v="1"/>
    <m/>
    <m/>
    <s v="FP"/>
    <m/>
    <s v="SP"/>
    <m/>
    <x v="9"/>
    <x v="1"/>
    <n v="1"/>
    <x v="47"/>
  </r>
  <r>
    <n v="720"/>
    <x v="164"/>
    <x v="164"/>
    <x v="154"/>
    <x v="2"/>
    <s v="DENNIS LAM"/>
    <n v="703"/>
    <s v="Declaration letter of group organization"/>
    <s v="Supplier"/>
    <m/>
    <x v="30"/>
    <s v="Motor_General Agreement_ind.11 2012-05-28.pdf"/>
    <s v=".pdf"/>
    <d v="2014-03-20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47"/>
  </r>
  <r>
    <n v="717"/>
    <x v="164"/>
    <x v="164"/>
    <x v="154"/>
    <x v="2"/>
    <s v="DENNIS LAM"/>
    <n v="700"/>
    <s v="Environmental Declaration"/>
    <s v="Supplier"/>
    <m/>
    <x v="30"/>
    <s v="Motor_General Agreement_ind.11 2012-05-28.pdf"/>
    <s v=".pdf"/>
    <d v="2014-03-20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47"/>
  </r>
  <r>
    <n v="708"/>
    <x v="164"/>
    <x v="164"/>
    <x v="154"/>
    <x v="2"/>
    <s v="DENNIS LAM"/>
    <n v="691"/>
    <s v="Foodstuffs declaration"/>
    <s v="Supplier"/>
    <m/>
    <x v="655"/>
    <s v="Motor FRD00069 ind.04 20090616.pdf"/>
    <s v=".pdf"/>
    <d v="2014-03-20T00:00:00"/>
    <s v="as\afok"/>
    <m/>
    <s v="FRD00 069 ind.04 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47"/>
  </r>
  <r>
    <n v="712"/>
    <x v="164"/>
    <x v="164"/>
    <x v="154"/>
    <x v="2"/>
    <s v="DENNIS LAM"/>
    <n v="695"/>
    <s v="LOC (Letter of Confidentiality)"/>
    <s v="Product / Project"/>
    <m/>
    <x v="656"/>
    <s v="Motor_LOC_Prep'Line 2 Hand Blender_31Jan2011.pdf"/>
    <s v=".pdf"/>
    <d v="2014-03-20T00:00:00"/>
    <s v="as\afok"/>
    <m/>
    <m/>
    <x v="0"/>
    <x v="0"/>
    <x v="0"/>
    <x v="0"/>
    <s v="Prep'Line 2 Hand Blender"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47"/>
  </r>
  <r>
    <n v="713"/>
    <x v="164"/>
    <x v="164"/>
    <x v="154"/>
    <x v="2"/>
    <s v="DENNIS LAM"/>
    <n v="696"/>
    <s v="LOC (Letter of Confidentiality)"/>
    <s v="Product / Project"/>
    <m/>
    <x v="657"/>
    <s v="Motor_LOC_Tokyo Subassembly_29Sep2011.pdf"/>
    <s v=".pdf"/>
    <d v="2014-03-20T00:00:00"/>
    <s v="as\afok"/>
    <m/>
    <m/>
    <x v="0"/>
    <x v="0"/>
    <x v="0"/>
    <x v="0"/>
    <s v="Tokyo Subassembly"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47"/>
  </r>
  <r>
    <n v="715"/>
    <x v="164"/>
    <x v="164"/>
    <x v="154"/>
    <x v="2"/>
    <s v="DENNIS LAM"/>
    <n v="698"/>
    <s v="LOC (Letter of Confidentiality)"/>
    <s v="Product / Project"/>
    <m/>
    <x v="184"/>
    <s v="Motor Electric_LOC_TYNDA Handblender_2012-05-07.pdf"/>
    <s v=".pdf"/>
    <d v="2014-03-20T00:00:00"/>
    <s v="as\afok"/>
    <m/>
    <m/>
    <x v="0"/>
    <x v="0"/>
    <x v="0"/>
    <x v="0"/>
    <s v="TYNDA Handblender"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47"/>
  </r>
  <r>
    <n v="714"/>
    <x v="164"/>
    <x v="164"/>
    <x v="154"/>
    <x v="2"/>
    <s v="DENNIS LAM"/>
    <n v="697"/>
    <s v="Other business certifications (ex : FSC for Packaging)"/>
    <s v="Supplier"/>
    <m/>
    <x v="480"/>
    <s v="ISO QMS certification notice_20111228.pdf"/>
    <s v=".pdf"/>
    <d v="2014-03-20T00:00:00"/>
    <s v="as\afok"/>
    <s v="Quality Management System Certification - Letter"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47"/>
  </r>
  <r>
    <n v="722"/>
    <x v="164"/>
    <x v="164"/>
    <x v="154"/>
    <x v="2"/>
    <s v="DENNIS LAM"/>
    <n v="705"/>
    <s v="Other business certifications (ex : FSC for Packaging)"/>
    <s v="Supplier"/>
    <m/>
    <x v="164"/>
    <s v="Transfer Design Letter on Tynda 26Feb13.pdf"/>
    <s v=".pdf"/>
    <d v="2014-03-20T00:00:00"/>
    <s v="as\afok"/>
    <s v="Transfer Design Letter on Tynda"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47"/>
  </r>
  <r>
    <n v="711"/>
    <x v="164"/>
    <x v="164"/>
    <x v="154"/>
    <x v="2"/>
    <s v="DENNIS LAM"/>
    <n v="694"/>
    <s v="Responsible Purchasing Charter"/>
    <s v="Supplier"/>
    <m/>
    <x v="297"/>
    <s v="Motor - Responsible Purchasing Charter (ENG).pdf"/>
    <s v=".pdf"/>
    <d v="2014-03-20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47"/>
  </r>
  <r>
    <n v="726"/>
    <x v="164"/>
    <x v="164"/>
    <x v="154"/>
    <x v="2"/>
    <s v="DENNIS LAM"/>
    <n v="709"/>
    <s v="SEF"/>
    <s v="Supplier"/>
    <m/>
    <x v="592"/>
    <s v="SEF -Motor Electric 2013 Jun.xlsx"/>
    <s v=".xlsx"/>
    <d v="2014-03-20T00:00:00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47"/>
  </r>
  <r>
    <n v="709"/>
    <x v="164"/>
    <x v="164"/>
    <x v="154"/>
    <x v="2"/>
    <s v="DENNIS LAM"/>
    <n v="692"/>
    <s v="SEF"/>
    <s v="Supplier"/>
    <m/>
    <x v="112"/>
    <s v="MOTOR_ SEF_JUN 2012.xlsx"/>
    <s v=".xlsx"/>
    <d v="2014-03-20T00:00:00"/>
    <s v="as\afok"/>
    <m/>
    <s v="2012"/>
    <x v="0"/>
    <x v="0"/>
    <x v="0"/>
    <x v="0"/>
    <m/>
    <m/>
    <m/>
    <m/>
    <n v="78"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47"/>
  </r>
  <r>
    <n v="710"/>
    <x v="164"/>
    <x v="164"/>
    <x v="154"/>
    <x v="2"/>
    <s v="DENNIS LAM"/>
    <n v="693"/>
    <s v="SIF"/>
    <s v="Supplier"/>
    <m/>
    <x v="83"/>
    <s v="MOTOR_SIF 2012_1Mar12.xlsx"/>
    <s v=".xlsx"/>
    <d v="2014-03-20T00:00:00"/>
    <s v="as\afok"/>
    <m/>
    <s v="2012"/>
    <x v="0"/>
    <x v="0"/>
    <x v="0"/>
    <x v="0"/>
    <m/>
    <m/>
    <m/>
    <m/>
    <m/>
    <n v="2012"/>
    <n v="58000000"/>
    <n v="58000000"/>
    <n v="58000000"/>
    <n v="55000000"/>
    <n v="55000000"/>
    <n v="18"/>
    <n v="15"/>
    <n v="18"/>
    <n v="18"/>
    <n v="18"/>
    <s v="FP panel Top 15"/>
    <x v="1"/>
    <x v="1"/>
    <x v="0"/>
    <x v="0"/>
    <m/>
    <m/>
    <m/>
    <n v="1"/>
    <m/>
    <m/>
    <s v="FP"/>
    <m/>
    <s v="SP"/>
    <m/>
    <x v="9"/>
    <x v="1"/>
    <n v="1"/>
    <x v="47"/>
  </r>
  <r>
    <n v="725"/>
    <x v="164"/>
    <x v="164"/>
    <x v="154"/>
    <x v="2"/>
    <s v="DENNIS LAM"/>
    <n v="708"/>
    <s v="SIF"/>
    <s v="Supplier"/>
    <m/>
    <x v="252"/>
    <s v="Motor Electric - FHA6E502_EN_-_SIF 2013.xlsx"/>
    <s v=".xlsx"/>
    <d v="2014-03-20T00:00:00"/>
    <s v="as\afok"/>
    <m/>
    <s v="2013"/>
    <x v="0"/>
    <x v="0"/>
    <x v="0"/>
    <x v="0"/>
    <m/>
    <m/>
    <m/>
    <m/>
    <m/>
    <n v="2013"/>
    <n v="70000000"/>
    <n v="68000000"/>
    <n v="58000000"/>
    <n v="58000000"/>
    <n v="55000000"/>
    <n v="16"/>
    <n v="18"/>
    <n v="15"/>
    <n v="18"/>
    <n v="18"/>
    <s v="FP panel Top 15"/>
    <x v="1"/>
    <x v="1"/>
    <x v="0"/>
    <x v="0"/>
    <m/>
    <m/>
    <m/>
    <n v="1"/>
    <m/>
    <m/>
    <s v="FP"/>
    <m/>
    <s v="SP"/>
    <m/>
    <x v="9"/>
    <x v="1"/>
    <n v="1"/>
    <x v="47"/>
  </r>
  <r>
    <n v="723"/>
    <x v="164"/>
    <x v="164"/>
    <x v="154"/>
    <x v="2"/>
    <s v="DENNIS LAM"/>
    <n v="706"/>
    <s v="Social Audit"/>
    <s v="Supplier"/>
    <m/>
    <x v="578"/>
    <s v="SEB Social Audit Checklist - Motor electric 2013.doc"/>
    <s v=".doc"/>
    <d v="2014-03-20T00:00:00"/>
    <s v="as\afok"/>
    <m/>
    <m/>
    <x v="0"/>
    <x v="0"/>
    <x v="0"/>
    <x v="0"/>
    <m/>
    <s v="SEB Asia"/>
    <s v="Initial"/>
    <s v="Critical"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47"/>
  </r>
  <r>
    <n v="724"/>
    <x v="164"/>
    <x v="164"/>
    <x v="154"/>
    <x v="2"/>
    <s v="DENNIS LAM"/>
    <n v="707"/>
    <s v="Social Audit CAP"/>
    <s v="Supplier"/>
    <m/>
    <x v="658"/>
    <s v="SEB Social Corrective Action Plan - Motor electric 2013.doc"/>
    <s v=".doc"/>
    <d v="2014-03-20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47"/>
  </r>
  <r>
    <n v="721"/>
    <x v="164"/>
    <x v="164"/>
    <x v="154"/>
    <x v="2"/>
    <s v="DENNIS LAM"/>
    <n v="704"/>
    <s v="SPR"/>
    <s v="Supplier"/>
    <m/>
    <x v="132"/>
    <s v="Motor Electric VPI Sept_2012 v2 - SPR.pptx"/>
    <s v=".pptx"/>
    <d v="2014-03-20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47"/>
  </r>
  <r>
    <n v="727"/>
    <x v="164"/>
    <x v="164"/>
    <x v="154"/>
    <x v="2"/>
    <s v="DENNIS LAM"/>
    <n v="710"/>
    <s v="SPR"/>
    <s v="Supplier"/>
    <m/>
    <x v="508"/>
    <s v="Motor Electric SPR 2013 v1 after meeting on 20131011 for Supplier.pptx"/>
    <s v=".pptx"/>
    <d v="2014-03-20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n v="1"/>
    <m/>
    <s v="FP"/>
    <m/>
    <s v="SP"/>
    <m/>
    <x v="9"/>
    <x v="1"/>
    <n v="1"/>
    <x v="47"/>
  </r>
  <r>
    <n v="1860"/>
    <x v="165"/>
    <x v="165"/>
    <x v="155"/>
    <x v="4"/>
    <s v="MAVERICK LAU"/>
    <n v="1816"/>
    <s v="Contract: General Contract"/>
    <s v="Supplier"/>
    <m/>
    <x v="31"/>
    <s v="Agreement_Nam ching_APR12.pdf"/>
    <s v=".pdf"/>
    <d v="2014-04-09T00:00:00"/>
    <s v="as\afok"/>
    <m/>
    <s v="V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x v="2"/>
    <x v="1"/>
    <m/>
    <x v="10"/>
  </r>
  <r>
    <n v="1862"/>
    <x v="165"/>
    <x v="165"/>
    <x v="155"/>
    <x v="4"/>
    <s v="MAVERICK LAU"/>
    <n v="1818"/>
    <s v="Contract: Quality Appendix"/>
    <s v="Supplier"/>
    <m/>
    <x v="31"/>
    <s v="Agreement_Nam ching_APR12.pdf"/>
    <s v=".pdf"/>
    <d v="2014-04-09T00:00:0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x v="2"/>
    <x v="1"/>
    <m/>
    <x v="10"/>
  </r>
  <r>
    <n v="1863"/>
    <x v="165"/>
    <x v="165"/>
    <x v="155"/>
    <x v="4"/>
    <s v="MAVERICK LAU"/>
    <n v="1819"/>
    <s v="Contract: Supply Chain Appendix"/>
    <s v="Supplier"/>
    <m/>
    <x v="31"/>
    <s v="Agreement_Nam ching_APR12.pdf"/>
    <s v=".pdf"/>
    <d v="2014-04-09T00:00:00"/>
    <s v="as\afok"/>
    <m/>
    <m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x v="2"/>
    <x v="1"/>
    <m/>
    <x v="10"/>
  </r>
  <r>
    <n v="1864"/>
    <x v="165"/>
    <x v="165"/>
    <x v="155"/>
    <x v="4"/>
    <s v="MAVERICK LAU"/>
    <n v="1820"/>
    <s v="Declaration letter of group organization"/>
    <s v="Supplier"/>
    <m/>
    <x v="28"/>
    <s v="Agreement_Nam ching_APR12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10"/>
  </r>
  <r>
    <n v="1861"/>
    <x v="165"/>
    <x v="165"/>
    <x v="155"/>
    <x v="4"/>
    <s v="MAVERICK LAU"/>
    <n v="1817"/>
    <s v="Environmental Declaration"/>
    <s v="Supplier"/>
    <m/>
    <x v="31"/>
    <s v="Agreement_Nam ching_APR12.pdf"/>
    <s v=".pdf"/>
    <d v="2014-04-09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10"/>
  </r>
  <r>
    <n v="1859"/>
    <x v="165"/>
    <x v="165"/>
    <x v="155"/>
    <x v="4"/>
    <s v="MAVERICK LAU"/>
    <n v="1815"/>
    <s v="Environmental Declaration"/>
    <s v="Supplier"/>
    <m/>
    <x v="186"/>
    <s v="NamChing_Env_Declaration_07Jun2010.xls"/>
    <s v=".xls"/>
    <d v="2014-04-09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10"/>
  </r>
  <r>
    <n v="1858"/>
    <x v="165"/>
    <x v="165"/>
    <x v="155"/>
    <x v="4"/>
    <s v="MAVERICK LAU"/>
    <n v="1814"/>
    <s v="Responsible Purchasing Charter"/>
    <s v="Supplier"/>
    <m/>
    <x v="659"/>
    <s v="Namching_Responsible_Purchasing_Charter_22Aug12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10"/>
  </r>
  <r>
    <n v="1865"/>
    <x v="165"/>
    <x v="165"/>
    <x v="155"/>
    <x v="4"/>
    <s v="MAVERICK LAU"/>
    <n v="1821"/>
    <s v="SEF"/>
    <s v="Supplier"/>
    <m/>
    <x v="270"/>
    <s v="SEF-Nam Ching-28AUG12-65.xlsx"/>
    <s v=".xlsx"/>
    <d v="2014-04-09T00:00:00"/>
    <s v="as\afok"/>
    <m/>
    <m/>
    <x v="0"/>
    <x v="0"/>
    <x v="0"/>
    <x v="0"/>
    <m/>
    <m/>
    <m/>
    <m/>
    <n v="65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10"/>
  </r>
  <r>
    <n v="1866"/>
    <x v="165"/>
    <x v="165"/>
    <x v="155"/>
    <x v="4"/>
    <s v="MAVERICK LAU"/>
    <n v="1822"/>
    <s v="SIF"/>
    <s v="Supplier"/>
    <m/>
    <x v="660"/>
    <s v="NamChing_SIF_07Jun2010.xls"/>
    <s v=".xls"/>
    <d v="2014-04-09T00:00:00"/>
    <s v="as\afok"/>
    <m/>
    <s v="2010"/>
    <x v="0"/>
    <x v="0"/>
    <x v="0"/>
    <x v="0"/>
    <m/>
    <m/>
    <m/>
    <m/>
    <m/>
    <n v="2010"/>
    <n v="307468"/>
    <n v="198483.27"/>
    <n v="107970"/>
    <n v="83655"/>
    <n v="520256.37"/>
    <m/>
    <n v="5"/>
    <n v="6"/>
    <n v="5"/>
    <n v="15"/>
    <m/>
    <x v="0"/>
    <x v="0"/>
    <x v="0"/>
    <x v="0"/>
    <m/>
    <m/>
    <m/>
    <n v="1"/>
    <m/>
    <m/>
    <m/>
    <s v="CP"/>
    <m/>
    <m/>
    <x v="2"/>
    <x v="1"/>
    <m/>
    <x v="10"/>
  </r>
  <r>
    <n v="1867"/>
    <x v="165"/>
    <x v="165"/>
    <x v="155"/>
    <x v="4"/>
    <s v="MAVERICK LAU"/>
    <n v="1823"/>
    <s v="SPR"/>
    <s v="Supplier"/>
    <m/>
    <x v="178"/>
    <s v="_SPR-Nam Ching-2011M09.pptx"/>
    <s v=".pptx"/>
    <d v="2014-04-09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m/>
    <s v="CP"/>
    <m/>
    <m/>
    <x v="2"/>
    <x v="1"/>
    <m/>
    <x v="10"/>
  </r>
  <r>
    <n v="1340"/>
    <x v="166"/>
    <x v="166"/>
    <x v="156"/>
    <x v="0"/>
    <s v="JACQUELINE POON"/>
    <n v="1309"/>
    <s v="Contract: General Contract"/>
    <s v="Supplier"/>
    <m/>
    <x v="661"/>
    <s v="General_Agreement_New_Leaf05022010.pdf"/>
    <s v=".pdf"/>
    <d v="2014-03-31T00:00:00"/>
    <s v="as\afok"/>
    <m/>
    <s v="FHA 00 016 ind.07"/>
    <x v="7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n v="1"/>
    <m/>
    <m/>
    <n v="1"/>
    <m/>
    <m/>
    <s v="FP"/>
    <s v="CP"/>
    <s v="SP"/>
    <m/>
    <x v="14"/>
    <x v="1"/>
    <m/>
    <x v="48"/>
  </r>
  <r>
    <n v="1341"/>
    <x v="166"/>
    <x v="166"/>
    <x v="156"/>
    <x v="0"/>
    <s v="JACQUELINE POON"/>
    <n v="1310"/>
    <s v="Contract: General Contract"/>
    <s v="Supplier"/>
    <m/>
    <x v="338"/>
    <s v="New Leaf_Contract.pdf"/>
    <s v=".pdf"/>
    <d v="2014-03-31T00:00:00"/>
    <s v="as\afok"/>
    <m/>
    <s v="V5"/>
    <x v="1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n v="1"/>
    <m/>
    <m/>
    <n v="1"/>
    <m/>
    <m/>
    <s v="FP"/>
    <s v="CP"/>
    <s v="SP"/>
    <m/>
    <x v="14"/>
    <x v="1"/>
    <m/>
    <x v="48"/>
  </r>
  <r>
    <n v="1343"/>
    <x v="166"/>
    <x v="166"/>
    <x v="156"/>
    <x v="0"/>
    <s v="JACQUELINE POON"/>
    <n v="1312"/>
    <s v="Contract: General Contract"/>
    <s v="Supplier"/>
    <m/>
    <x v="662"/>
    <s v="New Leaf_Supply Agreement (Component)_Oct2012.pdf"/>
    <s v=".pdf"/>
    <d v="2014-03-31T00:00:00"/>
    <s v="as\afok"/>
    <m/>
    <s v="V7"/>
    <x v="4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n v="1"/>
    <m/>
    <m/>
    <n v="1"/>
    <m/>
    <m/>
    <s v="FP"/>
    <s v="CP"/>
    <s v="SP"/>
    <m/>
    <x v="14"/>
    <x v="1"/>
    <m/>
    <x v="48"/>
  </r>
  <r>
    <n v="1345"/>
    <x v="166"/>
    <x v="166"/>
    <x v="156"/>
    <x v="0"/>
    <s v="JACQUELINE POON"/>
    <n v="1314"/>
    <s v="Contract: General Contract"/>
    <s v="Supplier"/>
    <m/>
    <x v="29"/>
    <s v="New Leaf_General Agreement (missing supply chain and Quality appendix)_27Jul12.pdf"/>
    <s v=".pdf"/>
    <d v="2014-03-31T00:00:00"/>
    <s v="as\afok"/>
    <m/>
    <s v="FHA 00 016 ind.09"/>
    <x v="4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n v="1"/>
    <m/>
    <m/>
    <n v="1"/>
    <m/>
    <m/>
    <s v="FP"/>
    <s v="CP"/>
    <s v="SP"/>
    <m/>
    <x v="14"/>
    <x v="1"/>
    <m/>
    <x v="48"/>
  </r>
  <r>
    <n v="1342"/>
    <x v="166"/>
    <x v="166"/>
    <x v="156"/>
    <x v="0"/>
    <s v="JACQUELINE POON"/>
    <n v="1311"/>
    <s v="Contract: Quality Appendix"/>
    <s v="Supplier"/>
    <m/>
    <x v="338"/>
    <s v="New Leaf_Contract.pdf"/>
    <s v=".pdf"/>
    <d v="2014-03-31T00:00:00"/>
    <s v="as\afok"/>
    <m/>
    <s v="FHA 00 014"/>
    <x v="0"/>
    <x v="0"/>
    <x v="0"/>
    <x v="4"/>
    <m/>
    <m/>
    <m/>
    <m/>
    <m/>
    <m/>
    <m/>
    <m/>
    <m/>
    <m/>
    <m/>
    <m/>
    <m/>
    <m/>
    <m/>
    <m/>
    <s v="FP Panel and  CP Panel"/>
    <x v="1"/>
    <x v="2"/>
    <x v="1"/>
    <x v="5"/>
    <m/>
    <n v="1"/>
    <m/>
    <n v="1"/>
    <m/>
    <m/>
    <s v="FP"/>
    <s v="CP"/>
    <s v="SP"/>
    <m/>
    <x v="14"/>
    <x v="1"/>
    <m/>
    <x v="48"/>
  </r>
  <r>
    <n v="1347"/>
    <x v="166"/>
    <x v="166"/>
    <x v="156"/>
    <x v="0"/>
    <s v="JACQUELINE POON"/>
    <n v="1316"/>
    <s v="Declaration letter of group organization"/>
    <s v="Supplier"/>
    <m/>
    <x v="663"/>
    <s v="New Leaf_General Agreement (missing supply chain and Quality appendix)_27Jul12.pdf"/>
    <s v=".pdf"/>
    <d v="2014-03-31T00:00:00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m/>
    <x v="14"/>
    <x v="1"/>
    <m/>
    <x v="48"/>
  </r>
  <r>
    <n v="1346"/>
    <x v="166"/>
    <x v="166"/>
    <x v="156"/>
    <x v="0"/>
    <s v="JACQUELINE POON"/>
    <n v="1315"/>
    <s v="Environmental Declaration"/>
    <s v="Supplier"/>
    <m/>
    <x v="663"/>
    <s v="New Leaf_General Agreement (missing supply chain and Quality appendix)_27Jul12.pdf"/>
    <s v=".pdf"/>
    <d v="2014-03-31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m/>
    <x v="14"/>
    <x v="1"/>
    <m/>
    <x v="48"/>
  </r>
  <r>
    <n v="1339"/>
    <x v="166"/>
    <x v="166"/>
    <x v="156"/>
    <x v="0"/>
    <s v="JACQUELINE POON"/>
    <n v="1308"/>
    <s v="Environmental Declaration"/>
    <s v="Supplier"/>
    <m/>
    <x v="664"/>
    <s v="New_Leaf_Env_Declaration_18Mar2010.xls"/>
    <s v=".xls"/>
    <d v="2014-03-31T00:00:00"/>
    <s v="as\afok"/>
    <m/>
    <s v="2010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m/>
    <x v="14"/>
    <x v="1"/>
    <m/>
    <x v="48"/>
  </r>
  <r>
    <n v="1349"/>
    <x v="166"/>
    <x v="166"/>
    <x v="156"/>
    <x v="0"/>
    <s v="JACQUELINE POON"/>
    <n v="1318"/>
    <s v="LOC (Letter of Confidentiality)"/>
    <s v="Supplier"/>
    <m/>
    <x v="665"/>
    <s v="New_Leaf_LOC_19Apr2010.pdf"/>
    <s v=".pdf"/>
    <d v="2014-03-31T00:00:00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n v="1"/>
    <m/>
    <s v="FP"/>
    <s v="CP"/>
    <s v="SP"/>
    <m/>
    <x v="14"/>
    <x v="1"/>
    <m/>
    <x v="48"/>
  </r>
  <r>
    <n v="1332"/>
    <x v="166"/>
    <x v="166"/>
    <x v="156"/>
    <x v="0"/>
    <s v="JACQUELINE POON"/>
    <n v="1301"/>
    <s v="Other business certifications (ex : FSC for Packaging)"/>
    <s v="Supplier"/>
    <m/>
    <x v="666"/>
    <s v="ROCHEDO Tigger and Pawn - Purchase Agreement_n_ IP_4Mar11.pdf"/>
    <s v=".pdf"/>
    <d v="2014-03-31T00:00:00"/>
    <s v="as\afok"/>
    <s v="Purchasing agreement: ROCHEDO Tigger and Pawn"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m/>
    <x v="14"/>
    <x v="1"/>
    <m/>
    <x v="48"/>
  </r>
  <r>
    <n v="1344"/>
    <x v="166"/>
    <x v="166"/>
    <x v="156"/>
    <x v="0"/>
    <s v="JACQUELINE POON"/>
    <n v="1313"/>
    <s v="Responsible Purchasing Charter"/>
    <s v="Supplier"/>
    <m/>
    <x v="242"/>
    <s v="New Leaf_Responsible Purchasing Charter_6Aug12.pdf"/>
    <s v=".pdf"/>
    <d v="2014-03-31T00:00:00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m/>
    <x v="14"/>
    <x v="1"/>
    <m/>
    <x v="48"/>
  </r>
  <r>
    <n v="1338"/>
    <x v="166"/>
    <x v="166"/>
    <x v="156"/>
    <x v="0"/>
    <s v="JACQUELINE POON"/>
    <n v="1307"/>
    <s v="SEF"/>
    <s v="Supplier"/>
    <m/>
    <x v="470"/>
    <s v="Newleaf_SEF_Apr2011-jac.xlsx"/>
    <s v=".xlsx"/>
    <d v="2014-03-31T00:00:00"/>
    <s v="as\afok"/>
    <m/>
    <s v="2011"/>
    <x v="0"/>
    <x v="0"/>
    <x v="0"/>
    <x v="0"/>
    <m/>
    <m/>
    <m/>
    <m/>
    <n v="85"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m/>
    <x v="14"/>
    <x v="1"/>
    <m/>
    <x v="48"/>
  </r>
  <r>
    <n v="1337"/>
    <x v="166"/>
    <x v="166"/>
    <x v="156"/>
    <x v="0"/>
    <s v="JACQUELINE POON"/>
    <n v="1306"/>
    <s v="SEF"/>
    <s v="Supplier"/>
    <m/>
    <x v="611"/>
    <s v="NewLeaf_SEF_Sep2012-Jac.xlsx"/>
    <s v=".xlsx"/>
    <d v="2014-03-31T00:00:00"/>
    <s v="as\afok"/>
    <m/>
    <s v="2012"/>
    <x v="0"/>
    <x v="0"/>
    <x v="0"/>
    <x v="0"/>
    <m/>
    <m/>
    <m/>
    <m/>
    <n v="80"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m/>
    <x v="14"/>
    <x v="1"/>
    <m/>
    <x v="48"/>
  </r>
  <r>
    <n v="1331"/>
    <x v="166"/>
    <x v="166"/>
    <x v="156"/>
    <x v="0"/>
    <s v="JACQUELINE POON"/>
    <n v="1300"/>
    <s v="SIF"/>
    <s v="Supplier"/>
    <m/>
    <x v="523"/>
    <s v="New_Leaf_SIF 2013.xls"/>
    <s v=".xls"/>
    <d v="2014-03-31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m/>
    <x v="14"/>
    <x v="1"/>
    <m/>
    <x v="48"/>
  </r>
  <r>
    <n v="1348"/>
    <x v="166"/>
    <x v="166"/>
    <x v="156"/>
    <x v="0"/>
    <s v="JACQUELINE POON"/>
    <n v="1317"/>
    <s v="SIF"/>
    <s v="Supplier"/>
    <m/>
    <x v="667"/>
    <s v="SIF2011_New_Leaf.xlsx"/>
    <s v=".xlsx"/>
    <d v="2014-03-31T00:00:00"/>
    <s v="as\afok"/>
    <m/>
    <s v="2011"/>
    <x v="0"/>
    <x v="0"/>
    <x v="0"/>
    <x v="0"/>
    <m/>
    <m/>
    <m/>
    <m/>
    <m/>
    <n v="2011"/>
    <n v="140000000"/>
    <n v="124649408"/>
    <n v="81237823.409999996"/>
    <n v="86000000"/>
    <n v="81500000"/>
    <n v="25"/>
    <n v="23.5"/>
    <n v="19"/>
    <n v="17.87"/>
    <n v="19.59"/>
    <s v="FP Panel and  CP Panel"/>
    <x v="1"/>
    <x v="2"/>
    <x v="1"/>
    <x v="5"/>
    <m/>
    <m/>
    <m/>
    <n v="1"/>
    <m/>
    <m/>
    <s v="FP"/>
    <s v="CP"/>
    <s v="SP"/>
    <m/>
    <x v="14"/>
    <x v="1"/>
    <m/>
    <x v="48"/>
  </r>
  <r>
    <n v="1334"/>
    <x v="166"/>
    <x v="166"/>
    <x v="156"/>
    <x v="0"/>
    <s v="JACQUELINE POON"/>
    <n v="1303"/>
    <s v="SPR"/>
    <s v="Supplier"/>
    <m/>
    <x v="668"/>
    <s v="NewLeaf-SPR Final on 25Jun12.pptx"/>
    <s v=".pptx"/>
    <d v="2014-03-31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m/>
    <x v="14"/>
    <x v="1"/>
    <m/>
    <x v="48"/>
  </r>
  <r>
    <n v="2089"/>
    <x v="167"/>
    <x v="167"/>
    <x v="157"/>
    <x v="4"/>
    <s v="RICKY LAM"/>
    <n v="2032"/>
    <s v="ISO 14001"/>
    <s v="Supplier"/>
    <d v="2012-02-05T00:00:00"/>
    <x v="356"/>
    <s v="NIFCO_ISO14001_05Feb2012.JPG"/>
    <s v=".jpg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12"/>
  </r>
  <r>
    <n v="2088"/>
    <x v="167"/>
    <x v="167"/>
    <x v="157"/>
    <x v="4"/>
    <s v="RICKY LAM"/>
    <n v="2031"/>
    <s v="Responsible Purchasing Charter"/>
    <s v="Supplier"/>
    <m/>
    <x v="45"/>
    <s v="Nifco_Responsible_Purchasing_Charter_04Sep12.tif"/>
    <s v=".tif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12"/>
  </r>
  <r>
    <n v="2087"/>
    <x v="167"/>
    <x v="167"/>
    <x v="157"/>
    <x v="4"/>
    <s v="RICKY LAM"/>
    <n v="2030"/>
    <s v="SIF"/>
    <s v="Supplier"/>
    <m/>
    <x v="669"/>
    <s v="Nifco_SIF2013.xlsx"/>
    <s v=".xlsx"/>
    <d v="2014-04-11T00:00:00"/>
    <s v="as\afok"/>
    <m/>
    <s v="2013"/>
    <x v="0"/>
    <x v="0"/>
    <x v="0"/>
    <x v="0"/>
    <m/>
    <m/>
    <m/>
    <m/>
    <m/>
    <n v="2013"/>
    <n v="1600000"/>
    <n v="1600000"/>
    <n v="1300000"/>
    <m/>
    <m/>
    <m/>
    <n v="0"/>
    <m/>
    <m/>
    <m/>
    <m/>
    <x v="0"/>
    <x v="0"/>
    <x v="0"/>
    <x v="0"/>
    <m/>
    <m/>
    <m/>
    <n v="0"/>
    <m/>
    <m/>
    <m/>
    <s v="CP"/>
    <m/>
    <m/>
    <x v="2"/>
    <x v="1"/>
    <m/>
    <x v="12"/>
  </r>
  <r>
    <n v="2435"/>
    <x v="168"/>
    <x v="168"/>
    <x v="158"/>
    <x v="5"/>
    <s v="SHOT XU"/>
    <n v="2376"/>
    <s v="Responsible Purchasing Charter"/>
    <s v="Supplier"/>
    <m/>
    <x v="320"/>
    <s v="Bangshou_Responsible Purchasing Charter_14Aug2012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x v="4"/>
    <x v="1"/>
    <m/>
    <x v="10"/>
  </r>
  <r>
    <n v="2436"/>
    <x v="168"/>
    <x v="168"/>
    <x v="158"/>
    <x v="5"/>
    <s v="SHOT XU"/>
    <n v="2377"/>
    <s v="SIF"/>
    <s v="Supplier"/>
    <m/>
    <x v="670"/>
    <s v="Bangshou_SIF_5Mar2012.xlsx"/>
    <s v=".xlsx"/>
    <d v="2014-04-17T00:00:00"/>
    <s v="as\afok"/>
    <m/>
    <s v="2012"/>
    <x v="0"/>
    <x v="0"/>
    <x v="0"/>
    <x v="0"/>
    <m/>
    <m/>
    <m/>
    <m/>
    <m/>
    <n v="2012"/>
    <n v="20000000"/>
    <n v="17000000"/>
    <n v="15000000"/>
    <n v="12000000"/>
    <n v="10000000"/>
    <n v="15"/>
    <n v="6"/>
    <m/>
    <m/>
    <m/>
    <m/>
    <x v="0"/>
    <x v="0"/>
    <x v="0"/>
    <x v="0"/>
    <m/>
    <m/>
    <m/>
    <n v="0"/>
    <m/>
    <n v="1"/>
    <s v="FP"/>
    <m/>
    <s v="SP"/>
    <s v="MOULD"/>
    <x v="4"/>
    <x v="1"/>
    <m/>
    <x v="10"/>
  </r>
  <r>
    <n v="2434"/>
    <x v="168"/>
    <x v="168"/>
    <x v="158"/>
    <x v="5"/>
    <s v="SHOT XU"/>
    <n v="2375"/>
    <s v="SIF"/>
    <s v="Supplier"/>
    <m/>
    <x v="46"/>
    <s v="Bangshou_SIF_Jan2014.xlsx"/>
    <s v=".xlsx"/>
    <d v="2014-04-17T00:00:00"/>
    <s v="as\afok"/>
    <m/>
    <s v="2014"/>
    <x v="0"/>
    <x v="0"/>
    <x v="0"/>
    <x v="0"/>
    <m/>
    <m/>
    <m/>
    <m/>
    <m/>
    <n v="2014"/>
    <n v="26000000"/>
    <n v="21000000"/>
    <n v="17000000"/>
    <n v="15000000"/>
    <n v="12000000"/>
    <n v="15"/>
    <n v="8"/>
    <m/>
    <m/>
    <m/>
    <m/>
    <x v="0"/>
    <x v="0"/>
    <x v="0"/>
    <x v="0"/>
    <m/>
    <m/>
    <m/>
    <n v="0"/>
    <m/>
    <m/>
    <s v="FP"/>
    <m/>
    <s v="SP"/>
    <s v="MOULD"/>
    <x v="4"/>
    <x v="1"/>
    <m/>
    <x v="10"/>
  </r>
  <r>
    <n v="1624"/>
    <x v="169"/>
    <x v="169"/>
    <x v="159"/>
    <x v="3"/>
    <s v="JIMMY HO"/>
    <n v="1585"/>
    <s v="Contract: General Contract"/>
    <s v="Supplier"/>
    <m/>
    <x v="671"/>
    <s v="NyHang_FHA6E022_20091202.pdf"/>
    <s v=".pdf"/>
    <d v="2014-04-04T00:00:00"/>
    <s v="as\afok"/>
    <m/>
    <s v="FHA 6E 022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x v="4"/>
    <x v="1"/>
    <m/>
    <x v="11"/>
  </r>
  <r>
    <n v="1625"/>
    <x v="169"/>
    <x v="169"/>
    <x v="159"/>
    <x v="3"/>
    <s v="JIMMY HO"/>
    <n v="1586"/>
    <s v="Contract: Quality Appendix"/>
    <s v="Supplier"/>
    <m/>
    <x v="671"/>
    <s v="NyHang_FHA6E022_20091202.pdf"/>
    <s v=".pdf"/>
    <d v="2014-04-04T00:00:00"/>
    <s v="as\afok"/>
    <m/>
    <s v="FHA 00 014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x v="4"/>
    <x v="1"/>
    <m/>
    <x v="11"/>
  </r>
  <r>
    <n v="1626"/>
    <x v="169"/>
    <x v="169"/>
    <x v="159"/>
    <x v="3"/>
    <s v="JIMMY HO"/>
    <n v="1587"/>
    <s v="Contract: Supply Chain Appendix"/>
    <s v="Supplier"/>
    <m/>
    <x v="672"/>
    <s v="NyHang_FHA6E022_20091202.pdf"/>
    <s v=".pdf"/>
    <d v="2014-04-04T00:00:00"/>
    <s v="as\afok"/>
    <m/>
    <m/>
    <x v="0"/>
    <x v="5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x v="4"/>
    <x v="1"/>
    <m/>
    <x v="11"/>
  </r>
  <r>
    <n v="1627"/>
    <x v="169"/>
    <x v="169"/>
    <x v="159"/>
    <x v="3"/>
    <s v="JIMMY HO"/>
    <n v="1588"/>
    <s v="Environmental Declaration"/>
    <s v="Supplier"/>
    <m/>
    <x v="511"/>
    <s v="Ny_Hang_Env_Declaration_31Mar2010.xlsx"/>
    <s v=".xlsx"/>
    <d v="2014-04-04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11"/>
  </r>
  <r>
    <n v="1619"/>
    <x v="169"/>
    <x v="169"/>
    <x v="159"/>
    <x v="3"/>
    <s v="JIMMY HO"/>
    <n v="1580"/>
    <s v="Exclusivity (EA)"/>
    <s v="Supplier"/>
    <m/>
    <x v="222"/>
    <s v="NYHANG -  WORLDWIDE EXCLUSIVITY FORM_14Oct10.pdf"/>
    <s v=".pdf"/>
    <d v="2014-04-04T00:00:00"/>
    <s v="as\afok"/>
    <s v="WORLDWIDE EXCLUSIVITY 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11"/>
  </r>
  <r>
    <n v="1623"/>
    <x v="169"/>
    <x v="169"/>
    <x v="159"/>
    <x v="3"/>
    <s v="JIMMY HO"/>
    <n v="1584"/>
    <s v="Foodstuffs declaration"/>
    <s v="Supplier"/>
    <m/>
    <x v="673"/>
    <s v="Ny Hang FRD00069 ind.04 20090716.pdf"/>
    <s v=".pdf"/>
    <d v="2014-04-04T00:00:00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11"/>
  </r>
  <r>
    <n v="1621"/>
    <x v="169"/>
    <x v="169"/>
    <x v="159"/>
    <x v="3"/>
    <s v="JIMMY HO"/>
    <n v="1582"/>
    <s v="Responsible Purchasing Charter"/>
    <s v="Supplier"/>
    <m/>
    <x v="45"/>
    <s v="NyHang - Responsible Purchasing Charter.pdf"/>
    <s v=".pdf"/>
    <d v="2014-04-0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11"/>
  </r>
  <r>
    <n v="1622"/>
    <x v="169"/>
    <x v="169"/>
    <x v="159"/>
    <x v="3"/>
    <s v="JIMMY HO"/>
    <n v="1583"/>
    <s v="SEF"/>
    <s v="Supplier"/>
    <m/>
    <x v="55"/>
    <s v="SEF_NY Hang_201206.xlsx"/>
    <s v=".xlsx"/>
    <d v="2014-04-04T00:00:00"/>
    <s v="as\afok"/>
    <m/>
    <s v="2012"/>
    <x v="0"/>
    <x v="0"/>
    <x v="0"/>
    <x v="0"/>
    <m/>
    <m/>
    <m/>
    <m/>
    <n v="68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11"/>
  </r>
  <r>
    <n v="1620"/>
    <x v="169"/>
    <x v="169"/>
    <x v="159"/>
    <x v="3"/>
    <s v="JIMMY HO"/>
    <n v="1581"/>
    <s v="SIF"/>
    <s v="Supplier"/>
    <m/>
    <x v="83"/>
    <s v="NYHANG_SIF 2012_28Feb12.xlsx"/>
    <s v=".xlsx"/>
    <d v="2014-04-04T00:00:00"/>
    <s v="as\afok"/>
    <m/>
    <s v="2012"/>
    <x v="0"/>
    <x v="0"/>
    <x v="0"/>
    <x v="0"/>
    <m/>
    <m/>
    <m/>
    <m/>
    <m/>
    <n v="2012"/>
    <n v="200000000"/>
    <n v="18000000"/>
    <n v="16000000"/>
    <n v="20000000"/>
    <n v="250000000"/>
    <n v="80"/>
    <n v="60"/>
    <n v="58"/>
    <n v="50"/>
    <m/>
    <m/>
    <x v="0"/>
    <x v="0"/>
    <x v="0"/>
    <x v="0"/>
    <m/>
    <m/>
    <m/>
    <n v="1"/>
    <m/>
    <m/>
    <s v="FP"/>
    <m/>
    <s v="SP"/>
    <s v="MOULD"/>
    <x v="4"/>
    <x v="1"/>
    <m/>
    <x v="11"/>
  </r>
  <r>
    <n v="1618"/>
    <x v="169"/>
    <x v="169"/>
    <x v="159"/>
    <x v="3"/>
    <s v="JIMMY HO"/>
    <n v="1579"/>
    <s v="SIF"/>
    <s v="Supplier"/>
    <m/>
    <x v="287"/>
    <s v="SIF 2013 - NyHang.xls"/>
    <s v=".xls"/>
    <d v="2014-04-04T00:00:00"/>
    <s v="as\afok"/>
    <m/>
    <s v="2013"/>
    <x v="0"/>
    <x v="0"/>
    <x v="0"/>
    <x v="0"/>
    <m/>
    <m/>
    <m/>
    <m/>
    <m/>
    <n v="2013"/>
    <n v="20000000"/>
    <n v="19500000"/>
    <n v="17500000"/>
    <n v="20000000"/>
    <n v="20000000"/>
    <n v="2"/>
    <n v="1.61"/>
    <n v="5.67"/>
    <m/>
    <m/>
    <m/>
    <x v="0"/>
    <x v="0"/>
    <x v="0"/>
    <x v="0"/>
    <m/>
    <m/>
    <m/>
    <n v="1"/>
    <m/>
    <m/>
    <s v="FP"/>
    <m/>
    <s v="SP"/>
    <s v="MOULD"/>
    <x v="4"/>
    <x v="1"/>
    <m/>
    <x v="11"/>
  </r>
  <r>
    <n v="1628"/>
    <x v="169"/>
    <x v="169"/>
    <x v="159"/>
    <x v="3"/>
    <s v="JIMMY HO"/>
    <n v="1589"/>
    <s v="SPR"/>
    <s v="Supplier"/>
    <m/>
    <x v="520"/>
    <s v="NyHang_SPR_2009.xlsx"/>
    <s v=".xlsx"/>
    <d v="2014-04-04T00:00:00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s v="MOULD"/>
    <x v="4"/>
    <x v="1"/>
    <m/>
    <x v="11"/>
  </r>
  <r>
    <n v="1055"/>
    <x v="170"/>
    <x v="170"/>
    <x v="160"/>
    <x v="1"/>
    <s v="EVA LAI"/>
    <n v="1032"/>
    <s v="Responsible Purchasing Charter"/>
    <s v="Supplier"/>
    <m/>
    <x v="45"/>
    <s v="Olympic_Country_Responsible Purchasing Charter_04Sept2012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054"/>
    <x v="170"/>
    <x v="170"/>
    <x v="160"/>
    <x v="1"/>
    <s v="EVA LAI"/>
    <n v="1031"/>
    <s v="SEF"/>
    <s v="Supplier"/>
    <m/>
    <x v="89"/>
    <s v="Olympic_SEF_2012-2.xlsx"/>
    <s v=".xlsx"/>
    <d v="2014-03-25T00:00:00"/>
    <s v="as\afok"/>
    <m/>
    <s v="2012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052"/>
    <x v="170"/>
    <x v="170"/>
    <x v="160"/>
    <x v="1"/>
    <s v="EVA LAI"/>
    <n v="1029"/>
    <s v="SEF"/>
    <s v="Supplier"/>
    <m/>
    <x v="88"/>
    <s v="Olympic_SEF_2013-1.xls"/>
    <s v=".xls"/>
    <d v="2014-03-25T00:00:00"/>
    <s v="as\afok"/>
    <m/>
    <s v="2013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056"/>
    <x v="170"/>
    <x v="170"/>
    <x v="160"/>
    <x v="1"/>
    <s v="EVA LAI"/>
    <n v="1033"/>
    <s v="SEF"/>
    <s v="Supplier"/>
    <m/>
    <x v="30"/>
    <s v="Olympic_SEF_2012.xlsx"/>
    <s v=".xlsx"/>
    <d v="2014-03-25T00:00:00"/>
    <s v="as\afok"/>
    <m/>
    <s v="2012"/>
    <x v="0"/>
    <x v="0"/>
    <x v="0"/>
    <x v="0"/>
    <m/>
    <m/>
    <m/>
    <m/>
    <n v="82"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1053"/>
    <x v="170"/>
    <x v="170"/>
    <x v="160"/>
    <x v="1"/>
    <s v="EVA LAI"/>
    <n v="1030"/>
    <s v="SIF"/>
    <s v="Supplier"/>
    <m/>
    <x v="139"/>
    <s v="Olympic_Country_SIF 2013.xls"/>
    <s v=".xls"/>
    <d v="2014-03-25T00:00:00"/>
    <s v="as\afok"/>
    <m/>
    <s v="2013"/>
    <x v="0"/>
    <x v="0"/>
    <x v="0"/>
    <x v="0"/>
    <m/>
    <m/>
    <m/>
    <m/>
    <m/>
    <n v="2013"/>
    <n v="220000000"/>
    <n v="178000000"/>
    <n v="135000000"/>
    <n v="100000000"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529"/>
    <x v="171"/>
    <x v="171"/>
    <x v="161"/>
    <x v="0"/>
    <s v="KITTY LAI"/>
    <n v="515"/>
    <s v="Contract: General Contract"/>
    <s v="Supplier"/>
    <m/>
    <x v="674"/>
    <s v="Arabin _General Agreement _ Ind 12_ SEP 2013.pdf"/>
    <s v=".pdf"/>
    <d v="2014-03-18T00:00:00"/>
    <s v="as\afok"/>
    <m/>
    <s v="FRD00016 ind.12"/>
    <x v="3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n v="1"/>
    <m/>
    <m/>
    <n v="1"/>
    <m/>
    <m/>
    <s v="FP"/>
    <m/>
    <m/>
    <s v="MOULD"/>
    <x v="13"/>
    <x v="1"/>
    <m/>
    <x v="0"/>
  </r>
  <r>
    <n v="533"/>
    <x v="171"/>
    <x v="171"/>
    <x v="161"/>
    <x v="0"/>
    <s v="KITTY LAI"/>
    <n v="519"/>
    <s v="Contract: General Contract"/>
    <s v="Supplier"/>
    <m/>
    <x v="202"/>
    <s v="Arabin _General Agreement _ Ind 10_ 30 JUL13.pdf"/>
    <s v=".pdf"/>
    <d v="2014-03-18T00:00:00"/>
    <s v="as\afok"/>
    <m/>
    <s v="FRD00069 ind.10"/>
    <x v="3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n v="1"/>
    <m/>
    <m/>
    <n v="1"/>
    <m/>
    <m/>
    <s v="FP"/>
    <m/>
    <m/>
    <s v="MOULD"/>
    <x v="13"/>
    <x v="1"/>
    <m/>
    <x v="0"/>
  </r>
  <r>
    <n v="532"/>
    <x v="171"/>
    <x v="171"/>
    <x v="161"/>
    <x v="0"/>
    <s v="KITTY LAI"/>
    <n v="518"/>
    <s v="Contract: Quality Appendix"/>
    <s v="Supplier"/>
    <m/>
    <x v="674"/>
    <s v="Arabin _General Agreement _ Ind 12_ SEP 2013.pdf"/>
    <s v=".pdf"/>
    <d v="2014-03-18T00:00:00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4"/>
    <x v="0"/>
    <x v="0"/>
    <m/>
    <n v="1"/>
    <m/>
    <n v="1"/>
    <m/>
    <m/>
    <s v="FP"/>
    <m/>
    <m/>
    <s v="MOULD"/>
    <x v="13"/>
    <x v="1"/>
    <m/>
    <x v="0"/>
  </r>
  <r>
    <n v="531"/>
    <x v="171"/>
    <x v="171"/>
    <x v="161"/>
    <x v="0"/>
    <s v="KITTY LAI"/>
    <n v="517"/>
    <s v="Contract: Supply Chain Appendix"/>
    <s v="Supplier"/>
    <m/>
    <x v="674"/>
    <s v="Arabin _General Agreement _ Ind 12_ SEP 2013.pdf"/>
    <s v=".pdf"/>
    <d v="2014-03-18T00:00:00"/>
    <s v="as\afok"/>
    <m/>
    <s v="V10"/>
    <x v="0"/>
    <x v="10"/>
    <x v="2"/>
    <x v="0"/>
    <m/>
    <m/>
    <m/>
    <m/>
    <m/>
    <m/>
    <m/>
    <m/>
    <m/>
    <m/>
    <m/>
    <m/>
    <m/>
    <m/>
    <m/>
    <m/>
    <s v="FP panel"/>
    <x v="1"/>
    <x v="4"/>
    <x v="0"/>
    <x v="0"/>
    <m/>
    <m/>
    <n v="1"/>
    <n v="1"/>
    <m/>
    <m/>
    <s v="FP"/>
    <m/>
    <m/>
    <s v="MOULD"/>
    <x v="13"/>
    <x v="1"/>
    <m/>
    <x v="0"/>
  </r>
  <r>
    <n v="534"/>
    <x v="171"/>
    <x v="171"/>
    <x v="161"/>
    <x v="0"/>
    <s v="KITTY LAI"/>
    <n v="520"/>
    <s v="Declaration letter of group organization"/>
    <s v="Supplier"/>
    <m/>
    <x v="109"/>
    <s v="Arabin_Declaration letter of Group Organization _14 Jan13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m/>
    <s v="MOULD"/>
    <x v="13"/>
    <x v="1"/>
    <m/>
    <x v="0"/>
  </r>
  <r>
    <n v="535"/>
    <x v="171"/>
    <x v="171"/>
    <x v="161"/>
    <x v="0"/>
    <s v="KITTY LAI"/>
    <n v="521"/>
    <s v="Environmental Declaration"/>
    <s v="Supplier"/>
    <m/>
    <x v="14"/>
    <s v="Arabin_Groupe SEB Environnemental Declaration for Supplier 2011.pdf"/>
    <s v=".pdf"/>
    <d v="2014-03-18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m/>
    <s v="MOULD"/>
    <x v="13"/>
    <x v="1"/>
    <m/>
    <x v="0"/>
  </r>
  <r>
    <n v="530"/>
    <x v="171"/>
    <x v="171"/>
    <x v="161"/>
    <x v="0"/>
    <s v="KITTY LAI"/>
    <n v="516"/>
    <s v="Environmental Declaration"/>
    <s v="Supplier"/>
    <m/>
    <x v="674"/>
    <s v="Arabin _General Agreement _ Ind 12_ SEP 2013.pdf"/>
    <s v=".pdf"/>
    <d v="2014-03-18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m/>
    <s v="MOULD"/>
    <x v="13"/>
    <x v="1"/>
    <m/>
    <x v="0"/>
  </r>
  <r>
    <n v="536"/>
    <x v="171"/>
    <x v="171"/>
    <x v="161"/>
    <x v="0"/>
    <s v="KITTY LAI"/>
    <n v="522"/>
    <s v="Responsible Purchasing Charter"/>
    <s v="Supplier"/>
    <m/>
    <x v="530"/>
    <s v="Arabin_Responsible Purchasing Charter_23Mar2013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m/>
    <s v="MOULD"/>
    <x v="13"/>
    <x v="1"/>
    <m/>
    <x v="0"/>
  </r>
  <r>
    <n v="537"/>
    <x v="171"/>
    <x v="171"/>
    <x v="161"/>
    <x v="0"/>
    <s v="KITTY LAI"/>
    <n v="523"/>
    <s v="SIF"/>
    <s v="Supplier"/>
    <m/>
    <x v="546"/>
    <s v="Arabin - SIF_28Mar13.pdf"/>
    <s v=".pdf"/>
    <d v="2014-03-18T00:00:00"/>
    <s v="as\afok"/>
    <m/>
    <s v="2013"/>
    <x v="0"/>
    <x v="0"/>
    <x v="0"/>
    <x v="0"/>
    <m/>
    <m/>
    <m/>
    <m/>
    <m/>
    <n v="2013"/>
    <n v="28000000"/>
    <n v="30000000"/>
    <n v="32000000"/>
    <m/>
    <m/>
    <m/>
    <m/>
    <m/>
    <m/>
    <m/>
    <s v="FP panel"/>
    <x v="1"/>
    <x v="4"/>
    <x v="0"/>
    <x v="0"/>
    <m/>
    <m/>
    <m/>
    <n v="1"/>
    <m/>
    <m/>
    <s v="FP"/>
    <m/>
    <m/>
    <s v="MOULD"/>
    <x v="13"/>
    <x v="1"/>
    <m/>
    <x v="0"/>
  </r>
  <r>
    <n v="538"/>
    <x v="171"/>
    <x v="171"/>
    <x v="161"/>
    <x v="0"/>
    <s v="KITTY LAI"/>
    <n v="524"/>
    <s v="SIF"/>
    <s v="Supplier"/>
    <m/>
    <x v="546"/>
    <s v="Arabin - Bank account details_28Mar13.pdf"/>
    <s v=".pdf"/>
    <d v="2014-03-18T00:00:00"/>
    <s v="as\afok"/>
    <s v="Bank account details"/>
    <s v="2013"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n v="1"/>
    <m/>
    <s v="FP"/>
    <m/>
    <m/>
    <s v="MOULD"/>
    <x v="13"/>
    <x v="1"/>
    <m/>
    <x v="0"/>
  </r>
  <r>
    <n v="1874"/>
    <x v="172"/>
    <x v="172"/>
    <x v="162"/>
    <x v="4"/>
    <s v="MAVERICK LAU"/>
    <n v="1830"/>
    <s v="Contract: General Contract"/>
    <s v="Supplier"/>
    <m/>
    <x v="132"/>
    <s v="Agreement_Onyx_Revised_Sep2012.pdf"/>
    <s v=".pdf"/>
    <d v="2014-04-09T00:00:00"/>
    <s v="as\afok"/>
    <s v="revised"/>
    <m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x v="2"/>
    <x v="1"/>
    <m/>
    <x v="25"/>
  </r>
  <r>
    <n v="1869"/>
    <x v="172"/>
    <x v="172"/>
    <x v="162"/>
    <x v="4"/>
    <s v="MAVERICK LAU"/>
    <n v="1825"/>
    <s v="Contract: General Contract"/>
    <s v="Supplier"/>
    <m/>
    <x v="180"/>
    <s v="Agreement_Onyx_APR12.pdf"/>
    <s v=".pdf"/>
    <d v="2014-04-09T00:00:00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x v="2"/>
    <x v="1"/>
    <m/>
    <x v="25"/>
  </r>
  <r>
    <n v="1871"/>
    <x v="172"/>
    <x v="172"/>
    <x v="162"/>
    <x v="4"/>
    <s v="MAVERICK LAU"/>
    <n v="1827"/>
    <s v="Contract: Quality Appendix"/>
    <s v="Supplier"/>
    <m/>
    <x v="180"/>
    <s v="Agreement_Onyx_APR12.pdf"/>
    <s v=".pdf"/>
    <d v="2014-04-09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x v="2"/>
    <x v="1"/>
    <m/>
    <x v="25"/>
  </r>
  <r>
    <n v="1868"/>
    <x v="172"/>
    <x v="172"/>
    <x v="162"/>
    <x v="4"/>
    <s v="MAVERICK LAU"/>
    <n v="1824"/>
    <s v="Contract: Supply Chain Appendix"/>
    <s v="Supplier"/>
    <m/>
    <x v="539"/>
    <s v="Supply_chain_appendixV.10_Onyx_15_Aug13.PDF"/>
    <s v=".pdf"/>
    <d v="2014-04-09T00:00:00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x v="2"/>
    <x v="1"/>
    <m/>
    <x v="25"/>
  </r>
  <r>
    <n v="1872"/>
    <x v="172"/>
    <x v="172"/>
    <x v="162"/>
    <x v="4"/>
    <s v="MAVERICK LAU"/>
    <n v="1828"/>
    <s v="Contract: Supply Chain Appendix"/>
    <s v="Supplier"/>
    <m/>
    <x v="675"/>
    <s v="Agreement_Onyx_APR12.pdf"/>
    <s v=".pdf"/>
    <d v="2014-04-09T00:00:00"/>
    <s v="as\afok"/>
    <m/>
    <m/>
    <x v="0"/>
    <x v="6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x v="2"/>
    <x v="1"/>
    <m/>
    <x v="25"/>
  </r>
  <r>
    <n v="1873"/>
    <x v="172"/>
    <x v="172"/>
    <x v="162"/>
    <x v="4"/>
    <s v="MAVERICK LAU"/>
    <n v="1829"/>
    <s v="Declaration letter of group organization"/>
    <s v="Supplier"/>
    <m/>
    <x v="400"/>
    <s v="Agreement_Onyx_APR12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5"/>
  </r>
  <r>
    <n v="1870"/>
    <x v="172"/>
    <x v="172"/>
    <x v="162"/>
    <x v="4"/>
    <s v="MAVERICK LAU"/>
    <n v="1826"/>
    <s v="Environmental Declaration"/>
    <s v="Supplier"/>
    <m/>
    <x v="180"/>
    <s v="Agreement_Onyx_APR12.pdf"/>
    <s v=".pdf"/>
    <d v="2014-04-09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5"/>
  </r>
  <r>
    <n v="1875"/>
    <x v="172"/>
    <x v="172"/>
    <x v="162"/>
    <x v="4"/>
    <s v="MAVERICK LAU"/>
    <n v="1831"/>
    <s v="Responsible Purchasing Charter"/>
    <s v="Supplier"/>
    <m/>
    <x v="69"/>
    <s v="Onyx_Responsible_Purchasing_Charter_09Aug12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5"/>
  </r>
  <r>
    <n v="1877"/>
    <x v="172"/>
    <x v="172"/>
    <x v="162"/>
    <x v="4"/>
    <s v="MAVERICK LAU"/>
    <n v="1833"/>
    <s v="SEF"/>
    <s v="Supplier"/>
    <m/>
    <x v="465"/>
    <s v="SEF-Onyx-20121119-84.xls"/>
    <s v=".xls"/>
    <d v="2014-04-09T00:00:00"/>
    <s v="as\afok"/>
    <m/>
    <s v="2012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5"/>
  </r>
  <r>
    <n v="1876"/>
    <x v="172"/>
    <x v="172"/>
    <x v="162"/>
    <x v="4"/>
    <s v="MAVERICK LAU"/>
    <n v="1832"/>
    <s v="SEF"/>
    <s v="Supplier"/>
    <m/>
    <x v="270"/>
    <s v="SEF-Onyx-28AUG12-85.xls"/>
    <s v=".xls"/>
    <d v="2014-04-09T00:00:00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5"/>
  </r>
  <r>
    <n v="1878"/>
    <x v="172"/>
    <x v="172"/>
    <x v="162"/>
    <x v="4"/>
    <s v="MAVERICK LAU"/>
    <n v="1834"/>
    <s v="SIF"/>
    <s v="Supplier"/>
    <m/>
    <x v="44"/>
    <s v="Onyx_SIF2012_17May12.xlsx"/>
    <s v=".xlsx"/>
    <d v="2014-04-09T00:00:00"/>
    <s v="as\afok"/>
    <m/>
    <s v="2012"/>
    <x v="0"/>
    <x v="0"/>
    <x v="0"/>
    <x v="0"/>
    <m/>
    <m/>
    <m/>
    <m/>
    <m/>
    <n v="2012"/>
    <n v="50000000"/>
    <n v="65000000"/>
    <n v="32000000"/>
    <m/>
    <m/>
    <n v="2"/>
    <n v="3"/>
    <n v="3"/>
    <m/>
    <m/>
    <s v="CP Panel"/>
    <x v="0"/>
    <x v="0"/>
    <x v="1"/>
    <x v="1"/>
    <m/>
    <m/>
    <m/>
    <n v="1"/>
    <n v="1"/>
    <m/>
    <m/>
    <s v="CP"/>
    <m/>
    <m/>
    <x v="2"/>
    <x v="1"/>
    <m/>
    <x v="25"/>
  </r>
  <r>
    <n v="731"/>
    <x v="173"/>
    <x v="173"/>
    <x v="163"/>
    <x v="2"/>
    <s v="DENNIS LAM"/>
    <n v="714"/>
    <s v="Environmental Declaration"/>
    <s v="Supplier"/>
    <m/>
    <x v="110"/>
    <s v="Oxygen_Env_Declaration_31May2010.xls"/>
    <s v=".xls"/>
    <d v="2014-03-20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m/>
    <x v="9"/>
    <x v="1"/>
    <m/>
    <x v="39"/>
  </r>
  <r>
    <n v="730"/>
    <x v="173"/>
    <x v="173"/>
    <x v="163"/>
    <x v="2"/>
    <s v="DENNIS LAM"/>
    <n v="713"/>
    <s v="Exclusivity (EA)"/>
    <s v="Supplier"/>
    <m/>
    <x v="676"/>
    <s v="Exclusivity Summary - Oxygen for 20130125.xlsx"/>
    <s v=".xlsx"/>
    <d v="2014-03-20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39"/>
  </r>
  <r>
    <n v="728"/>
    <x v="173"/>
    <x v="173"/>
    <x v="163"/>
    <x v="2"/>
    <s v="DENNIS LAM"/>
    <n v="711"/>
    <s v="SEF"/>
    <s v="Supplier"/>
    <m/>
    <x v="592"/>
    <s v="SEF-Oxygen 2013 Jun.xlsx"/>
    <s v=".xlsx"/>
    <d v="2014-03-20T00:00:00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39"/>
  </r>
  <r>
    <n v="729"/>
    <x v="173"/>
    <x v="173"/>
    <x v="163"/>
    <x v="2"/>
    <s v="DENNIS LAM"/>
    <n v="712"/>
    <s v="SIF"/>
    <s v="Supplier"/>
    <m/>
    <x v="677"/>
    <s v="Oxygen - FHA6E502_EN_-_SIF 2013.xlsx"/>
    <s v=".xlsx"/>
    <d v="2014-03-20T00:00:00"/>
    <s v="as\afok"/>
    <m/>
    <s v="2013"/>
    <x v="0"/>
    <x v="0"/>
    <x v="0"/>
    <x v="0"/>
    <m/>
    <m/>
    <m/>
    <m/>
    <m/>
    <n v="2013"/>
    <n v="251000"/>
    <n v="168000"/>
    <n v="317000"/>
    <n v="251000"/>
    <n v="533000"/>
    <n v="33"/>
    <n v="50"/>
    <n v="39"/>
    <n v="64"/>
    <n v="67"/>
    <m/>
    <x v="0"/>
    <x v="0"/>
    <x v="0"/>
    <x v="0"/>
    <m/>
    <m/>
    <m/>
    <n v="0"/>
    <m/>
    <m/>
    <s v="FP"/>
    <m/>
    <s v="SP"/>
    <m/>
    <x v="9"/>
    <x v="1"/>
    <m/>
    <x v="39"/>
  </r>
  <r>
    <n v="1496"/>
    <x v="174"/>
    <x v="174"/>
    <x v="164"/>
    <x v="5"/>
    <s v="JASMINE YANG"/>
    <n v="1458"/>
    <s v="Contract: General Contract"/>
    <s v="Supplier"/>
    <m/>
    <x v="678"/>
    <s v="Pacrim_Supply Agreement_20131022(contract body).pdf"/>
    <s v=".pdf"/>
    <d v="2014-04-02T00:00:00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0"/>
    <m/>
    <m/>
    <m/>
    <s v="CP"/>
    <m/>
    <m/>
    <x v="2"/>
    <x v="1"/>
    <m/>
    <x v="6"/>
  </r>
  <r>
    <n v="1497"/>
    <x v="174"/>
    <x v="174"/>
    <x v="164"/>
    <x v="5"/>
    <s v="JASMINE YANG"/>
    <n v="1459"/>
    <s v="Contract: Supply Chain Appendix"/>
    <s v="Supplier"/>
    <m/>
    <x v="425"/>
    <s v="Pacrim_Supply Chain Appendix V10_27Sep2013_28working day_1percent panelty.pdf"/>
    <s v=".pdf"/>
    <d v="2014-04-02T00:00:00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0"/>
    <m/>
    <m/>
    <m/>
    <s v="CP"/>
    <m/>
    <m/>
    <x v="2"/>
    <x v="1"/>
    <m/>
    <x v="6"/>
  </r>
  <r>
    <n v="1503"/>
    <x v="174"/>
    <x v="174"/>
    <x v="164"/>
    <x v="5"/>
    <s v="JASMINE YANG"/>
    <n v="1465"/>
    <s v="ISO 14001"/>
    <s v="Supplier"/>
    <d v="2009-12-20T00:00:00"/>
    <x v="679"/>
    <s v="Pacrim_ISO14001_20Dec2009.jpg"/>
    <s v=".jpg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"/>
  </r>
  <r>
    <n v="1502"/>
    <x v="174"/>
    <x v="174"/>
    <x v="164"/>
    <x v="5"/>
    <s v="JASMINE YANG"/>
    <n v="1464"/>
    <s v="ISO 14001"/>
    <s v="Supplier"/>
    <m/>
    <x v="630"/>
    <s v="PACRIM_IS014001_201312.jpg"/>
    <s v=".jpg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"/>
  </r>
  <r>
    <n v="1501"/>
    <x v="174"/>
    <x v="174"/>
    <x v="164"/>
    <x v="5"/>
    <s v="JASMINE YANG"/>
    <n v="1463"/>
    <s v="LOC (Letter of Confidentiality)"/>
    <s v="Product / Project"/>
    <m/>
    <x v="680"/>
    <s v="Pacrim_LOC ROME, FRESH2 AND TOKYO  201110.pdf"/>
    <s v=".pdf"/>
    <d v="2014-04-02T00:00:00"/>
    <s v="as\afok"/>
    <m/>
    <m/>
    <x v="0"/>
    <x v="0"/>
    <x v="0"/>
    <x v="0"/>
    <s v="ROME, FRESH2 AND TOKYO"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"/>
  </r>
  <r>
    <n v="1504"/>
    <x v="174"/>
    <x v="174"/>
    <x v="164"/>
    <x v="5"/>
    <s v="JASMINE YANG"/>
    <n v="1466"/>
    <s v="Responsible Purchasing Charter"/>
    <s v="Supplier"/>
    <m/>
    <x v="247"/>
    <s v="Pacrim_Responsible Purchasing Charter_20120925.pdf"/>
    <s v=".pdf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"/>
  </r>
  <r>
    <n v="1500"/>
    <x v="174"/>
    <x v="174"/>
    <x v="164"/>
    <x v="5"/>
    <s v="JASMINE YANG"/>
    <n v="1462"/>
    <s v="SEF"/>
    <s v="Supplier"/>
    <m/>
    <x v="201"/>
    <s v="SPR 2012 Pacrim.pptx"/>
    <s v=".pptx"/>
    <d v="2014-04-02T00:00:00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"/>
  </r>
  <r>
    <n v="1505"/>
    <x v="174"/>
    <x v="174"/>
    <x v="164"/>
    <x v="5"/>
    <s v="JASMINE YANG"/>
    <n v="1467"/>
    <s v="SEF"/>
    <s v="Supplier"/>
    <m/>
    <x v="112"/>
    <s v="Pacrim_SEF_ 201206.xlsx"/>
    <s v=".xlsx"/>
    <d v="2014-04-02T00:00:00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"/>
  </r>
  <r>
    <n v="1498"/>
    <x v="174"/>
    <x v="174"/>
    <x v="164"/>
    <x v="5"/>
    <s v="JASMINE YANG"/>
    <n v="1460"/>
    <s v="SIF"/>
    <s v="Supplier"/>
    <m/>
    <x v="590"/>
    <s v="Pacrim_SIF_20130510.xlsx"/>
    <s v=".xlsx"/>
    <d v="2014-04-02T00:00:00"/>
    <s v="as\afok"/>
    <m/>
    <s v="2013"/>
    <x v="0"/>
    <x v="0"/>
    <x v="0"/>
    <x v="0"/>
    <m/>
    <m/>
    <m/>
    <m/>
    <m/>
    <n v="2013"/>
    <n v="26000000"/>
    <n v="25000000"/>
    <n v="27500000"/>
    <n v="26500000"/>
    <n v="25750000"/>
    <n v="15"/>
    <n v="18"/>
    <n v="18"/>
    <n v="18"/>
    <n v="11"/>
    <s v="CP Panel"/>
    <x v="0"/>
    <x v="0"/>
    <x v="1"/>
    <x v="3"/>
    <m/>
    <m/>
    <m/>
    <n v="0"/>
    <m/>
    <m/>
    <m/>
    <s v="CP"/>
    <m/>
    <m/>
    <x v="2"/>
    <x v="1"/>
    <m/>
    <x v="6"/>
  </r>
  <r>
    <n v="1506"/>
    <x v="174"/>
    <x v="174"/>
    <x v="164"/>
    <x v="5"/>
    <s v="JASMINE YANG"/>
    <n v="1468"/>
    <s v="SIF"/>
    <s v="Supplier"/>
    <m/>
    <x v="48"/>
    <s v="Pacrim_SIF_2012APR.xls"/>
    <s v=".xls"/>
    <d v="2014-04-02T00:00:00"/>
    <s v="as\afok"/>
    <m/>
    <s v="2012"/>
    <x v="0"/>
    <x v="0"/>
    <x v="0"/>
    <x v="0"/>
    <m/>
    <m/>
    <m/>
    <m/>
    <m/>
    <n v="2012"/>
    <n v="25000000"/>
    <n v="25000000"/>
    <n v="27500000"/>
    <n v="26500000"/>
    <n v="25750000"/>
    <n v="11"/>
    <n v="11"/>
    <n v="18"/>
    <n v="18"/>
    <n v="11"/>
    <s v="CP Panel"/>
    <x v="0"/>
    <x v="0"/>
    <x v="1"/>
    <x v="3"/>
    <m/>
    <m/>
    <m/>
    <n v="0"/>
    <m/>
    <n v="1"/>
    <m/>
    <s v="CP"/>
    <m/>
    <m/>
    <x v="2"/>
    <x v="1"/>
    <m/>
    <x v="6"/>
  </r>
  <r>
    <n v="1499"/>
    <x v="174"/>
    <x v="174"/>
    <x v="164"/>
    <x v="5"/>
    <s v="JASMINE YANG"/>
    <n v="1461"/>
    <s v="SPR"/>
    <s v="Supplier"/>
    <m/>
    <x v="523"/>
    <s v="SPR 2013 Pacrim.pptx"/>
    <s v=".pptx"/>
    <d v="2014-04-02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"/>
  </r>
  <r>
    <n v="2094"/>
    <x v="175"/>
    <x v="175"/>
    <x v="165"/>
    <x v="4"/>
    <s v="RICKY LAM"/>
    <n v="2037"/>
    <s v="Contract: Supply Chain Appendix"/>
    <s v="Supplier"/>
    <m/>
    <x v="90"/>
    <s v="Pakmane_Supply_chain_Appendix_V.10_24Jun13.pdf"/>
    <s v=".pdf"/>
    <d v="2014-04-11T00:00:00"/>
    <s v="as\afok"/>
    <m/>
    <s v="V10"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n v="1"/>
    <m/>
    <s v="CP"/>
    <m/>
    <m/>
    <x v="2"/>
    <x v="1"/>
    <m/>
    <x v="32"/>
  </r>
  <r>
    <n v="2092"/>
    <x v="175"/>
    <x v="175"/>
    <x v="165"/>
    <x v="4"/>
    <s v="RICKY LAM"/>
    <n v="2035"/>
    <s v="Environmental Declaration"/>
    <s v="Supplier"/>
    <m/>
    <x v="240"/>
    <s v="Pakmane_Env_Declaration_2010.xls"/>
    <s v=".xls"/>
    <d v="2014-04-11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32"/>
  </r>
  <r>
    <n v="2093"/>
    <x v="175"/>
    <x v="175"/>
    <x v="165"/>
    <x v="4"/>
    <s v="RICKY LAM"/>
    <n v="2036"/>
    <s v="Responsible Purchasing Charter"/>
    <s v="Supplier"/>
    <m/>
    <x v="69"/>
    <s v="Pakmane_Responsible_Purchasing_Charter_09Aug12.pdf"/>
    <s v=".pdf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32"/>
  </r>
  <r>
    <n v="2091"/>
    <x v="175"/>
    <x v="175"/>
    <x v="165"/>
    <x v="4"/>
    <s v="RICKY LAM"/>
    <n v="2034"/>
    <s v="SIF"/>
    <s v="Supplier"/>
    <m/>
    <x v="25"/>
    <s v="Pakmane_SIF2013.xlsx"/>
    <s v=".xlsx"/>
    <d v="2014-04-11T00:00:00"/>
    <s v="as\afok"/>
    <m/>
    <s v="2013"/>
    <x v="0"/>
    <x v="0"/>
    <x v="0"/>
    <x v="0"/>
    <m/>
    <m/>
    <m/>
    <m/>
    <m/>
    <n v="2013"/>
    <n v="7000000"/>
    <n v="6500000"/>
    <n v="5000000"/>
    <n v="5000000"/>
    <n v="4500000"/>
    <n v="5"/>
    <n v="2"/>
    <n v="0.7"/>
    <n v="0.5"/>
    <n v="0.14000000000000001"/>
    <m/>
    <x v="0"/>
    <x v="0"/>
    <x v="0"/>
    <x v="0"/>
    <m/>
    <m/>
    <m/>
    <n v="0"/>
    <m/>
    <m/>
    <m/>
    <s v="CP"/>
    <m/>
    <m/>
    <x v="2"/>
    <x v="1"/>
    <m/>
    <x v="32"/>
  </r>
  <r>
    <n v="2090"/>
    <x v="175"/>
    <x v="175"/>
    <x v="165"/>
    <x v="4"/>
    <s v="RICKY LAM"/>
    <n v="2033"/>
    <s v="SIF"/>
    <s v="Supplier"/>
    <m/>
    <x v="319"/>
    <s v="Pakmane_SIF2012_19Apr12.xls"/>
    <s v=".xls"/>
    <d v="2014-04-11T00:00:00"/>
    <s v="as\afok"/>
    <m/>
    <s v="2012"/>
    <x v="0"/>
    <x v="0"/>
    <x v="0"/>
    <x v="0"/>
    <m/>
    <m/>
    <m/>
    <m/>
    <m/>
    <n v="2012"/>
    <n v="6000000"/>
    <n v="5000000"/>
    <n v="5000000"/>
    <n v="4500000"/>
    <n v="4000000"/>
    <m/>
    <n v="0.7"/>
    <n v="0.5"/>
    <n v="0.14000000000000001"/>
    <n v="0.9"/>
    <m/>
    <x v="0"/>
    <x v="0"/>
    <x v="0"/>
    <x v="0"/>
    <m/>
    <m/>
    <m/>
    <n v="0"/>
    <m/>
    <m/>
    <m/>
    <s v="CP"/>
    <m/>
    <m/>
    <x v="2"/>
    <x v="1"/>
    <m/>
    <x v="32"/>
  </r>
  <r>
    <n v="1508"/>
    <x v="176"/>
    <x v="176"/>
    <x v="166"/>
    <x v="5"/>
    <s v="JASMINE YANG"/>
    <n v="1470"/>
    <s v="ISO 14001"/>
    <s v="Supplier"/>
    <d v="2011-11-09T00:00:00"/>
    <x v="607"/>
    <s v="Patelec_ISO14001_31Mar2010.pdf"/>
    <s v=".pdf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"/>
  </r>
  <r>
    <n v="1510"/>
    <x v="176"/>
    <x v="176"/>
    <x v="166"/>
    <x v="5"/>
    <s v="JASMINE YANG"/>
    <n v="1472"/>
    <s v="Responsible Purchasing Charter"/>
    <s v="Supplier"/>
    <m/>
    <x v="228"/>
    <s v="PATELEC_Responsible Purchasing Charter_13Aug2012.pdf"/>
    <s v=".pdf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"/>
  </r>
  <r>
    <n v="1509"/>
    <x v="176"/>
    <x v="176"/>
    <x v="166"/>
    <x v="5"/>
    <s v="JASMINE YANG"/>
    <n v="1471"/>
    <s v="SEF"/>
    <s v="Supplier"/>
    <m/>
    <x v="112"/>
    <s v="Patelec_SEF_Jul2012.XLSX"/>
    <s v=".xlsx"/>
    <d v="2014-04-02T00:00:00"/>
    <s v="as\afok"/>
    <m/>
    <s v="2012"/>
    <x v="0"/>
    <x v="0"/>
    <x v="0"/>
    <x v="0"/>
    <m/>
    <m/>
    <m/>
    <m/>
    <n v="73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"/>
  </r>
  <r>
    <n v="1507"/>
    <x v="176"/>
    <x v="176"/>
    <x v="166"/>
    <x v="5"/>
    <s v="JASMINE YANG"/>
    <n v="1469"/>
    <s v="SIF"/>
    <s v="Supplier"/>
    <m/>
    <x v="597"/>
    <s v="Patelec_SIF_Jan2014.xlsx"/>
    <s v=".xlsx"/>
    <d v="2014-04-02T00:00:00"/>
    <s v="as\afok"/>
    <m/>
    <s v="2014"/>
    <x v="0"/>
    <x v="0"/>
    <x v="0"/>
    <x v="0"/>
    <m/>
    <m/>
    <m/>
    <m/>
    <m/>
    <n v="2014"/>
    <n v="40000000"/>
    <n v="21848900"/>
    <n v="21258400"/>
    <n v="23815300"/>
    <n v="14940600"/>
    <m/>
    <n v="5"/>
    <n v="3"/>
    <n v="1"/>
    <n v="1"/>
    <s v="CP Panel"/>
    <x v="0"/>
    <x v="0"/>
    <x v="1"/>
    <x v="3"/>
    <m/>
    <m/>
    <m/>
    <n v="0"/>
    <m/>
    <m/>
    <m/>
    <s v="CP"/>
    <m/>
    <m/>
    <x v="2"/>
    <x v="1"/>
    <m/>
    <x v="6"/>
  </r>
  <r>
    <n v="1511"/>
    <x v="176"/>
    <x v="176"/>
    <x v="166"/>
    <x v="5"/>
    <s v="JASMINE YANG"/>
    <n v="1473"/>
    <s v="SPR"/>
    <s v="Supplier"/>
    <m/>
    <x v="22"/>
    <s v="Patelec_SPR 2011 DEC.pptx"/>
    <s v=".pptx"/>
    <d v="2014-04-02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n v="1"/>
    <m/>
    <s v="CP"/>
    <m/>
    <m/>
    <x v="2"/>
    <x v="1"/>
    <m/>
    <x v="6"/>
  </r>
  <r>
    <n v="2508"/>
    <x v="177"/>
    <x v="177"/>
    <x v="167"/>
    <x v="5"/>
    <s v="SHOT XU"/>
    <n v="2389"/>
    <s v="Contract: General Contract"/>
    <s v="Supplier"/>
    <m/>
    <x v="681"/>
    <s v="Payer FHA00016 ind. 09 20080825.pdf"/>
    <s v=".pdf"/>
    <d v="2014-04-23T00:00:00"/>
    <s v="as\afok"/>
    <m/>
    <s v="FHA 00 016 ind.09"/>
    <x v="9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0"/>
    <m/>
    <m/>
    <s v="FP"/>
    <m/>
    <m/>
    <s v="MOULD"/>
    <x v="13"/>
    <x v="2"/>
    <m/>
    <x v="10"/>
  </r>
  <r>
    <n v="2507"/>
    <x v="178"/>
    <x v="178"/>
    <x v="167"/>
    <x v="5"/>
    <s v="SHOT XU"/>
    <n v="2389"/>
    <s v="Contract: General Contract"/>
    <s v="Supplier"/>
    <m/>
    <x v="681"/>
    <s v="Payer FHA00016 ind. 09 20080825.pdf"/>
    <s v=".pdf"/>
    <d v="2014-04-23T00:00:00"/>
    <s v="as\afok"/>
    <m/>
    <s v="FHA 00 016 ind.09"/>
    <x v="9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0"/>
    <m/>
    <n v="1"/>
    <s v="FP"/>
    <m/>
    <s v="SP"/>
    <m/>
    <x v="9"/>
    <x v="1"/>
    <m/>
    <x v="10"/>
  </r>
  <r>
    <n v="2493"/>
    <x v="178"/>
    <x v="178"/>
    <x v="167"/>
    <x v="5"/>
    <s v="SHOT XU"/>
    <n v="2382"/>
    <s v="Exclusivity (EA)"/>
    <s v="Supplier"/>
    <m/>
    <x v="448"/>
    <s v="Payer_Exclusivity Summary 2012-12-28.xlsx"/>
    <s v=".xlsx"/>
    <d v="2014-04-23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m/>
    <x v="9"/>
    <x v="1"/>
    <m/>
    <x v="10"/>
  </r>
  <r>
    <n v="2494"/>
    <x v="177"/>
    <x v="177"/>
    <x v="167"/>
    <x v="5"/>
    <s v="SHOT XU"/>
    <n v="2382"/>
    <s v="Exclusivity (EA)"/>
    <s v="Supplier"/>
    <m/>
    <x v="448"/>
    <s v="Payer_Exclusivity Summary 2012-12-28.xlsx"/>
    <s v=".xlsx"/>
    <d v="2014-04-23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m/>
    <s v="MOULD"/>
    <x v="13"/>
    <x v="2"/>
    <m/>
    <x v="10"/>
  </r>
  <r>
    <n v="2502"/>
    <x v="177"/>
    <x v="177"/>
    <x v="167"/>
    <x v="5"/>
    <s v="SHOT XU"/>
    <n v="2386"/>
    <s v="Exclusivity (EA)"/>
    <s v="Product / Project"/>
    <m/>
    <x v="567"/>
    <s v="Payer_Exclusivity agreement_Hair Clipper_7Sep2012.pdf"/>
    <s v=".pdf"/>
    <d v="2014-04-23T00:00:00"/>
    <s v="as\afok"/>
    <m/>
    <s v="FRD 6E 030 ind.00"/>
    <x v="0"/>
    <x v="0"/>
    <x v="0"/>
    <x v="0"/>
    <s v="Hair Clipper"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m/>
    <s v="MOULD"/>
    <x v="13"/>
    <x v="2"/>
    <m/>
    <x v="10"/>
  </r>
  <r>
    <n v="2500"/>
    <x v="177"/>
    <x v="177"/>
    <x v="167"/>
    <x v="5"/>
    <s v="SHOT XU"/>
    <n v="2385"/>
    <s v="Exclusivity (EA)"/>
    <s v="Product / Project"/>
    <m/>
    <x v="567"/>
    <s v="Payer_Exclusivity agreement_Multi trimmer_7Sep2012.pdf"/>
    <s v=".pdf"/>
    <d v="2014-04-23T00:00:00"/>
    <s v="as\afok"/>
    <m/>
    <s v="FRD 6E 030 ind.00"/>
    <x v="0"/>
    <x v="0"/>
    <x v="0"/>
    <x v="0"/>
    <s v="Multi trimmer"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m/>
    <s v="MOULD"/>
    <x v="13"/>
    <x v="2"/>
    <m/>
    <x v="10"/>
  </r>
  <r>
    <n v="2499"/>
    <x v="178"/>
    <x v="178"/>
    <x v="167"/>
    <x v="5"/>
    <s v="SHOT XU"/>
    <n v="2385"/>
    <s v="Exclusivity (EA)"/>
    <s v="Product / Project"/>
    <m/>
    <x v="567"/>
    <s v="Payer_Exclusivity agreement_Multi trimmer_7Sep2012.pdf"/>
    <s v=".pdf"/>
    <d v="2014-04-23T00:00:00"/>
    <s v="as\afok"/>
    <m/>
    <s v="FRD 6E 030 ind.00"/>
    <x v="0"/>
    <x v="0"/>
    <x v="0"/>
    <x v="0"/>
    <s v="Multi trimmer"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m/>
    <x v="9"/>
    <x v="1"/>
    <m/>
    <x v="10"/>
  </r>
  <r>
    <n v="2501"/>
    <x v="178"/>
    <x v="178"/>
    <x v="167"/>
    <x v="5"/>
    <s v="SHOT XU"/>
    <n v="2386"/>
    <s v="Exclusivity (EA)"/>
    <s v="Product / Project"/>
    <m/>
    <x v="567"/>
    <s v="Payer_Exclusivity agreement_Hair Clipper_7Sep2012.pdf"/>
    <s v=".pdf"/>
    <d v="2014-04-23T00:00:00"/>
    <s v="as\afok"/>
    <m/>
    <s v="FRD 6E 030 ind.00"/>
    <x v="0"/>
    <x v="0"/>
    <x v="0"/>
    <x v="0"/>
    <s v="Hair Clipper"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m/>
    <x v="9"/>
    <x v="1"/>
    <m/>
    <x v="10"/>
  </r>
  <r>
    <n v="2496"/>
    <x v="177"/>
    <x v="177"/>
    <x v="167"/>
    <x v="5"/>
    <s v="SHOT XU"/>
    <n v="2383"/>
    <s v="ISO 14001"/>
    <s v="Supplier"/>
    <d v="2012-12-09T00:00:00"/>
    <x v="414"/>
    <s v="Payer_ISO14001_02Jun2010.pdf"/>
    <s v=".pdf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m/>
    <s v="MOULD"/>
    <x v="13"/>
    <x v="2"/>
    <m/>
    <x v="10"/>
  </r>
  <r>
    <n v="2495"/>
    <x v="178"/>
    <x v="178"/>
    <x v="167"/>
    <x v="5"/>
    <s v="SHOT XU"/>
    <n v="2383"/>
    <s v="ISO 14001"/>
    <s v="Supplier"/>
    <d v="2012-12-09T00:00:00"/>
    <x v="414"/>
    <s v="Payer_ISO14001_02Jun2010.pdf"/>
    <s v=".pdf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m/>
    <x v="9"/>
    <x v="1"/>
    <m/>
    <x v="10"/>
  </r>
  <r>
    <n v="2503"/>
    <x v="178"/>
    <x v="178"/>
    <x v="167"/>
    <x v="5"/>
    <s v="SHOT XU"/>
    <n v="2387"/>
    <s v="Responsible Purchasing Charter"/>
    <s v="Supplier"/>
    <m/>
    <x v="242"/>
    <s v="Payer_Responsible Purchaser Charter_9Aug2012.pdf"/>
    <s v=".pdf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m/>
    <x v="9"/>
    <x v="1"/>
    <m/>
    <x v="10"/>
  </r>
  <r>
    <n v="2504"/>
    <x v="177"/>
    <x v="177"/>
    <x v="167"/>
    <x v="5"/>
    <s v="SHOT XU"/>
    <n v="2387"/>
    <s v="Responsible Purchasing Charter"/>
    <s v="Supplier"/>
    <m/>
    <x v="242"/>
    <s v="Payer_Responsible Purchaser Charter_9Aug2012.pdf"/>
    <s v=".pdf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m/>
    <s v="MOULD"/>
    <x v="13"/>
    <x v="2"/>
    <m/>
    <x v="10"/>
  </r>
  <r>
    <n v="2506"/>
    <x v="177"/>
    <x v="177"/>
    <x v="167"/>
    <x v="5"/>
    <s v="SHOT XU"/>
    <n v="2388"/>
    <s v="SEF"/>
    <s v="Supplier"/>
    <m/>
    <x v="682"/>
    <s v="SEF Payer2011 Nov.xlsx"/>
    <s v=".xlsx"/>
    <d v="2014-04-23T00:00:00"/>
    <s v="as\afok"/>
    <m/>
    <s v="2011"/>
    <x v="0"/>
    <x v="0"/>
    <x v="0"/>
    <x v="0"/>
    <m/>
    <m/>
    <m/>
    <m/>
    <n v="78"/>
    <m/>
    <m/>
    <m/>
    <m/>
    <m/>
    <m/>
    <m/>
    <m/>
    <m/>
    <m/>
    <m/>
    <s v="FP panel"/>
    <x v="1"/>
    <x v="1"/>
    <x v="0"/>
    <x v="0"/>
    <m/>
    <m/>
    <m/>
    <n v="0"/>
    <m/>
    <m/>
    <s v="FP"/>
    <m/>
    <m/>
    <s v="MOULD"/>
    <x v="13"/>
    <x v="2"/>
    <m/>
    <x v="10"/>
  </r>
  <r>
    <n v="2505"/>
    <x v="178"/>
    <x v="178"/>
    <x v="167"/>
    <x v="5"/>
    <s v="SHOT XU"/>
    <n v="2388"/>
    <s v="SEF"/>
    <s v="Supplier"/>
    <m/>
    <x v="682"/>
    <s v="SEF Payer2011 Nov.xlsx"/>
    <s v=".xlsx"/>
    <d v="2014-04-23T00:00:00"/>
    <s v="as\afok"/>
    <m/>
    <s v="2011"/>
    <x v="0"/>
    <x v="0"/>
    <x v="0"/>
    <x v="0"/>
    <m/>
    <m/>
    <m/>
    <m/>
    <n v="78"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m/>
    <x v="9"/>
    <x v="1"/>
    <m/>
    <x v="10"/>
  </r>
  <r>
    <n v="2497"/>
    <x v="178"/>
    <x v="178"/>
    <x v="167"/>
    <x v="5"/>
    <s v="SHOT XU"/>
    <n v="2384"/>
    <s v="SIF"/>
    <s v="Supplier"/>
    <m/>
    <x v="318"/>
    <s v="PAYER(SUZHOU)_SIF_6Feb2012.xlsx"/>
    <s v=".xlsx"/>
    <d v="2014-04-23T00:00:00"/>
    <s v="as\afok"/>
    <m/>
    <s v="2012"/>
    <x v="0"/>
    <x v="0"/>
    <x v="0"/>
    <x v="0"/>
    <m/>
    <m/>
    <m/>
    <m/>
    <m/>
    <n v="2012"/>
    <n v="65000000"/>
    <n v="63122000"/>
    <n v="60242000"/>
    <n v="49611000"/>
    <n v="45200000"/>
    <n v="2.2000000000000002"/>
    <n v="0.19850000000000001"/>
    <n v="0.4"/>
    <n v="0.8"/>
    <n v="0.2"/>
    <s v="FP panel"/>
    <x v="1"/>
    <x v="1"/>
    <x v="0"/>
    <x v="0"/>
    <m/>
    <m/>
    <m/>
    <n v="0"/>
    <m/>
    <m/>
    <s v="FP"/>
    <m/>
    <s v="SP"/>
    <m/>
    <x v="9"/>
    <x v="1"/>
    <m/>
    <x v="10"/>
  </r>
  <r>
    <n v="2438"/>
    <x v="177"/>
    <x v="177"/>
    <x v="167"/>
    <x v="5"/>
    <s v="SHOT XU"/>
    <n v="2378"/>
    <s v="SIF"/>
    <s v="Supplier"/>
    <m/>
    <x v="194"/>
    <s v="PayerSuzhou_SIF_20140213.xlsx"/>
    <s v=".xlsx"/>
    <d v="2014-04-17T00:00:00"/>
    <s v="as\afok"/>
    <m/>
    <s v="2014"/>
    <x v="0"/>
    <x v="0"/>
    <x v="0"/>
    <x v="0"/>
    <m/>
    <m/>
    <m/>
    <m/>
    <m/>
    <n v="2014"/>
    <n v="65000000"/>
    <n v="100000000"/>
    <n v="63122000"/>
    <n v="60242000"/>
    <n v="49611000"/>
    <n v="2.2000000000000002"/>
    <n v="0.8"/>
    <n v="0.19850000000000001"/>
    <n v="0.4"/>
    <n v="0.8"/>
    <s v="FP panel"/>
    <x v="1"/>
    <x v="1"/>
    <x v="0"/>
    <x v="0"/>
    <m/>
    <m/>
    <m/>
    <n v="0"/>
    <m/>
    <m/>
    <s v="FP"/>
    <m/>
    <m/>
    <s v="MOULD"/>
    <x v="13"/>
    <x v="2"/>
    <m/>
    <x v="10"/>
  </r>
  <r>
    <n v="2498"/>
    <x v="177"/>
    <x v="177"/>
    <x v="167"/>
    <x v="5"/>
    <s v="SHOT XU"/>
    <n v="2384"/>
    <s v="SIF"/>
    <s v="Supplier"/>
    <m/>
    <x v="318"/>
    <s v="PAYER(SUZHOU)_SIF_6Feb2012.xlsx"/>
    <s v=".xlsx"/>
    <d v="2014-04-23T00:00:00"/>
    <s v="as\afok"/>
    <m/>
    <s v="2012"/>
    <x v="0"/>
    <x v="0"/>
    <x v="0"/>
    <x v="0"/>
    <m/>
    <m/>
    <m/>
    <m/>
    <m/>
    <n v="2012"/>
    <n v="65000000"/>
    <n v="63122000"/>
    <n v="60242000"/>
    <n v="49611000"/>
    <n v="45200000"/>
    <n v="2.2000000000000002"/>
    <n v="0.19850000000000001"/>
    <n v="0.4"/>
    <n v="0.8"/>
    <n v="0.2"/>
    <s v="FP panel"/>
    <x v="1"/>
    <x v="1"/>
    <x v="0"/>
    <x v="0"/>
    <m/>
    <m/>
    <m/>
    <n v="0"/>
    <m/>
    <m/>
    <s v="FP"/>
    <m/>
    <m/>
    <s v="MOULD"/>
    <x v="13"/>
    <x v="2"/>
    <m/>
    <x v="10"/>
  </r>
  <r>
    <n v="2437"/>
    <x v="178"/>
    <x v="178"/>
    <x v="167"/>
    <x v="5"/>
    <s v="SHOT XU"/>
    <n v="2378"/>
    <s v="SIF"/>
    <s v="Supplier"/>
    <m/>
    <x v="194"/>
    <s v="PayerSuzhou_SIF_20140213.xlsx"/>
    <s v=".xlsx"/>
    <d v="2014-04-17T00:00:00"/>
    <s v="as\afok"/>
    <m/>
    <s v="2014"/>
    <x v="0"/>
    <x v="0"/>
    <x v="0"/>
    <x v="0"/>
    <m/>
    <m/>
    <m/>
    <m/>
    <m/>
    <n v="2014"/>
    <n v="65000000"/>
    <n v="100000000"/>
    <n v="63122000"/>
    <n v="60242000"/>
    <n v="49611000"/>
    <n v="2.2000000000000002"/>
    <n v="0.8"/>
    <n v="0.19850000000000001"/>
    <n v="0.4"/>
    <n v="0.8"/>
    <s v="FP panel"/>
    <x v="1"/>
    <x v="1"/>
    <x v="0"/>
    <x v="0"/>
    <m/>
    <m/>
    <m/>
    <n v="0"/>
    <m/>
    <m/>
    <s v="FP"/>
    <m/>
    <s v="SP"/>
    <m/>
    <x v="9"/>
    <x v="1"/>
    <m/>
    <x v="10"/>
  </r>
  <r>
    <n v="2492"/>
    <x v="177"/>
    <x v="177"/>
    <x v="167"/>
    <x v="5"/>
    <s v="SHOT XU"/>
    <n v="2381"/>
    <s v="SPR"/>
    <s v="Supplier"/>
    <m/>
    <x v="683"/>
    <s v="Payer_SPR 2013.pptx"/>
    <s v=".pptx"/>
    <d v="2014-04-23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m/>
    <s v="MOULD"/>
    <x v="13"/>
    <x v="2"/>
    <m/>
    <x v="10"/>
  </r>
  <r>
    <n v="2491"/>
    <x v="178"/>
    <x v="178"/>
    <x v="167"/>
    <x v="5"/>
    <s v="SHOT XU"/>
    <n v="2381"/>
    <s v="SPR"/>
    <s v="Supplier"/>
    <m/>
    <x v="683"/>
    <s v="Payer_SPR 2013.pptx"/>
    <s v=".pptx"/>
    <d v="2014-04-23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m/>
    <x v="9"/>
    <x v="1"/>
    <m/>
    <x v="10"/>
  </r>
  <r>
    <n v="1729"/>
    <x v="179"/>
    <x v="179"/>
    <x v="168"/>
    <x v="5"/>
    <s v="JOHN YAN"/>
    <n v="1686"/>
    <s v="Environmental Declaration"/>
    <s v="Supplier"/>
    <m/>
    <x v="186"/>
    <s v="PCI_Shanghai_Env_Declaration_07Jun2010.xls"/>
    <s v=".xls"/>
    <d v="2014-04-08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0"/>
    <m/>
    <m/>
    <m/>
    <s v="CP"/>
    <m/>
    <m/>
    <x v="2"/>
    <x v="1"/>
    <m/>
    <x v="10"/>
  </r>
  <r>
    <n v="1731"/>
    <x v="179"/>
    <x v="179"/>
    <x v="168"/>
    <x v="5"/>
    <s v="JOHN YAN"/>
    <n v="1688"/>
    <s v="ISO 14001"/>
    <s v="Supplier"/>
    <d v="2012-02-10T00:00:00"/>
    <x v="338"/>
    <s v="PCI SHANGHAI_ISO 14001_201105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0"/>
    <m/>
    <m/>
    <m/>
    <s v="CP"/>
    <m/>
    <m/>
    <x v="2"/>
    <x v="1"/>
    <m/>
    <x v="10"/>
  </r>
  <r>
    <n v="1732"/>
    <x v="179"/>
    <x v="179"/>
    <x v="168"/>
    <x v="5"/>
    <s v="JOHN YAN"/>
    <n v="1689"/>
    <s v="ISO 14001"/>
    <s v="Supplier"/>
    <d v="2012-02-10T00:00:00"/>
    <x v="338"/>
    <s v="PCI_Shanghai_ISO14001_2017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0"/>
    <m/>
    <m/>
    <m/>
    <s v="CP"/>
    <m/>
    <m/>
    <x v="2"/>
    <x v="1"/>
    <m/>
    <x v="10"/>
  </r>
  <r>
    <n v="1730"/>
    <x v="179"/>
    <x v="179"/>
    <x v="168"/>
    <x v="5"/>
    <s v="JOHN YAN"/>
    <n v="1687"/>
    <s v="LOC (Letter of Confidentiality)"/>
    <s v="Supplier"/>
    <m/>
    <x v="684"/>
    <s v="PCI SHANGHAI_LOC_ 18MAR2011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0"/>
    <m/>
    <m/>
    <m/>
    <s v="CP"/>
    <m/>
    <m/>
    <x v="2"/>
    <x v="1"/>
    <m/>
    <x v="10"/>
  </r>
  <r>
    <n v="1733"/>
    <x v="179"/>
    <x v="179"/>
    <x v="168"/>
    <x v="5"/>
    <s v="JOHN YAN"/>
    <n v="1690"/>
    <s v="Responsible Purchasing Charter"/>
    <s v="Supplier"/>
    <m/>
    <x v="685"/>
    <s v="PCI_Responsible Purchasing Charter_20120725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0"/>
    <m/>
    <m/>
    <m/>
    <s v="CP"/>
    <m/>
    <m/>
    <x v="2"/>
    <x v="1"/>
    <m/>
    <x v="10"/>
  </r>
  <r>
    <n v="1734"/>
    <x v="179"/>
    <x v="179"/>
    <x v="168"/>
    <x v="5"/>
    <s v="JOHN YAN"/>
    <n v="1691"/>
    <s v="SEF"/>
    <s v="Supplier"/>
    <m/>
    <x v="440"/>
    <s v="PCI_SEF_Jun2012.xlsx"/>
    <s v=".xlsx"/>
    <d v="2014-04-08T00:00:00"/>
    <s v="as\afok"/>
    <m/>
    <s v="2012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7"/>
    <m/>
    <m/>
    <m/>
    <n v="0"/>
    <m/>
    <m/>
    <m/>
    <s v="CP"/>
    <m/>
    <m/>
    <x v="2"/>
    <x v="1"/>
    <m/>
    <x v="10"/>
  </r>
  <r>
    <n v="1736"/>
    <x v="179"/>
    <x v="179"/>
    <x v="168"/>
    <x v="5"/>
    <s v="JOHN YAN"/>
    <n v="1693"/>
    <s v="SIF"/>
    <s v="Supplier"/>
    <m/>
    <x v="686"/>
    <s v="PCI_SIF_15May2012.xls"/>
    <s v=".xls"/>
    <d v="2014-04-08T00:00:00"/>
    <s v="as\afok"/>
    <m/>
    <s v="2012"/>
    <x v="0"/>
    <x v="0"/>
    <x v="0"/>
    <x v="0"/>
    <m/>
    <m/>
    <m/>
    <m/>
    <m/>
    <n v="2012"/>
    <n v="250000000"/>
    <n v="250000000"/>
    <n v="251000000"/>
    <n v="173000000"/>
    <n v="154000000"/>
    <n v="0.5"/>
    <n v="0.3"/>
    <n v="0.18"/>
    <n v="0"/>
    <n v="0"/>
    <s v="CP Panel"/>
    <x v="0"/>
    <x v="0"/>
    <x v="1"/>
    <x v="7"/>
    <m/>
    <m/>
    <m/>
    <n v="0"/>
    <m/>
    <n v="1"/>
    <m/>
    <s v="CP"/>
    <m/>
    <m/>
    <x v="2"/>
    <x v="1"/>
    <m/>
    <x v="10"/>
  </r>
  <r>
    <n v="1735"/>
    <x v="179"/>
    <x v="179"/>
    <x v="168"/>
    <x v="5"/>
    <s v="JOHN YAN"/>
    <n v="1692"/>
    <s v="SPR"/>
    <s v="Supplier"/>
    <m/>
    <x v="685"/>
    <s v="PCI_SPR_Sep2012.pptx"/>
    <s v=".pptx"/>
    <d v="2014-04-08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0"/>
    <m/>
    <m/>
    <m/>
    <s v="CP"/>
    <m/>
    <m/>
    <x v="2"/>
    <x v="1"/>
    <m/>
    <x v="10"/>
  </r>
  <r>
    <n v="1728"/>
    <x v="179"/>
    <x v="179"/>
    <x v="168"/>
    <x v="5"/>
    <s v="JOHN YAN"/>
    <n v="1685"/>
    <s v="SPR"/>
    <s v="Supplier"/>
    <m/>
    <x v="117"/>
    <s v="PCI_SPR _2013.pptx"/>
    <s v=".pptx"/>
    <d v="2014-04-08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0"/>
    <m/>
    <m/>
    <m/>
    <s v="CP"/>
    <m/>
    <m/>
    <x v="2"/>
    <x v="1"/>
    <m/>
    <x v="10"/>
  </r>
  <r>
    <n v="1059"/>
    <x v="180"/>
    <x v="180"/>
    <x v="169"/>
    <x v="1"/>
    <s v="EVA LAI"/>
    <n v="1035"/>
    <s v="Contract: Quality Appendix"/>
    <s v="Supplier"/>
    <m/>
    <x v="184"/>
    <s v="Perennial_Quality Appendix_07May2012.pdf"/>
    <s v=".pdf"/>
    <d v="2014-03-25T00:00:00"/>
    <s v="as\afok"/>
    <m/>
    <m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0"/>
    <m/>
    <m/>
    <m/>
    <s v="CP"/>
    <m/>
    <m/>
    <x v="2"/>
    <x v="1"/>
    <m/>
    <x v="8"/>
  </r>
  <r>
    <n v="1065"/>
    <x v="180"/>
    <x v="180"/>
    <x v="169"/>
    <x v="1"/>
    <s v="EVA LAI"/>
    <n v="1041"/>
    <s v="ISO 14001"/>
    <s v="Supplier"/>
    <d v="2013-05-25T00:00:00"/>
    <x v="326"/>
    <s v="Perennial cable_ISO14001-2013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8"/>
  </r>
  <r>
    <n v="1062"/>
    <x v="180"/>
    <x v="180"/>
    <x v="169"/>
    <x v="1"/>
    <s v="EVA LAI"/>
    <n v="1038"/>
    <s v="LOC (Letter of Confidentiality)"/>
    <s v="Supplier"/>
    <m/>
    <x v="687"/>
    <s v="LOC_Perennial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8"/>
  </r>
  <r>
    <n v="1060"/>
    <x v="180"/>
    <x v="180"/>
    <x v="169"/>
    <x v="1"/>
    <s v="EVA LAI"/>
    <n v="1036"/>
    <s v="Responsible Purchasing Charter"/>
    <s v="Supplier"/>
    <m/>
    <x v="51"/>
    <s v="PERENNIAL_Responsible_Purchasing_Charter_03Aug12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8"/>
  </r>
  <r>
    <n v="1064"/>
    <x v="180"/>
    <x v="180"/>
    <x v="169"/>
    <x v="1"/>
    <s v="EVA LAI"/>
    <n v="1040"/>
    <s v="SEF"/>
    <s v="Supplier"/>
    <m/>
    <x v="123"/>
    <s v="Perennial_SEF_2012.xls"/>
    <s v=".xls"/>
    <d v="2014-03-25T00:00:00"/>
    <s v="as\afok"/>
    <m/>
    <s v="2012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8"/>
  </r>
  <r>
    <n v="1063"/>
    <x v="180"/>
    <x v="180"/>
    <x v="169"/>
    <x v="1"/>
    <s v="EVA LAI"/>
    <n v="1039"/>
    <s v="SEF"/>
    <s v="Supplier"/>
    <m/>
    <x v="89"/>
    <s v="Perennial_SEF_2012-2.xlsx"/>
    <s v=".xlsx"/>
    <d v="2014-03-25T00:00:00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8"/>
  </r>
  <r>
    <n v="1058"/>
    <x v="180"/>
    <x v="180"/>
    <x v="169"/>
    <x v="1"/>
    <s v="EVA LAI"/>
    <n v="1034"/>
    <s v="SEF"/>
    <s v="Supplier"/>
    <m/>
    <x v="168"/>
    <s v="Perennial_SEF_2013-1.xls"/>
    <s v=".xls"/>
    <d v="2014-03-25T00:00:00"/>
    <s v="as\afok"/>
    <m/>
    <s v="2013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8"/>
  </r>
  <r>
    <n v="1066"/>
    <x v="180"/>
    <x v="180"/>
    <x v="169"/>
    <x v="1"/>
    <s v="EVA LAI"/>
    <n v="1042"/>
    <s v="SIF"/>
    <s v="Supplier"/>
    <m/>
    <x v="688"/>
    <s v="Perennial_SIF_2010.xls"/>
    <s v=".xls"/>
    <d v="2014-03-25T00:00:00"/>
    <s v="as\afok"/>
    <m/>
    <s v="2010"/>
    <x v="0"/>
    <x v="0"/>
    <x v="0"/>
    <x v="0"/>
    <m/>
    <m/>
    <m/>
    <m/>
    <m/>
    <n v="2010"/>
    <m/>
    <n v="40688000"/>
    <n v="52381000"/>
    <m/>
    <m/>
    <m/>
    <n v="0.2"/>
    <m/>
    <m/>
    <m/>
    <s v="CP Panel"/>
    <x v="0"/>
    <x v="0"/>
    <x v="1"/>
    <x v="1"/>
    <m/>
    <m/>
    <m/>
    <n v="0"/>
    <m/>
    <n v="1"/>
    <m/>
    <s v="CP"/>
    <m/>
    <m/>
    <x v="2"/>
    <x v="1"/>
    <m/>
    <x v="8"/>
  </r>
  <r>
    <n v="1061"/>
    <x v="180"/>
    <x v="180"/>
    <x v="169"/>
    <x v="1"/>
    <s v="EVA LAI"/>
    <n v="1037"/>
    <s v="SPR"/>
    <s v="Supplier"/>
    <m/>
    <x v="201"/>
    <s v="Perennial-SPR- Dec 2012.pptx"/>
    <s v=".pptx"/>
    <d v="2014-03-25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8"/>
  </r>
  <r>
    <n v="2514"/>
    <x v="181"/>
    <x v="181"/>
    <x v="170"/>
    <x v="5"/>
    <s v="SHOT XU"/>
    <n v="2395"/>
    <s v="Contract: General Contract"/>
    <s v="Supplier"/>
    <m/>
    <x v="539"/>
    <s v="Povos_General Agreement(full set)_19Jun2013.PDF"/>
    <s v=".pdf"/>
    <d v="2014-04-23T00:00:00"/>
    <s v="as\afok"/>
    <m/>
    <s v="FHA 00 016 ind.12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10"/>
  </r>
  <r>
    <n v="2513"/>
    <x v="181"/>
    <x v="181"/>
    <x v="170"/>
    <x v="5"/>
    <s v="SHOT XU"/>
    <n v="2394"/>
    <s v="Contract: Quality Appendix"/>
    <s v="Supplier"/>
    <m/>
    <x v="539"/>
    <s v="Povos_Quality Appendix_19Jun2013.pdf"/>
    <s v=".pdf"/>
    <d v="2014-04-23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x v="9"/>
    <x v="1"/>
    <m/>
    <x v="10"/>
  </r>
  <r>
    <n v="2512"/>
    <x v="181"/>
    <x v="181"/>
    <x v="170"/>
    <x v="5"/>
    <s v="SHOT XU"/>
    <n v="2393"/>
    <s v="Contract: Supply Chain Appendix"/>
    <s v="Supplier"/>
    <m/>
    <x v="539"/>
    <s v="Povos_Supply Chain Appendix_19Jun2013.pdf"/>
    <s v=".pdf"/>
    <d v="2014-04-23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x v="9"/>
    <x v="1"/>
    <m/>
    <x v="10"/>
  </r>
  <r>
    <n v="2516"/>
    <x v="181"/>
    <x v="181"/>
    <x v="170"/>
    <x v="5"/>
    <s v="SHOT XU"/>
    <n v="2397"/>
    <s v="Declaration letter of group organization"/>
    <s v="Supplier"/>
    <m/>
    <x v="418"/>
    <s v="Povos_General Agreement(full set)_19Jun2013.PDF"/>
    <s v=".pdf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0"/>
  </r>
  <r>
    <n v="2515"/>
    <x v="181"/>
    <x v="181"/>
    <x v="170"/>
    <x v="5"/>
    <s v="SHOT XU"/>
    <n v="2396"/>
    <s v="Environmental Declaration"/>
    <s v="Supplier"/>
    <m/>
    <x v="418"/>
    <s v="Povos_General Agreement(full set)_19Jun2013.PDF"/>
    <s v=".pdf"/>
    <d v="2014-04-23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0"/>
  </r>
  <r>
    <n v="2519"/>
    <x v="181"/>
    <x v="181"/>
    <x v="170"/>
    <x v="5"/>
    <s v="SHOT XU"/>
    <n v="2400"/>
    <s v="Exclusivity (EA)"/>
    <s v="Product / Project"/>
    <m/>
    <x v="597"/>
    <s v="Povos_EA_Hair Dryer PH520X_26Nov2013.pdf"/>
    <s v=".pdf"/>
    <d v="2014-04-23T00:00:00"/>
    <s v="as\afok"/>
    <m/>
    <s v="FRD 6E 030 ind.00"/>
    <x v="0"/>
    <x v="0"/>
    <x v="0"/>
    <x v="0"/>
    <s v="Hair Dryer PH520X"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x v="9"/>
    <x v="1"/>
    <m/>
    <x v="10"/>
  </r>
  <r>
    <n v="2518"/>
    <x v="181"/>
    <x v="181"/>
    <x v="170"/>
    <x v="5"/>
    <s v="SHOT XU"/>
    <n v="2399"/>
    <s v="Exclusivity (EA)"/>
    <s v="Supplier"/>
    <m/>
    <x v="689"/>
    <s v="Povos_EA Summary.xlsx"/>
    <s v=".xlsx"/>
    <d v="2014-04-23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0"/>
  </r>
  <r>
    <n v="2510"/>
    <x v="181"/>
    <x v="181"/>
    <x v="170"/>
    <x v="5"/>
    <s v="SHOT XU"/>
    <n v="2391"/>
    <s v="Exclusivity (EA)"/>
    <s v="Product / Project"/>
    <m/>
    <x v="231"/>
    <s v="Povos_EA_Hair dryer PH1705_27May2013.pdf"/>
    <s v=".pdf"/>
    <d v="2014-04-23T00:00:00"/>
    <s v="as\afok"/>
    <m/>
    <s v="FRD 6E 030 ind.00"/>
    <x v="0"/>
    <x v="0"/>
    <x v="0"/>
    <x v="0"/>
    <s v="Hair dryer PH1705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0"/>
  </r>
  <r>
    <n v="2511"/>
    <x v="181"/>
    <x v="181"/>
    <x v="170"/>
    <x v="5"/>
    <s v="SHOT XU"/>
    <n v="2392"/>
    <s v="Responsible Purchasing Charter"/>
    <s v="Supplier"/>
    <m/>
    <x v="418"/>
    <s v="Povos_Responsible Purchasing Charter_19Jun2013.pdf"/>
    <s v=".pdf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0"/>
  </r>
  <r>
    <n v="2509"/>
    <x v="181"/>
    <x v="181"/>
    <x v="170"/>
    <x v="5"/>
    <s v="SHOT XU"/>
    <n v="2390"/>
    <s v="SIF"/>
    <s v="Supplier"/>
    <m/>
    <x v="476"/>
    <s v="POVOS_SIF_Feb2013.XLSX"/>
    <s v=".xlsx"/>
    <d v="2014-04-23T00:00:00"/>
    <s v="as\afok"/>
    <m/>
    <s v="2013"/>
    <x v="0"/>
    <x v="0"/>
    <x v="0"/>
    <x v="0"/>
    <m/>
    <m/>
    <m/>
    <m/>
    <m/>
    <n v="2013"/>
    <m/>
    <n v="50790000"/>
    <n v="26820000"/>
    <n v="15870000"/>
    <n v="16660000"/>
    <m/>
    <m/>
    <m/>
    <m/>
    <m/>
    <m/>
    <x v="0"/>
    <x v="0"/>
    <x v="0"/>
    <x v="0"/>
    <m/>
    <m/>
    <m/>
    <n v="1"/>
    <m/>
    <m/>
    <s v="FP"/>
    <m/>
    <s v="SP"/>
    <m/>
    <x v="9"/>
    <x v="1"/>
    <m/>
    <x v="10"/>
  </r>
  <r>
    <n v="2517"/>
    <x v="181"/>
    <x v="181"/>
    <x v="170"/>
    <x v="5"/>
    <s v="SHOT XU"/>
    <n v="2398"/>
    <s v="SIF"/>
    <s v="Supplier"/>
    <m/>
    <x v="690"/>
    <s v="POVOS_SIF_JAN 2014.XLSX"/>
    <s v=".xlsx"/>
    <d v="2014-04-23T00:00:00"/>
    <s v="as\afok"/>
    <m/>
    <s v="2014"/>
    <x v="0"/>
    <x v="0"/>
    <x v="0"/>
    <x v="0"/>
    <m/>
    <m/>
    <m/>
    <m/>
    <m/>
    <n v="2014"/>
    <n v="170000000"/>
    <n v="100000000"/>
    <n v="26820000"/>
    <n v="15870000"/>
    <n v="16660000"/>
    <m/>
    <m/>
    <m/>
    <m/>
    <m/>
    <m/>
    <x v="0"/>
    <x v="0"/>
    <x v="0"/>
    <x v="0"/>
    <m/>
    <m/>
    <m/>
    <n v="1"/>
    <m/>
    <m/>
    <s v="FP"/>
    <m/>
    <s v="SP"/>
    <m/>
    <x v="9"/>
    <x v="1"/>
    <m/>
    <x v="10"/>
  </r>
  <r>
    <n v="876"/>
    <x v="182"/>
    <x v="182"/>
    <x v="171"/>
    <x v="1"/>
    <s v="DOUGLAS LAM"/>
    <n v="854"/>
    <s v="Contract: General Contract"/>
    <s v="Supplier"/>
    <m/>
    <x v="472"/>
    <s v="Power_Motor_General_agreement_Jul12.pdf"/>
    <s v=".pdf"/>
    <d v="2014-03-21T00:00:00"/>
    <s v="as\afok"/>
    <m/>
    <s v="V7"/>
    <x v="9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m/>
    <x v="2"/>
    <x v="1"/>
    <m/>
    <x v="6"/>
  </r>
  <r>
    <n v="883"/>
    <x v="182"/>
    <x v="182"/>
    <x v="171"/>
    <x v="1"/>
    <s v="DOUGLAS LAM"/>
    <n v="861"/>
    <s v="Contract: General Contract"/>
    <s v="Supplier"/>
    <m/>
    <x v="691"/>
    <s v="Power_Motor_Purchase_Agreement_2008.pdf"/>
    <s v=".pdf"/>
    <d v="2014-03-21T00:00:00"/>
    <s v="as\afok"/>
    <m/>
    <s v="V5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m/>
    <x v="2"/>
    <x v="1"/>
    <m/>
    <x v="6"/>
  </r>
  <r>
    <n v="879"/>
    <x v="182"/>
    <x v="182"/>
    <x v="171"/>
    <x v="1"/>
    <s v="DOUGLAS LAM"/>
    <n v="857"/>
    <s v="Contract: Quality Appendix"/>
    <s v="Supplier"/>
    <m/>
    <x v="196"/>
    <s v="Power_Motor_General_agreement_Jul12.pdf"/>
    <s v=".pdf"/>
    <d v="2014-03-21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7"/>
    <m/>
    <n v="1"/>
    <m/>
    <n v="1"/>
    <m/>
    <m/>
    <m/>
    <s v="CP"/>
    <m/>
    <m/>
    <x v="2"/>
    <x v="1"/>
    <m/>
    <x v="6"/>
  </r>
  <r>
    <n v="884"/>
    <x v="182"/>
    <x v="182"/>
    <x v="171"/>
    <x v="1"/>
    <s v="DOUGLAS LAM"/>
    <n v="862"/>
    <s v="Contract: Quality Appendix"/>
    <s v="Supplier"/>
    <m/>
    <x v="691"/>
    <s v="Power_Motor_Purchase_Agreement_2008.pdf"/>
    <s v=".pdf"/>
    <d v="2014-03-21T00:00:00"/>
    <s v="as\afok"/>
    <m/>
    <s v="FHA 00 014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7"/>
    <m/>
    <n v="1"/>
    <m/>
    <n v="1"/>
    <m/>
    <m/>
    <m/>
    <s v="CP"/>
    <m/>
    <m/>
    <x v="2"/>
    <x v="1"/>
    <m/>
    <x v="6"/>
  </r>
  <r>
    <n v="878"/>
    <x v="182"/>
    <x v="182"/>
    <x v="171"/>
    <x v="1"/>
    <s v="DOUGLAS LAM"/>
    <n v="856"/>
    <s v="Contract: Supply Chain Appendix"/>
    <s v="Supplier"/>
    <m/>
    <x v="196"/>
    <s v="Power_Motor_General_agreement_Jul12.pdf"/>
    <s v=".pdf"/>
    <d v="2014-03-21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7"/>
    <m/>
    <m/>
    <n v="1"/>
    <n v="1"/>
    <m/>
    <m/>
    <m/>
    <s v="CP"/>
    <m/>
    <m/>
    <x v="2"/>
    <x v="1"/>
    <m/>
    <x v="6"/>
  </r>
  <r>
    <n v="880"/>
    <x v="182"/>
    <x v="182"/>
    <x v="171"/>
    <x v="1"/>
    <s v="DOUGLAS LAM"/>
    <n v="858"/>
    <s v="Declaration letter of group organization"/>
    <s v="Supplier"/>
    <m/>
    <x v="472"/>
    <s v="Power_Motor_General_agreement_Jul12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6"/>
  </r>
  <r>
    <n v="877"/>
    <x v="182"/>
    <x v="182"/>
    <x v="171"/>
    <x v="1"/>
    <s v="DOUGLAS LAM"/>
    <n v="855"/>
    <s v="Environmental Declaration"/>
    <s v="Supplier"/>
    <m/>
    <x v="533"/>
    <s v="Power_Motor_General_agreement_Jul12.pdf"/>
    <s v=".pdf"/>
    <d v="2014-03-21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6"/>
  </r>
  <r>
    <n v="885"/>
    <x v="182"/>
    <x v="182"/>
    <x v="171"/>
    <x v="1"/>
    <s v="DOUGLAS LAM"/>
    <n v="863"/>
    <s v="ISO 14001"/>
    <s v="Supplier"/>
    <d v="2011-01-23T00:00:00"/>
    <x v="692"/>
    <s v="Power-Motor_ISO14001_12May2010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6"/>
  </r>
  <r>
    <n v="873"/>
    <x v="182"/>
    <x v="182"/>
    <x v="171"/>
    <x v="1"/>
    <s v="DOUGLAS LAM"/>
    <n v="851"/>
    <s v="Responsible Purchasing Charter"/>
    <s v="Supplier"/>
    <m/>
    <x v="51"/>
    <s v="Power_Motor_Responsible_Purchasing_Charter_03Aug12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6"/>
  </r>
  <r>
    <n v="872"/>
    <x v="182"/>
    <x v="182"/>
    <x v="171"/>
    <x v="1"/>
    <s v="DOUGLAS LAM"/>
    <n v="850"/>
    <s v="SEF"/>
    <s v="Supplier"/>
    <m/>
    <x v="9"/>
    <s v="Power SEF 2013-Designer-20130601-78.xlsx"/>
    <s v=".xlsx"/>
    <d v="2014-03-21T00:00:00"/>
    <s v="as\afok"/>
    <m/>
    <s v="2013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6"/>
  </r>
  <r>
    <n v="881"/>
    <x v="182"/>
    <x v="182"/>
    <x v="171"/>
    <x v="1"/>
    <s v="DOUGLAS LAM"/>
    <n v="859"/>
    <s v="SEF"/>
    <s v="Supplier"/>
    <m/>
    <x v="10"/>
    <s v="Power Motor_SEF_2012.xlsx"/>
    <s v=".xlsx"/>
    <d v="2014-03-21T00:00:00"/>
    <s v="as\afok"/>
    <m/>
    <s v="2012"/>
    <x v="0"/>
    <x v="0"/>
    <x v="0"/>
    <x v="0"/>
    <m/>
    <m/>
    <m/>
    <m/>
    <n v="71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6"/>
  </r>
  <r>
    <n v="875"/>
    <x v="182"/>
    <x v="182"/>
    <x v="171"/>
    <x v="1"/>
    <s v="DOUGLAS LAM"/>
    <n v="853"/>
    <s v="SIF"/>
    <s v="Supplier"/>
    <m/>
    <x v="231"/>
    <s v="Power_Motor_SIF2013.xls"/>
    <s v=".xls"/>
    <d v="2014-03-21T00:00:00"/>
    <s v="as\afok"/>
    <m/>
    <s v="2013"/>
    <x v="0"/>
    <x v="0"/>
    <x v="0"/>
    <x v="0"/>
    <m/>
    <m/>
    <m/>
    <m/>
    <m/>
    <n v="2013"/>
    <n v="150000000"/>
    <n v="115000000"/>
    <n v="88300000"/>
    <n v="68500000"/>
    <n v="52710000"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6"/>
  </r>
  <r>
    <n v="882"/>
    <x v="182"/>
    <x v="182"/>
    <x v="171"/>
    <x v="1"/>
    <s v="DOUGLAS LAM"/>
    <n v="860"/>
    <s v="SIF"/>
    <s v="Supplier"/>
    <m/>
    <x v="169"/>
    <s v="Power Motor_SIF2012_2Mar12.xls"/>
    <s v=".xls"/>
    <d v="2014-03-21T00:00:00"/>
    <s v="as\afok"/>
    <m/>
    <s v="2012"/>
    <x v="0"/>
    <x v="0"/>
    <x v="0"/>
    <x v="0"/>
    <m/>
    <m/>
    <m/>
    <m/>
    <m/>
    <n v="2012"/>
    <n v="65929120"/>
    <n v="52758700"/>
    <n v="40597242"/>
    <n v="35070000"/>
    <n v="28294000"/>
    <m/>
    <m/>
    <m/>
    <n v="0.77"/>
    <m/>
    <s v="CP Panel"/>
    <x v="0"/>
    <x v="0"/>
    <x v="1"/>
    <x v="7"/>
    <m/>
    <m/>
    <m/>
    <n v="1"/>
    <m/>
    <m/>
    <m/>
    <s v="CP"/>
    <m/>
    <m/>
    <x v="2"/>
    <x v="1"/>
    <m/>
    <x v="6"/>
  </r>
  <r>
    <n v="886"/>
    <x v="182"/>
    <x v="182"/>
    <x v="171"/>
    <x v="1"/>
    <s v="DOUGLAS LAM"/>
    <n v="864"/>
    <s v="SIF"/>
    <s v="Supplier"/>
    <m/>
    <x v="421"/>
    <s v="Power_Motor_2009.pdf"/>
    <s v=".pdf"/>
    <d v="2014-03-21T00:00:00"/>
    <s v="as\afok"/>
    <m/>
    <s v="2009"/>
    <x v="0"/>
    <x v="0"/>
    <x v="0"/>
    <x v="0"/>
    <m/>
    <m/>
    <m/>
    <m/>
    <m/>
    <n v="2010"/>
    <n v="52000000"/>
    <n v="45000000"/>
    <n v="35000000"/>
    <m/>
    <m/>
    <m/>
    <m/>
    <m/>
    <m/>
    <m/>
    <s v="CP Panel"/>
    <x v="0"/>
    <x v="0"/>
    <x v="1"/>
    <x v="7"/>
    <m/>
    <m/>
    <m/>
    <n v="1"/>
    <n v="1"/>
    <m/>
    <m/>
    <s v="CP"/>
    <m/>
    <m/>
    <x v="2"/>
    <x v="1"/>
    <m/>
    <x v="6"/>
  </r>
  <r>
    <n v="874"/>
    <x v="182"/>
    <x v="182"/>
    <x v="171"/>
    <x v="1"/>
    <s v="DOUGLAS LAM"/>
    <n v="852"/>
    <s v="SSR"/>
    <s v="Supplier"/>
    <m/>
    <x v="284"/>
    <s v="POWER_MOTOR_SSR_20130710.pptx"/>
    <s v=".pptx"/>
    <d v="2014-03-21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6"/>
  </r>
  <r>
    <n v="1881"/>
    <x v="183"/>
    <x v="183"/>
    <x v="172"/>
    <x v="4"/>
    <s v="MAVERICK LAU"/>
    <n v="1837"/>
    <s v="Environmental Declaration"/>
    <s v="Supplier"/>
    <m/>
    <x v="59"/>
    <s v="Precision_Product_Env_Declaration_27Mar2010.pdf"/>
    <s v=".pdf"/>
    <d v="2014-04-09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0"/>
  </r>
  <r>
    <n v="1879"/>
    <x v="183"/>
    <x v="183"/>
    <x v="172"/>
    <x v="4"/>
    <s v="MAVERICK LAU"/>
    <n v="1835"/>
    <s v="Responsible Purchasing Charter"/>
    <s v="Supplier"/>
    <m/>
    <x v="8"/>
    <s v="PPM_Responsible_Purchasing_Charter_08Aug12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0"/>
  </r>
  <r>
    <n v="1880"/>
    <x v="183"/>
    <x v="183"/>
    <x v="172"/>
    <x v="4"/>
    <s v="MAVERICK LAU"/>
    <n v="1836"/>
    <s v="SIF"/>
    <s v="Supplier"/>
    <m/>
    <x v="199"/>
    <s v="PPM_SIF 2012_17Apr12.xlsx"/>
    <s v=".xlsx"/>
    <d v="2014-04-09T00:00:00"/>
    <s v="as\afok"/>
    <m/>
    <s v="2012"/>
    <x v="0"/>
    <x v="0"/>
    <x v="0"/>
    <x v="0"/>
    <m/>
    <m/>
    <m/>
    <m/>
    <m/>
    <n v="2012"/>
    <m/>
    <n v="45000000"/>
    <n v="30000000"/>
    <n v="20000000"/>
    <m/>
    <m/>
    <n v="0.01"/>
    <n v="0.01"/>
    <m/>
    <m/>
    <m/>
    <x v="0"/>
    <x v="0"/>
    <x v="0"/>
    <x v="0"/>
    <m/>
    <m/>
    <m/>
    <n v="0"/>
    <m/>
    <m/>
    <m/>
    <s v="CP"/>
    <m/>
    <m/>
    <x v="2"/>
    <x v="1"/>
    <m/>
    <x v="0"/>
  </r>
  <r>
    <n v="2345"/>
    <x v="184"/>
    <x v="184"/>
    <x v="173"/>
    <x v="1"/>
    <s v="MAY LEE"/>
    <n v="2286"/>
    <s v="Contract: General Contract"/>
    <s v="Supplier"/>
    <m/>
    <x v="693"/>
    <s v="Pro-tent_General Agreement_V7.pdf"/>
    <s v=".pdf"/>
    <d v="2014-04-17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x v="2"/>
    <x v="1"/>
    <m/>
    <x v="11"/>
  </r>
  <r>
    <n v="2348"/>
    <x v="184"/>
    <x v="184"/>
    <x v="173"/>
    <x v="1"/>
    <s v="MAY LEE"/>
    <n v="2289"/>
    <s v="Contract: Quality Appendix"/>
    <s v="Supplier"/>
    <m/>
    <x v="353"/>
    <s v="Pro-tent_General Agreement_V7.pdf"/>
    <s v=".pdf"/>
    <d v="2014-04-17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x v="2"/>
    <x v="1"/>
    <m/>
    <x v="11"/>
  </r>
  <r>
    <n v="2347"/>
    <x v="184"/>
    <x v="184"/>
    <x v="173"/>
    <x v="1"/>
    <s v="MAY LEE"/>
    <n v="2288"/>
    <s v="Contract: Supply Chain Appendix"/>
    <s v="Supplier"/>
    <m/>
    <x v="317"/>
    <s v="Pro-tent_General Agreement_V7.pdf"/>
    <s v=".pdf"/>
    <d v="2014-04-17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x v="2"/>
    <x v="1"/>
    <m/>
    <x v="11"/>
  </r>
  <r>
    <n v="2349"/>
    <x v="184"/>
    <x v="184"/>
    <x v="173"/>
    <x v="1"/>
    <s v="MAY LEE"/>
    <n v="2290"/>
    <s v="Declaration letter of group organization"/>
    <s v="Supplier"/>
    <m/>
    <x v="694"/>
    <s v="Pro-tent_General Agreement_V7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n v="1"/>
    <m/>
    <m/>
    <s v="CP"/>
    <m/>
    <m/>
    <x v="2"/>
    <x v="1"/>
    <m/>
    <x v="11"/>
  </r>
  <r>
    <n v="2346"/>
    <x v="184"/>
    <x v="184"/>
    <x v="173"/>
    <x v="1"/>
    <s v="MAY LEE"/>
    <n v="2287"/>
    <s v="Environmental Declaration"/>
    <s v="Supplier"/>
    <m/>
    <x v="693"/>
    <s v="Pro-Tent_Env_Declaration_31May2010.xls"/>
    <s v=".xls"/>
    <d v="2014-04-17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1"/>
  </r>
  <r>
    <n v="2342"/>
    <x v="184"/>
    <x v="184"/>
    <x v="173"/>
    <x v="1"/>
    <s v="MAY LEE"/>
    <n v="2283"/>
    <s v="Environmental Declaration"/>
    <s v="Supplier"/>
    <m/>
    <x v="110"/>
    <s v="Pro-Tent_Env_Declaration_31May2010.xls"/>
    <s v=".xls"/>
    <d v="2014-04-17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1"/>
  </r>
  <r>
    <n v="2341"/>
    <x v="184"/>
    <x v="184"/>
    <x v="173"/>
    <x v="1"/>
    <s v="MAY LEE"/>
    <n v="2282"/>
    <s v="Responsible Purchasing Charter"/>
    <s v="Supplier"/>
    <m/>
    <x v="51"/>
    <s v="Protent_Responsible_Purchasing_Charter_03Aug12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1"/>
  </r>
  <r>
    <n v="2344"/>
    <x v="184"/>
    <x v="184"/>
    <x v="173"/>
    <x v="1"/>
    <s v="MAY LEE"/>
    <n v="2285"/>
    <s v="SEF"/>
    <s v="Supplier"/>
    <m/>
    <x v="183"/>
    <s v="Protent_SEF_2012-2.xlsx"/>
    <s v=".xlsx"/>
    <d v="2014-04-17T00:00:00"/>
    <s v="as\afok"/>
    <m/>
    <s v="2012"/>
    <x v="0"/>
    <x v="0"/>
    <x v="0"/>
    <x v="0"/>
    <m/>
    <m/>
    <m/>
    <m/>
    <n v="66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1"/>
  </r>
  <r>
    <n v="2340"/>
    <x v="184"/>
    <x v="184"/>
    <x v="173"/>
    <x v="1"/>
    <s v="MAY LEE"/>
    <n v="2281"/>
    <s v="SIF"/>
    <s v="Supplier"/>
    <m/>
    <x v="695"/>
    <s v="Pro_Tent_SIF 2013-1 30 Jul 2013.xlsx"/>
    <s v=".xlsx"/>
    <d v="2014-04-17T00:00:00"/>
    <s v="as\afok"/>
    <m/>
    <s v="2013"/>
    <x v="0"/>
    <x v="0"/>
    <x v="0"/>
    <x v="0"/>
    <m/>
    <m/>
    <m/>
    <m/>
    <m/>
    <n v="2013"/>
    <n v="3600000"/>
    <n v="3600000"/>
    <n v="3800000"/>
    <n v="4000000"/>
    <n v="4000000"/>
    <n v="1"/>
    <m/>
    <m/>
    <m/>
    <m/>
    <s v="CP Panel"/>
    <x v="0"/>
    <x v="0"/>
    <x v="1"/>
    <x v="1"/>
    <m/>
    <m/>
    <m/>
    <n v="1"/>
    <m/>
    <m/>
    <m/>
    <s v="CP"/>
    <m/>
    <m/>
    <x v="2"/>
    <x v="1"/>
    <m/>
    <x v="11"/>
  </r>
  <r>
    <n v="2343"/>
    <x v="184"/>
    <x v="184"/>
    <x v="173"/>
    <x v="1"/>
    <s v="MAY LEE"/>
    <n v="2284"/>
    <s v="SPR"/>
    <s v="Supplier"/>
    <m/>
    <x v="696"/>
    <s v="Pro_Tent_SPR_2010.pptx"/>
    <s v=".pptx"/>
    <d v="2014-04-17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1"/>
  </r>
  <r>
    <n v="1352"/>
    <x v="185"/>
    <x v="185"/>
    <x v="174"/>
    <x v="0"/>
    <s v="JACQUELINE POON"/>
    <n v="1321"/>
    <s v="Contract: General Contract"/>
    <s v="Supplier"/>
    <m/>
    <x v="697"/>
    <s v="Prodoo_General Agreement_16Aug12.pdf"/>
    <s v=".pdf"/>
    <d v="2014-03-31T00:00:00"/>
    <s v="as\afok"/>
    <m/>
    <s v="FHA 00 016 ind.11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m/>
    <s v="SP"/>
    <s v="MOULD"/>
    <x v="4"/>
    <x v="1"/>
    <m/>
    <x v="4"/>
  </r>
  <r>
    <n v="1351"/>
    <x v="185"/>
    <x v="185"/>
    <x v="174"/>
    <x v="0"/>
    <s v="JACQUELINE POON"/>
    <n v="1320"/>
    <s v="Contract: General Contract"/>
    <s v="Supplier"/>
    <m/>
    <x v="698"/>
    <s v="Prodoo-DEVELOPMENT AND SUPPLY AGREEMENT 23062008.pdf"/>
    <s v=".pdf"/>
    <d v="2014-03-31T00:00:00"/>
    <s v="as\afok"/>
    <m/>
    <s v="FHA 00 016 ind.07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m/>
    <s v="SP"/>
    <s v="MOULD"/>
    <x v="4"/>
    <x v="1"/>
    <m/>
    <x v="4"/>
  </r>
  <r>
    <n v="1355"/>
    <x v="185"/>
    <x v="185"/>
    <x v="174"/>
    <x v="0"/>
    <s v="JACQUELINE POON"/>
    <n v="1324"/>
    <s v="Contract: Quality Appendix"/>
    <s v="Supplier"/>
    <m/>
    <x v="697"/>
    <s v="Prodoo_General Agreement_16Aug12.pdf"/>
    <s v=".pdf"/>
    <d v="2014-03-31T00:00:00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m/>
    <m/>
    <s v="FP"/>
    <m/>
    <s v="SP"/>
    <s v="MOULD"/>
    <x v="4"/>
    <x v="1"/>
    <m/>
    <x v="4"/>
  </r>
  <r>
    <n v="1354"/>
    <x v="185"/>
    <x v="185"/>
    <x v="174"/>
    <x v="0"/>
    <s v="JACQUELINE POON"/>
    <n v="1323"/>
    <s v="Contract: Supply Chain Appendix"/>
    <s v="Supplier"/>
    <m/>
    <x v="697"/>
    <s v="Prodoo_General Agreement_16Aug12.pdf"/>
    <s v=".pdf"/>
    <d v="2014-03-31T00:00:00"/>
    <s v="as\afok"/>
    <m/>
    <m/>
    <x v="0"/>
    <x v="4"/>
    <x v="2"/>
    <x v="0"/>
    <m/>
    <m/>
    <m/>
    <m/>
    <m/>
    <m/>
    <m/>
    <m/>
    <m/>
    <m/>
    <m/>
    <m/>
    <m/>
    <m/>
    <m/>
    <m/>
    <s v="FP panel"/>
    <x v="1"/>
    <x v="2"/>
    <x v="0"/>
    <x v="0"/>
    <m/>
    <m/>
    <n v="1"/>
    <n v="1"/>
    <m/>
    <m/>
    <s v="FP"/>
    <m/>
    <s v="SP"/>
    <s v="MOULD"/>
    <x v="4"/>
    <x v="1"/>
    <m/>
    <x v="4"/>
  </r>
  <r>
    <n v="1356"/>
    <x v="185"/>
    <x v="185"/>
    <x v="174"/>
    <x v="0"/>
    <s v="JACQUELINE POON"/>
    <n v="1325"/>
    <s v="Declaration letter of group organization"/>
    <s v="Supplier"/>
    <m/>
    <x v="103"/>
    <s v="Prodoo_General Agreement_16Aug12.pdf"/>
    <s v=".pdf"/>
    <d v="2014-03-31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x v="4"/>
    <x v="1"/>
    <m/>
    <x v="4"/>
  </r>
  <r>
    <n v="1353"/>
    <x v="185"/>
    <x v="185"/>
    <x v="174"/>
    <x v="0"/>
    <s v="JACQUELINE POON"/>
    <n v="1322"/>
    <s v="Environmental Declaration"/>
    <s v="Supplier"/>
    <m/>
    <x v="103"/>
    <s v="Prodoo_General Agreement_16Aug12.pdf"/>
    <s v=".pdf"/>
    <d v="2014-03-31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x v="4"/>
    <x v="1"/>
    <m/>
    <x v="4"/>
  </r>
  <r>
    <n v="1360"/>
    <x v="185"/>
    <x v="185"/>
    <x v="174"/>
    <x v="0"/>
    <s v="JACQUELINE POON"/>
    <n v="1329"/>
    <s v="Environmental Declaration"/>
    <s v="Supplier"/>
    <m/>
    <x v="664"/>
    <s v="Prodoo_Env_Declaration_18Mar2010.pdf"/>
    <s v=".pdf"/>
    <d v="2014-03-31T00:00:00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x v="4"/>
    <x v="1"/>
    <m/>
    <x v="4"/>
  </r>
  <r>
    <n v="1359"/>
    <x v="185"/>
    <x v="185"/>
    <x v="174"/>
    <x v="0"/>
    <s v="JACQUELINE POON"/>
    <n v="1328"/>
    <s v="Exclusivity (EA)"/>
    <s v="Product / Project"/>
    <m/>
    <x v="699"/>
    <s v="Prodoo_Exclusivity_Class Ceramic 0303_9Apr12.pdf"/>
    <s v=".pdf"/>
    <d v="2014-03-31T00:00:00"/>
    <s v="as\afok"/>
    <m/>
    <m/>
    <x v="0"/>
    <x v="0"/>
    <x v="0"/>
    <x v="0"/>
    <s v="Class Ceramic 0303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x v="4"/>
    <x v="1"/>
    <m/>
    <x v="4"/>
  </r>
  <r>
    <n v="1361"/>
    <x v="185"/>
    <x v="185"/>
    <x v="174"/>
    <x v="0"/>
    <s v="JACQUELINE POON"/>
    <n v="1330"/>
    <s v="LOC (Letter of Confidentiality)"/>
    <s v="Supplier"/>
    <m/>
    <x v="700"/>
    <s v="Prodoo_Letter of Confidentiality_28Oct2011.pdf"/>
    <s v=".pdf"/>
    <d v="2014-03-31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x v="4"/>
    <x v="1"/>
    <m/>
    <x v="4"/>
  </r>
  <r>
    <n v="1362"/>
    <x v="185"/>
    <x v="185"/>
    <x v="174"/>
    <x v="0"/>
    <s v="JACQUELINE POON"/>
    <n v="1331"/>
    <s v="Responsible Purchasing Charter"/>
    <s v="Supplier"/>
    <m/>
    <x v="235"/>
    <s v="Prodoo_Responsible Purchasing Charter_2Aug12.pdf"/>
    <s v=".pdf"/>
    <d v="2014-03-31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x v="4"/>
    <x v="1"/>
    <m/>
    <x v="4"/>
  </r>
  <r>
    <n v="1358"/>
    <x v="185"/>
    <x v="185"/>
    <x v="174"/>
    <x v="0"/>
    <s v="JACQUELINE POON"/>
    <n v="1327"/>
    <s v="SEF"/>
    <s v="Supplier"/>
    <m/>
    <x v="36"/>
    <s v="SEF_Prodoo_12Nov12.xlsx"/>
    <s v=".xlsx"/>
    <d v="2014-03-31T00:00:00"/>
    <s v="as\afok"/>
    <m/>
    <s v="2012"/>
    <x v="0"/>
    <x v="0"/>
    <x v="0"/>
    <x v="0"/>
    <m/>
    <m/>
    <m/>
    <m/>
    <n v="73"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x v="4"/>
    <x v="1"/>
    <m/>
    <x v="4"/>
  </r>
  <r>
    <n v="1350"/>
    <x v="185"/>
    <x v="185"/>
    <x v="174"/>
    <x v="0"/>
    <s v="JACQUELINE POON"/>
    <n v="1319"/>
    <s v="SIF"/>
    <s v="Supplier"/>
    <m/>
    <x v="690"/>
    <s v="Prodoo SIF 2014.xls"/>
    <s v=".xls"/>
    <d v="2014-03-31T00:00:00"/>
    <s v="as\afok"/>
    <m/>
    <s v="2014"/>
    <x v="0"/>
    <x v="0"/>
    <x v="0"/>
    <x v="0"/>
    <m/>
    <m/>
    <m/>
    <m/>
    <m/>
    <n v="2014"/>
    <n v="6000000"/>
    <n v="5450000"/>
    <n v="6850000"/>
    <m/>
    <m/>
    <n v="21"/>
    <n v="23"/>
    <n v="22"/>
    <m/>
    <m/>
    <s v="FP panel"/>
    <x v="1"/>
    <x v="2"/>
    <x v="0"/>
    <x v="0"/>
    <m/>
    <m/>
    <m/>
    <n v="1"/>
    <m/>
    <m/>
    <s v="FP"/>
    <m/>
    <s v="SP"/>
    <s v="MOULD"/>
    <x v="4"/>
    <x v="1"/>
    <m/>
    <x v="4"/>
  </r>
  <r>
    <n v="1363"/>
    <x v="185"/>
    <x v="185"/>
    <x v="174"/>
    <x v="0"/>
    <s v="JACQUELINE POON"/>
    <n v="1332"/>
    <s v="SIF"/>
    <s v="Supplier"/>
    <m/>
    <x v="523"/>
    <s v="Prodoo_SIF_2013.xls"/>
    <s v=".xls"/>
    <d v="2014-03-31T00:00:00"/>
    <s v="as\afok"/>
    <m/>
    <s v="2013"/>
    <x v="0"/>
    <x v="0"/>
    <x v="0"/>
    <x v="0"/>
    <m/>
    <m/>
    <m/>
    <m/>
    <m/>
    <n v="2013"/>
    <n v="5900000"/>
    <n v="5450000"/>
    <n v="6850000"/>
    <m/>
    <m/>
    <m/>
    <n v="23"/>
    <n v="22"/>
    <m/>
    <m/>
    <s v="FP panel"/>
    <x v="1"/>
    <x v="2"/>
    <x v="0"/>
    <x v="0"/>
    <m/>
    <m/>
    <m/>
    <n v="1"/>
    <n v="1"/>
    <m/>
    <s v="FP"/>
    <m/>
    <s v="SP"/>
    <s v="MOULD"/>
    <x v="4"/>
    <x v="1"/>
    <m/>
    <x v="4"/>
  </r>
  <r>
    <n v="1357"/>
    <x v="185"/>
    <x v="185"/>
    <x v="174"/>
    <x v="0"/>
    <s v="JACQUELINE POON"/>
    <n v="1326"/>
    <s v="SPR"/>
    <s v="Supplier"/>
    <m/>
    <x v="701"/>
    <s v="SPR Prodoo (4 Jan 11).ppt"/>
    <s v=".ppt"/>
    <d v="2014-03-31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x v="4"/>
    <x v="1"/>
    <m/>
    <x v="4"/>
  </r>
  <r>
    <n v="963"/>
    <x v="186"/>
    <x v="186"/>
    <x v="175"/>
    <x v="4"/>
    <s v="ERIC KWOK"/>
    <n v="941"/>
    <s v="SIF"/>
    <s v="Supplier"/>
    <m/>
    <x v="702"/>
    <s v="Prosperous_SIF_2013_20140102.xls"/>
    <s v=".xls"/>
    <d v="2014-03-24T00:00:00"/>
    <s v="as\afok"/>
    <m/>
    <s v="2013"/>
    <x v="0"/>
    <x v="0"/>
    <x v="0"/>
    <x v="0"/>
    <m/>
    <m/>
    <m/>
    <m/>
    <m/>
    <n v="2013"/>
    <n v="3400000"/>
    <n v="3500000"/>
    <m/>
    <m/>
    <m/>
    <n v="0"/>
    <n v="0"/>
    <m/>
    <m/>
    <m/>
    <m/>
    <x v="0"/>
    <x v="0"/>
    <x v="0"/>
    <x v="0"/>
    <m/>
    <m/>
    <m/>
    <n v="0"/>
    <m/>
    <n v="1"/>
    <m/>
    <m/>
    <m/>
    <s v="MOULD"/>
    <x v="8"/>
    <x v="1"/>
    <m/>
    <x v="3"/>
  </r>
  <r>
    <n v="746"/>
    <x v="187"/>
    <x v="187"/>
    <x v="176"/>
    <x v="2"/>
    <s v="DENNIS LAM"/>
    <n v="729"/>
    <s v="Contract: General Contract"/>
    <s v="Supplier"/>
    <m/>
    <x v="703"/>
    <s v="PT MCM _ Development and Supply Agreement.pdf"/>
    <s v=".pdf"/>
    <d v="2014-03-20T00:00:00"/>
    <s v="as\afok"/>
    <m/>
    <s v="FHA 00 16 ind.09"/>
    <x v="1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n v="1"/>
    <m/>
    <s v="FP"/>
    <m/>
    <s v="SP"/>
    <m/>
    <x v="9"/>
    <x v="1"/>
    <m/>
    <x v="39"/>
  </r>
  <r>
    <n v="741"/>
    <x v="187"/>
    <x v="187"/>
    <x v="176"/>
    <x v="2"/>
    <s v="DENNIS LAM"/>
    <n v="724"/>
    <s v="Contract: General Contract"/>
    <s v="Supplier"/>
    <m/>
    <x v="704"/>
    <s v="PT Mitra_General Contract Except Appendices 3, 6, 7 - 5Dec2012.pdf"/>
    <s v=".pdf"/>
    <d v="2014-03-20T00:00:00"/>
    <s v="as\afok"/>
    <m/>
    <s v="FHA 00 016 ind.10"/>
    <x v="2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m/>
    <s v="SP"/>
    <m/>
    <x v="9"/>
    <x v="1"/>
    <m/>
    <x v="39"/>
  </r>
  <r>
    <n v="732"/>
    <x v="187"/>
    <x v="187"/>
    <x v="176"/>
    <x v="2"/>
    <s v="DENNIS LAM"/>
    <n v="715"/>
    <s v="Contract: General Contract"/>
    <s v="Supplier"/>
    <m/>
    <x v="704"/>
    <s v="PT Mitra General Contract Appendix 6,7.pdf"/>
    <s v=".pdf"/>
    <d v="2014-03-20T00:00:00"/>
    <s v="as\afok"/>
    <m/>
    <s v="FHA00 016 ind.10"/>
    <x v="2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m/>
    <s v="SP"/>
    <m/>
    <x v="9"/>
    <x v="1"/>
    <m/>
    <x v="39"/>
  </r>
  <r>
    <n v="735"/>
    <x v="187"/>
    <x v="187"/>
    <x v="176"/>
    <x v="2"/>
    <s v="DENNIS LAM"/>
    <n v="718"/>
    <s v="Contract: Quality Appendix"/>
    <s v="Supplier"/>
    <m/>
    <x v="705"/>
    <s v="PT Mitra General Contract Appendix 6,7.pdf"/>
    <s v=".pdf"/>
    <d v="2014-03-20T00:00:00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m/>
    <m/>
    <s v="FP"/>
    <m/>
    <s v="SP"/>
    <m/>
    <x v="9"/>
    <x v="1"/>
    <m/>
    <x v="39"/>
  </r>
  <r>
    <n v="734"/>
    <x v="187"/>
    <x v="187"/>
    <x v="176"/>
    <x v="2"/>
    <s v="DENNIS LAM"/>
    <n v="717"/>
    <s v="Contract: Supply Chain Appendix"/>
    <s v="Supplier"/>
    <m/>
    <x v="705"/>
    <s v="PT Mitra General Contract Appendix 6,7.pdf"/>
    <s v=".pdf"/>
    <d v="2014-03-20T00:00:00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2"/>
    <x v="0"/>
    <x v="0"/>
    <m/>
    <m/>
    <n v="1"/>
    <n v="1"/>
    <m/>
    <m/>
    <s v="FP"/>
    <m/>
    <s v="SP"/>
    <m/>
    <x v="9"/>
    <x v="1"/>
    <m/>
    <x v="39"/>
  </r>
  <r>
    <n v="742"/>
    <x v="187"/>
    <x v="187"/>
    <x v="176"/>
    <x v="2"/>
    <s v="DENNIS LAM"/>
    <n v="725"/>
    <s v="Environmental Declaration"/>
    <s v="Supplier"/>
    <m/>
    <x v="704"/>
    <s v="PT Mitra_General Contract Except Appendices 3, 6, 7 - 5Dec2012.pdf"/>
    <s v=".pdf"/>
    <d v="2014-03-20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9"/>
  </r>
  <r>
    <n v="733"/>
    <x v="187"/>
    <x v="187"/>
    <x v="176"/>
    <x v="2"/>
    <s v="DENNIS LAM"/>
    <n v="716"/>
    <s v="Environmental Declaration"/>
    <s v="Supplier"/>
    <m/>
    <x v="704"/>
    <s v="PT Mitra General Contract Appendix 6,7.pdf"/>
    <s v=".pdf"/>
    <d v="2014-03-20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9"/>
  </r>
  <r>
    <n v="738"/>
    <x v="187"/>
    <x v="187"/>
    <x v="176"/>
    <x v="2"/>
    <s v="DENNIS LAM"/>
    <n v="721"/>
    <s v="Environmental Declaration"/>
    <s v="Supplier"/>
    <m/>
    <x v="110"/>
    <s v="PT_Mirta_Env_Declaration_31May2010.xls"/>
    <s v=".xls"/>
    <d v="2014-03-20T00:00:00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9"/>
  </r>
  <r>
    <n v="739"/>
    <x v="187"/>
    <x v="187"/>
    <x v="176"/>
    <x v="2"/>
    <s v="DENNIS LAM"/>
    <n v="722"/>
    <s v="ISO 9001"/>
    <s v="Supplier"/>
    <d v="2013-02-07T00:00:00"/>
    <x v="197"/>
    <s v="PT Kencana ISO9001_7Feb2013.pdf"/>
    <s v=".pdf"/>
    <d v="2014-03-20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9"/>
  </r>
  <r>
    <n v="744"/>
    <x v="187"/>
    <x v="187"/>
    <x v="176"/>
    <x v="2"/>
    <s v="DENNIS LAM"/>
    <n v="727"/>
    <s v="Responsible Purchasing Charter"/>
    <s v="Supplier"/>
    <m/>
    <x v="8"/>
    <s v="PT Mitra - Responsible Purchasing Charter (ENG).jpg"/>
    <s v=".jpg"/>
    <d v="2014-03-20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9"/>
  </r>
  <r>
    <n v="745"/>
    <x v="187"/>
    <x v="187"/>
    <x v="176"/>
    <x v="2"/>
    <s v="DENNIS LAM"/>
    <n v="728"/>
    <s v="SEF"/>
    <s v="Supplier"/>
    <m/>
    <x v="112"/>
    <s v="PT MITRA_ SEF_JUN 2012.xlsx"/>
    <s v=".xlsx"/>
    <d v="2014-03-20T00:00:00"/>
    <s v="as\afok"/>
    <m/>
    <s v="2012"/>
    <x v="0"/>
    <x v="0"/>
    <x v="0"/>
    <x v="0"/>
    <m/>
    <m/>
    <m/>
    <m/>
    <n v="67"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9"/>
  </r>
  <r>
    <n v="736"/>
    <x v="187"/>
    <x v="187"/>
    <x v="176"/>
    <x v="2"/>
    <s v="DENNIS LAM"/>
    <n v="719"/>
    <s v="SEF"/>
    <s v="Supplier"/>
    <m/>
    <x v="592"/>
    <s v="SEF-PT Mitra 2013 Jun.xlsx"/>
    <s v=".xlsx"/>
    <d v="2014-03-20T00:00:00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9"/>
  </r>
  <r>
    <n v="737"/>
    <x v="187"/>
    <x v="187"/>
    <x v="176"/>
    <x v="2"/>
    <s v="DENNIS LAM"/>
    <n v="720"/>
    <s v="SIF"/>
    <s v="Supplier"/>
    <m/>
    <x v="640"/>
    <s v="PT Mitra - FHA6E502_EN - SIF 2013.xlsx"/>
    <s v=".xlsx"/>
    <d v="2014-03-20T00:00:00"/>
    <s v="as\afok"/>
    <m/>
    <s v="2013"/>
    <x v="0"/>
    <x v="0"/>
    <x v="0"/>
    <x v="0"/>
    <m/>
    <m/>
    <m/>
    <m/>
    <m/>
    <n v="2013"/>
    <m/>
    <n v="5583250"/>
    <n v="3011750"/>
    <n v="3895750"/>
    <n v="2619750"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9"/>
  </r>
  <r>
    <n v="743"/>
    <x v="187"/>
    <x v="187"/>
    <x v="176"/>
    <x v="2"/>
    <s v="DENNIS LAM"/>
    <n v="726"/>
    <s v="SIF"/>
    <s v="Supplier"/>
    <m/>
    <x v="706"/>
    <s v="PT MITRA_SIF 2012_29Feb12.xls"/>
    <s v=".xls"/>
    <d v="2014-03-20T00:00:00"/>
    <s v="as\afok"/>
    <m/>
    <s v="2012"/>
    <x v="0"/>
    <x v="0"/>
    <x v="0"/>
    <x v="0"/>
    <m/>
    <m/>
    <m/>
    <m/>
    <m/>
    <n v="2012"/>
    <m/>
    <m/>
    <n v="3212555"/>
    <n v="4089250"/>
    <n v="2606241"/>
    <m/>
    <m/>
    <n v="56"/>
    <n v="71"/>
    <n v="66"/>
    <s v="FP panel"/>
    <x v="1"/>
    <x v="2"/>
    <x v="0"/>
    <x v="0"/>
    <m/>
    <m/>
    <m/>
    <n v="1"/>
    <m/>
    <m/>
    <s v="FP"/>
    <m/>
    <s v="SP"/>
    <m/>
    <x v="9"/>
    <x v="1"/>
    <m/>
    <x v="39"/>
  </r>
  <r>
    <n v="740"/>
    <x v="187"/>
    <x v="187"/>
    <x v="176"/>
    <x v="2"/>
    <s v="DENNIS LAM"/>
    <n v="723"/>
    <s v="SPR"/>
    <s v="Supplier"/>
    <m/>
    <x v="704"/>
    <s v="PT_Mitra SPR 2012 - Dec 5 2012 - v1 after meeting.pptx"/>
    <s v=".pptx"/>
    <d v="2014-03-20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39"/>
  </r>
  <r>
    <n v="2095"/>
    <x v="188"/>
    <x v="188"/>
    <x v="177"/>
    <x v="4"/>
    <s v="RICKY LAM"/>
    <n v="2038"/>
    <s v="SIF"/>
    <s v="Supplier"/>
    <m/>
    <x v="375"/>
    <s v="QIANCAI_SIF2013.xls"/>
    <s v=".xls"/>
    <d v="2014-04-11T00:00:00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39"/>
  </r>
  <r>
    <n v="753"/>
    <x v="189"/>
    <x v="189"/>
    <x v="178"/>
    <x v="2"/>
    <s v="DENNIS LAM"/>
    <n v="736"/>
    <s v="Contract: General Contract"/>
    <s v="Supplier"/>
    <m/>
    <x v="707"/>
    <s v="Qibao_General Agreement_20120109.pdf"/>
    <s v=".pdf"/>
    <d v="2014-03-20T00:00:00"/>
    <s v="as\afok"/>
    <m/>
    <s v="FHA 00 016 ind.10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n v="1"/>
    <m/>
    <m/>
    <n v="1"/>
    <m/>
    <m/>
    <s v="FP"/>
    <s v="CP"/>
    <m/>
    <m/>
    <x v="1"/>
    <x v="1"/>
    <m/>
    <x v="29"/>
  </r>
  <r>
    <n v="760"/>
    <x v="189"/>
    <x v="189"/>
    <x v="178"/>
    <x v="2"/>
    <s v="DENNIS LAM"/>
    <n v="743"/>
    <s v="Contract: General Contract"/>
    <s v="Supplier"/>
    <m/>
    <x v="708"/>
    <s v="Qibao_Purchase_Agreement_2009.pdf"/>
    <s v=".pdf"/>
    <d v="2014-03-20T00:00:00"/>
    <s v="as\afok"/>
    <m/>
    <m/>
    <x v="5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n v="1"/>
    <m/>
    <m/>
    <n v="1"/>
    <m/>
    <m/>
    <s v="FP"/>
    <s v="CP"/>
    <m/>
    <m/>
    <x v="1"/>
    <x v="1"/>
    <m/>
    <x v="29"/>
  </r>
  <r>
    <n v="761"/>
    <x v="189"/>
    <x v="189"/>
    <x v="178"/>
    <x v="2"/>
    <s v="DENNIS LAM"/>
    <n v="744"/>
    <s v="Contract: Quality Appendix"/>
    <s v="Supplier"/>
    <m/>
    <x v="709"/>
    <s v="Qibao_Purchase_Agreement_2009.pdf"/>
    <s v=".pdf"/>
    <d v="2014-03-20T00:00:00"/>
    <s v="as\afok"/>
    <m/>
    <m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0"/>
    <m/>
    <n v="1"/>
    <m/>
    <n v="1"/>
    <n v="1"/>
    <m/>
    <s v="FP"/>
    <s v="CP"/>
    <m/>
    <m/>
    <x v="1"/>
    <x v="1"/>
    <m/>
    <x v="29"/>
  </r>
  <r>
    <n v="756"/>
    <x v="189"/>
    <x v="189"/>
    <x v="178"/>
    <x v="2"/>
    <s v="DENNIS LAM"/>
    <n v="739"/>
    <s v="Contract: Quality Appendix"/>
    <s v="Supplier"/>
    <m/>
    <x v="22"/>
    <s v="Qibao_General Agreement_20120109.pdf"/>
    <s v=".pdf"/>
    <d v="2014-03-20T00:00:00"/>
    <s v="as\afok"/>
    <m/>
    <m/>
    <x v="0"/>
    <x v="0"/>
    <x v="0"/>
    <x v="3"/>
    <m/>
    <m/>
    <m/>
    <m/>
    <m/>
    <m/>
    <m/>
    <m/>
    <m/>
    <m/>
    <m/>
    <m/>
    <m/>
    <m/>
    <m/>
    <m/>
    <s v="CP Panel"/>
    <x v="0"/>
    <x v="0"/>
    <x v="1"/>
    <x v="10"/>
    <m/>
    <n v="1"/>
    <m/>
    <n v="1"/>
    <m/>
    <m/>
    <s v="FP"/>
    <s v="CP"/>
    <m/>
    <m/>
    <x v="1"/>
    <x v="1"/>
    <m/>
    <x v="29"/>
  </r>
  <r>
    <n v="755"/>
    <x v="189"/>
    <x v="189"/>
    <x v="178"/>
    <x v="2"/>
    <s v="DENNIS LAM"/>
    <n v="738"/>
    <s v="Contract: Supply Chain Appendix"/>
    <s v="Supplier"/>
    <m/>
    <x v="710"/>
    <s v="Qibao_General Agreement_20120109.pdf"/>
    <s v=".pdf"/>
    <d v="2014-03-20T00:00:00"/>
    <s v="as\afok"/>
    <m/>
    <m/>
    <x v="0"/>
    <x v="2"/>
    <x v="2"/>
    <x v="0"/>
    <m/>
    <m/>
    <m/>
    <m/>
    <m/>
    <m/>
    <m/>
    <m/>
    <m/>
    <m/>
    <m/>
    <m/>
    <m/>
    <m/>
    <m/>
    <m/>
    <s v="CP Panel"/>
    <x v="0"/>
    <x v="0"/>
    <x v="1"/>
    <x v="10"/>
    <m/>
    <m/>
    <n v="1"/>
    <n v="1"/>
    <m/>
    <m/>
    <s v="FP"/>
    <s v="CP"/>
    <m/>
    <m/>
    <x v="1"/>
    <x v="1"/>
    <m/>
    <x v="29"/>
  </r>
  <r>
    <n v="757"/>
    <x v="189"/>
    <x v="189"/>
    <x v="178"/>
    <x v="2"/>
    <s v="DENNIS LAM"/>
    <n v="740"/>
    <s v="Declaration letter of group organization"/>
    <s v="Supplier"/>
    <m/>
    <x v="22"/>
    <s v="Qibao_General Agreement_20120109.pdf"/>
    <s v=".pdf"/>
    <d v="2014-03-2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1"/>
    <m/>
    <m/>
    <s v="FP"/>
    <s v="CP"/>
    <m/>
    <m/>
    <x v="1"/>
    <x v="1"/>
    <m/>
    <x v="29"/>
  </r>
  <r>
    <n v="752"/>
    <x v="189"/>
    <x v="189"/>
    <x v="178"/>
    <x v="2"/>
    <s v="DENNIS LAM"/>
    <n v="735"/>
    <s v="Environmental Declaration"/>
    <s v="Supplier"/>
    <m/>
    <x v="7"/>
    <s v="Qibao_Env_Declaration_24Mar2010.xls"/>
    <s v=".xls"/>
    <d v="2014-03-20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1"/>
    <m/>
    <m/>
    <s v="FP"/>
    <s v="CP"/>
    <m/>
    <m/>
    <x v="1"/>
    <x v="1"/>
    <m/>
    <x v="29"/>
  </r>
  <r>
    <n v="754"/>
    <x v="189"/>
    <x v="189"/>
    <x v="178"/>
    <x v="2"/>
    <s v="DENNIS LAM"/>
    <n v="737"/>
    <s v="Environmental Declaration"/>
    <s v="Supplier"/>
    <m/>
    <x v="707"/>
    <s v="Qibao_General Agreement_20120109.pdf"/>
    <s v=".pdf"/>
    <d v="2014-03-20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1"/>
    <m/>
    <m/>
    <s v="FP"/>
    <s v="CP"/>
    <m/>
    <m/>
    <x v="1"/>
    <x v="1"/>
    <m/>
    <x v="29"/>
  </r>
  <r>
    <n v="758"/>
    <x v="189"/>
    <x v="189"/>
    <x v="178"/>
    <x v="2"/>
    <s v="DENNIS LAM"/>
    <n v="741"/>
    <s v="ISO 9001"/>
    <s v="Supplier"/>
    <d v="2011-11-27T00:00:00"/>
    <x v="711"/>
    <s v="Qibao_ISO9001_28Nov2008.JPG"/>
    <s v=".jpg"/>
    <d v="2014-03-2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1"/>
    <m/>
    <m/>
    <s v="FP"/>
    <s v="CP"/>
    <m/>
    <m/>
    <x v="1"/>
    <x v="1"/>
    <m/>
    <x v="29"/>
  </r>
  <r>
    <n v="748"/>
    <x v="189"/>
    <x v="189"/>
    <x v="178"/>
    <x v="2"/>
    <s v="DENNIS LAM"/>
    <n v="731"/>
    <s v="Other business certifications (ex : FSC for Packaging)"/>
    <s v="Supplier"/>
    <m/>
    <x v="332"/>
    <s v="Heshan Qibao Electric To the development and supply agreement 21JUN13.pdf"/>
    <s v=".pdf"/>
    <d v="2014-03-20T00:00:00"/>
    <s v="as\afok"/>
    <s v="To the developnebt and supply agreement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1"/>
    <m/>
    <m/>
    <s v="FP"/>
    <s v="CP"/>
    <m/>
    <m/>
    <x v="1"/>
    <x v="1"/>
    <m/>
    <x v="29"/>
  </r>
  <r>
    <n v="750"/>
    <x v="189"/>
    <x v="189"/>
    <x v="178"/>
    <x v="2"/>
    <s v="DENNIS LAM"/>
    <n v="733"/>
    <s v="Responsible Purchasing Charter"/>
    <s v="Supplier"/>
    <m/>
    <x v="235"/>
    <s v="Qibao - Responsible Purchasing Charter.pdf"/>
    <s v=".pdf"/>
    <d v="2014-03-2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1"/>
    <m/>
    <m/>
    <s v="FP"/>
    <s v="CP"/>
    <m/>
    <m/>
    <x v="1"/>
    <x v="1"/>
    <m/>
    <x v="29"/>
  </r>
  <r>
    <n v="751"/>
    <x v="189"/>
    <x v="189"/>
    <x v="178"/>
    <x v="2"/>
    <s v="DENNIS LAM"/>
    <n v="734"/>
    <s v="SEF"/>
    <s v="Supplier"/>
    <m/>
    <x v="112"/>
    <s v="QIBAO_ SEF_JUN 2012.xlsx"/>
    <s v=".xlsx"/>
    <d v="2014-03-20T00:00:00"/>
    <s v="as\afok"/>
    <m/>
    <s v="2012"/>
    <x v="0"/>
    <x v="0"/>
    <x v="0"/>
    <x v="0"/>
    <m/>
    <m/>
    <m/>
    <m/>
    <n v="63"/>
    <m/>
    <m/>
    <m/>
    <m/>
    <m/>
    <m/>
    <m/>
    <m/>
    <m/>
    <m/>
    <m/>
    <s v="CP Panel"/>
    <x v="0"/>
    <x v="0"/>
    <x v="1"/>
    <x v="10"/>
    <m/>
    <m/>
    <m/>
    <n v="1"/>
    <m/>
    <m/>
    <s v="FP"/>
    <s v="CP"/>
    <m/>
    <m/>
    <x v="1"/>
    <x v="1"/>
    <m/>
    <x v="29"/>
  </r>
  <r>
    <n v="747"/>
    <x v="189"/>
    <x v="189"/>
    <x v="178"/>
    <x v="2"/>
    <s v="DENNIS LAM"/>
    <n v="730"/>
    <s v="SEF"/>
    <s v="Supplier"/>
    <m/>
    <x v="592"/>
    <s v="SEF-Qibao 2013 Jun.xlsx"/>
    <s v=".xlsx"/>
    <d v="2014-03-20T00:00:00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10"/>
    <m/>
    <m/>
    <m/>
    <n v="1"/>
    <m/>
    <m/>
    <s v="FP"/>
    <s v="CP"/>
    <m/>
    <m/>
    <x v="1"/>
    <x v="1"/>
    <m/>
    <x v="29"/>
  </r>
  <r>
    <n v="749"/>
    <x v="189"/>
    <x v="189"/>
    <x v="178"/>
    <x v="2"/>
    <s v="DENNIS LAM"/>
    <n v="732"/>
    <s v="SIF"/>
    <s v="Supplier"/>
    <m/>
    <x v="190"/>
    <s v="Oudisi - FHA6E502_EN_SIF 2013.xls"/>
    <s v=".xls"/>
    <d v="2014-03-20T00:00:00"/>
    <s v="as\afok"/>
    <m/>
    <s v="2013"/>
    <x v="0"/>
    <x v="0"/>
    <x v="0"/>
    <x v="0"/>
    <m/>
    <m/>
    <m/>
    <m/>
    <m/>
    <n v="2013"/>
    <n v="13500000"/>
    <n v="13000000"/>
    <n v="11000000"/>
    <n v="11000000"/>
    <n v="10000000"/>
    <n v="40"/>
    <n v="40"/>
    <n v="30"/>
    <n v="30"/>
    <n v="35"/>
    <s v="CP Panel"/>
    <x v="0"/>
    <x v="0"/>
    <x v="1"/>
    <x v="10"/>
    <m/>
    <m/>
    <m/>
    <n v="1"/>
    <m/>
    <m/>
    <s v="FP"/>
    <s v="CP"/>
    <m/>
    <m/>
    <x v="1"/>
    <x v="1"/>
    <m/>
    <x v="29"/>
  </r>
  <r>
    <n v="759"/>
    <x v="189"/>
    <x v="189"/>
    <x v="178"/>
    <x v="2"/>
    <s v="DENNIS LAM"/>
    <n v="742"/>
    <s v="SIF"/>
    <s v="Supplier"/>
    <m/>
    <x v="531"/>
    <s v="QIBAO_SIF 2012_2Mar12.xls"/>
    <s v=".xls"/>
    <d v="2014-03-20T00:00:00"/>
    <s v="as\afok"/>
    <m/>
    <s v="2012"/>
    <x v="0"/>
    <x v="0"/>
    <x v="0"/>
    <x v="0"/>
    <m/>
    <m/>
    <m/>
    <m/>
    <m/>
    <n v="2012"/>
    <n v="11000000"/>
    <n v="11000000"/>
    <n v="11000000"/>
    <n v="11000000"/>
    <n v="10000000"/>
    <n v="35"/>
    <n v="35"/>
    <n v="30"/>
    <n v="30"/>
    <n v="35"/>
    <s v="CP Panel"/>
    <x v="0"/>
    <x v="0"/>
    <x v="1"/>
    <x v="10"/>
    <m/>
    <m/>
    <m/>
    <n v="1"/>
    <m/>
    <m/>
    <s v="FP"/>
    <s v="CP"/>
    <m/>
    <m/>
    <x v="1"/>
    <x v="1"/>
    <m/>
    <x v="29"/>
  </r>
  <r>
    <n v="2280"/>
    <x v="190"/>
    <x v="190"/>
    <x v="179"/>
    <x v="1"/>
    <s v="EVA LAI"/>
    <n v="2221"/>
    <s v="Contract: General Contract"/>
    <s v="Supplier"/>
    <m/>
    <x v="521"/>
    <s v="Rifda_General Agreement_V8_22MAR2013.pdf"/>
    <s v=".pdf"/>
    <d v="2014-04-16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8"/>
  </r>
  <r>
    <n v="2282"/>
    <x v="190"/>
    <x v="190"/>
    <x v="179"/>
    <x v="1"/>
    <s v="EVA LAI"/>
    <n v="2223"/>
    <s v="Contract: Quality Appendix"/>
    <s v="Supplier"/>
    <m/>
    <x v="648"/>
    <s v="Rifda_General Agreement_V8_22MAR2013.pdf"/>
    <s v=".pdf"/>
    <d v="2014-04-16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8"/>
  </r>
  <r>
    <n v="2283"/>
    <x v="190"/>
    <x v="190"/>
    <x v="179"/>
    <x v="1"/>
    <s v="EVA LAI"/>
    <n v="2224"/>
    <s v="Contract: Supply Chain Appendix"/>
    <s v="Supplier"/>
    <m/>
    <x v="347"/>
    <s v="Rifda_General Agreement_V8_22MAR2013.pdf"/>
    <s v=".pdf"/>
    <d v="2014-04-16T00:00:00"/>
    <s v="as\afok"/>
    <m/>
    <m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8"/>
  </r>
  <r>
    <n v="2284"/>
    <x v="190"/>
    <x v="190"/>
    <x v="179"/>
    <x v="1"/>
    <s v="EVA LAI"/>
    <n v="2225"/>
    <s v="Declaration letter of group organization"/>
    <s v="Supplier"/>
    <m/>
    <x v="712"/>
    <s v="Rifda_General Agreement_V8_22MAR2013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8"/>
  </r>
  <r>
    <n v="2281"/>
    <x v="190"/>
    <x v="190"/>
    <x v="179"/>
    <x v="1"/>
    <s v="EVA LAI"/>
    <n v="2222"/>
    <s v="Environmental Declaration"/>
    <s v="Supplier"/>
    <m/>
    <x v="521"/>
    <s v="Rifda_General Agreement_V8_22MAR2013.pdf"/>
    <s v=".pdf"/>
    <d v="2014-04-16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8"/>
  </r>
  <r>
    <n v="2286"/>
    <x v="190"/>
    <x v="190"/>
    <x v="179"/>
    <x v="1"/>
    <s v="EVA LAI"/>
    <n v="2227"/>
    <s v="Responsible Purchasing Charter"/>
    <s v="Supplier"/>
    <m/>
    <x v="8"/>
    <s v="Rifda_Responsible_Purchasing_Charter_08Aug12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8"/>
  </r>
  <r>
    <n v="2287"/>
    <x v="190"/>
    <x v="190"/>
    <x v="179"/>
    <x v="1"/>
    <s v="EVA LAI"/>
    <n v="2228"/>
    <s v="SEF"/>
    <s v="Supplier"/>
    <m/>
    <x v="89"/>
    <s v="RIFDA_SEF_2012-2.xlsx"/>
    <s v=".xlsx"/>
    <d v="2014-04-16T00:00:00"/>
    <s v="as\afok"/>
    <m/>
    <s v="2012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8"/>
  </r>
  <r>
    <n v="2285"/>
    <x v="190"/>
    <x v="190"/>
    <x v="179"/>
    <x v="1"/>
    <s v="EVA LAI"/>
    <n v="2226"/>
    <s v="SIF"/>
    <s v="Supplier"/>
    <m/>
    <x v="375"/>
    <s v="Rifda_SIF 2013.xls"/>
    <s v=".xls"/>
    <d v="2014-04-16T00:00:00"/>
    <s v="as\afok"/>
    <m/>
    <s v="2013"/>
    <x v="0"/>
    <x v="0"/>
    <x v="0"/>
    <x v="0"/>
    <m/>
    <m/>
    <m/>
    <m/>
    <m/>
    <n v="2013"/>
    <n v="72000000"/>
    <n v="70000000"/>
    <n v="71000000"/>
    <n v="70000000"/>
    <n v="63000000"/>
    <m/>
    <n v="0.65"/>
    <m/>
    <m/>
    <m/>
    <s v="CP Panel"/>
    <x v="0"/>
    <x v="0"/>
    <x v="1"/>
    <x v="3"/>
    <m/>
    <m/>
    <m/>
    <n v="1"/>
    <m/>
    <m/>
    <m/>
    <s v="CP"/>
    <m/>
    <m/>
    <x v="2"/>
    <x v="1"/>
    <m/>
    <x v="8"/>
  </r>
  <r>
    <n v="2288"/>
    <x v="190"/>
    <x v="190"/>
    <x v="179"/>
    <x v="1"/>
    <s v="EVA LAI"/>
    <n v="2229"/>
    <s v="SPR"/>
    <s v="Supplier"/>
    <m/>
    <x v="201"/>
    <s v="SPR_RIFDA_DEC 2012.pptx"/>
    <s v=".pptx"/>
    <d v="2014-04-16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x v="2"/>
    <x v="1"/>
    <m/>
    <x v="8"/>
  </r>
  <r>
    <n v="2279"/>
    <x v="190"/>
    <x v="190"/>
    <x v="179"/>
    <x v="1"/>
    <s v="EVA LAI"/>
    <n v="2220"/>
    <s v="SPR"/>
    <s v="Supplier"/>
    <m/>
    <x v="713"/>
    <s v="SPR_RIFDA_SEP 2013.pptx"/>
    <s v=".pptx"/>
    <d v="2014-04-16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8"/>
  </r>
  <r>
    <n v="1067"/>
    <x v="191"/>
    <x v="191"/>
    <x v="180"/>
    <x v="1"/>
    <s v="EVA LAI"/>
    <n v="1043"/>
    <s v="Responsible Purchasing Charter"/>
    <s v="Supplier"/>
    <m/>
    <x v="678"/>
    <s v="Rifeng_PurchasingCharter_22-Oct-2013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11"/>
  </r>
  <r>
    <n v="1068"/>
    <x v="191"/>
    <x v="191"/>
    <x v="180"/>
    <x v="1"/>
    <s v="EVA LAI"/>
    <n v="1044"/>
    <s v="SEF"/>
    <s v="Supplier"/>
    <m/>
    <x v="714"/>
    <s v="SEF_RIFENG_20131021_81.xlsx"/>
    <s v=".xlsx"/>
    <d v="2014-03-25T00:00:00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11"/>
  </r>
  <r>
    <n v="2112"/>
    <x v="192"/>
    <x v="192"/>
    <x v="181"/>
    <x v="4"/>
    <s v="RICKY LAM"/>
    <n v="2055"/>
    <s v="Contract: General Contract"/>
    <s v="Supplier"/>
    <m/>
    <x v="715"/>
    <s v="Risheng_Purchase_Agreement_2008.pdf"/>
    <s v=".pdf"/>
    <d v="2014-04-11T00:00:00"/>
    <s v="as\afok"/>
    <m/>
    <s v="V5"/>
    <x v="1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m/>
    <m/>
    <x v="1"/>
    <x v="1"/>
    <m/>
    <x v="0"/>
  </r>
  <r>
    <n v="2104"/>
    <x v="192"/>
    <x v="192"/>
    <x v="181"/>
    <x v="4"/>
    <s v="RICKY LAM"/>
    <n v="2047"/>
    <s v="Contract: General Contract"/>
    <s v="Supplier"/>
    <m/>
    <x v="37"/>
    <s v="Agreement_Risheng_MAR12.pdf"/>
    <s v=".pdf"/>
    <d v="2014-04-11T00:00:00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m/>
    <m/>
    <x v="1"/>
    <x v="1"/>
    <m/>
    <x v="0"/>
  </r>
  <r>
    <n v="2113"/>
    <x v="192"/>
    <x v="192"/>
    <x v="181"/>
    <x v="4"/>
    <s v="RICKY LAM"/>
    <n v="2056"/>
    <s v="Contract: Quality Appendix"/>
    <s v="Supplier"/>
    <m/>
    <x v="716"/>
    <s v="Risheng_Purchase_Agreement_2008.pdf"/>
    <s v=".pdf"/>
    <d v="2014-04-11T00:00:00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n v="1"/>
    <m/>
    <s v="FP"/>
    <s v="CP"/>
    <m/>
    <m/>
    <x v="1"/>
    <x v="1"/>
    <m/>
    <x v="0"/>
  </r>
  <r>
    <n v="2106"/>
    <x v="192"/>
    <x v="192"/>
    <x v="181"/>
    <x v="4"/>
    <s v="RICKY LAM"/>
    <n v="2049"/>
    <s v="Contract: Quality Appendix"/>
    <s v="Supplier"/>
    <m/>
    <x v="335"/>
    <s v="Agreement_Risheng_MAR12.pdf"/>
    <s v=".pdf"/>
    <d v="2014-04-11T00:00:00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s v="FP"/>
    <s v="CP"/>
    <m/>
    <m/>
    <x v="1"/>
    <x v="1"/>
    <m/>
    <x v="0"/>
  </r>
  <r>
    <n v="2107"/>
    <x v="192"/>
    <x v="192"/>
    <x v="181"/>
    <x v="4"/>
    <s v="RICKY LAM"/>
    <n v="2050"/>
    <s v="Contract: Supply Chain Appendix"/>
    <s v="Supplier"/>
    <m/>
    <x v="37"/>
    <s v="Agreement_Risheng_MAR12.pdf"/>
    <s v=".pdf"/>
    <d v="2014-04-11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s v="FP"/>
    <s v="CP"/>
    <m/>
    <m/>
    <x v="1"/>
    <x v="1"/>
    <m/>
    <x v="0"/>
  </r>
  <r>
    <n v="2108"/>
    <x v="192"/>
    <x v="192"/>
    <x v="181"/>
    <x v="4"/>
    <s v="RICKY LAM"/>
    <n v="2051"/>
    <s v="Declaration letter of group organization"/>
    <s v="Supplier"/>
    <m/>
    <x v="693"/>
    <s v="Agreement_Risheng_MAR12.pdf"/>
    <s v=".pdf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0"/>
  </r>
  <r>
    <n v="2105"/>
    <x v="192"/>
    <x v="192"/>
    <x v="181"/>
    <x v="4"/>
    <s v="RICKY LAM"/>
    <n v="2048"/>
    <s v="Environmental Declaration"/>
    <s v="Supplier"/>
    <m/>
    <x v="37"/>
    <s v="Agreement_Risheng_MAR12.pdf"/>
    <s v=".pdf"/>
    <d v="2014-04-11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0"/>
  </r>
  <r>
    <n v="2102"/>
    <x v="192"/>
    <x v="192"/>
    <x v="181"/>
    <x v="4"/>
    <s v="RICKY LAM"/>
    <n v="2045"/>
    <s v="Environmental Declaration"/>
    <s v="Supplier"/>
    <m/>
    <x v="240"/>
    <s v="Env_Declaration_Risheng_2010.xlsx"/>
    <s v=".xlsx"/>
    <d v="2014-04-11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0"/>
  </r>
  <r>
    <n v="2103"/>
    <x v="192"/>
    <x v="192"/>
    <x v="181"/>
    <x v="4"/>
    <s v="RICKY LAM"/>
    <n v="2046"/>
    <s v="LOC (Letter of Confidentiality)"/>
    <s v="Supplier"/>
    <m/>
    <x v="687"/>
    <s v="LOC_Risheng.pdf"/>
    <s v=".pdf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0"/>
  </r>
  <r>
    <n v="2101"/>
    <x v="192"/>
    <x v="192"/>
    <x v="181"/>
    <x v="4"/>
    <s v="RICKY LAM"/>
    <n v="2044"/>
    <s v="Responsible Purchasing Charter"/>
    <s v="Supplier"/>
    <m/>
    <x v="19"/>
    <s v="Risheng_Responsible_Purchasing_Charter_07Aug12.pdf"/>
    <s v=".pdf"/>
    <d v="2014-04-1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0"/>
  </r>
  <r>
    <n v="2109"/>
    <x v="192"/>
    <x v="192"/>
    <x v="181"/>
    <x v="4"/>
    <s v="RICKY LAM"/>
    <n v="2052"/>
    <s v="SEF"/>
    <s v="Supplier"/>
    <m/>
    <x v="444"/>
    <s v="SEF-Risheng-31JUL2012-82.xls"/>
    <s v=".xls"/>
    <d v="2014-04-11T00:00:00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0"/>
  </r>
  <r>
    <n v="2098"/>
    <x v="192"/>
    <x v="192"/>
    <x v="181"/>
    <x v="4"/>
    <s v="RICKY LAM"/>
    <n v="2041"/>
    <s v="SEF"/>
    <s v="Supplier"/>
    <m/>
    <x v="717"/>
    <s v="SEF-Risheng-20130715-78.xlsx"/>
    <s v=".xlsx"/>
    <d v="2014-04-11T00:00:00"/>
    <s v="as\afok"/>
    <m/>
    <s v="2013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0"/>
  </r>
  <r>
    <n v="2100"/>
    <x v="192"/>
    <x v="192"/>
    <x v="181"/>
    <x v="4"/>
    <s v="RICKY LAM"/>
    <n v="2043"/>
    <s v="SEF"/>
    <s v="Supplier"/>
    <m/>
    <x v="444"/>
    <s v="SEF-Risheng-20121119-83.xls"/>
    <s v=".xls"/>
    <d v="2014-04-11T00:00:00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0"/>
  </r>
  <r>
    <n v="2099"/>
    <x v="192"/>
    <x v="192"/>
    <x v="181"/>
    <x v="4"/>
    <s v="RICKY LAM"/>
    <n v="2042"/>
    <s v="SIF"/>
    <s v="Supplier"/>
    <m/>
    <x v="419"/>
    <s v="Risheng_SIF2013.xlsx"/>
    <s v=".xlsx"/>
    <d v="2014-04-11T00:00:00"/>
    <s v="as\afok"/>
    <m/>
    <s v="2013"/>
    <x v="0"/>
    <x v="0"/>
    <x v="0"/>
    <x v="0"/>
    <m/>
    <m/>
    <m/>
    <m/>
    <m/>
    <n v="2013"/>
    <n v="8000000"/>
    <n v="7000000"/>
    <n v="7000000"/>
    <n v="6000000"/>
    <m/>
    <m/>
    <n v="12"/>
    <n v="10"/>
    <n v="10"/>
    <m/>
    <s v="CP Panel"/>
    <x v="0"/>
    <x v="0"/>
    <x v="1"/>
    <x v="1"/>
    <m/>
    <m/>
    <m/>
    <n v="1"/>
    <m/>
    <m/>
    <s v="FP"/>
    <s v="CP"/>
    <m/>
    <m/>
    <x v="1"/>
    <x v="1"/>
    <m/>
    <x v="0"/>
  </r>
  <r>
    <n v="2111"/>
    <x v="192"/>
    <x v="192"/>
    <x v="181"/>
    <x v="4"/>
    <s v="RICKY LAM"/>
    <n v="2054"/>
    <s v="SIF"/>
    <s v="Supplier"/>
    <m/>
    <x v="600"/>
    <s v="Risheng_SIF2012_12May12.xls"/>
    <s v=".xls"/>
    <d v="2014-04-11T00:00:00"/>
    <s v="as\afok"/>
    <m/>
    <s v="2012"/>
    <x v="0"/>
    <x v="0"/>
    <x v="0"/>
    <x v="0"/>
    <m/>
    <m/>
    <m/>
    <m/>
    <m/>
    <n v="2012"/>
    <n v="12000000"/>
    <n v="10000000"/>
    <n v="8000000"/>
    <n v="7000000"/>
    <n v="6000000"/>
    <n v="15"/>
    <n v="12"/>
    <n v="10"/>
    <n v="10"/>
    <n v="10"/>
    <s v="CP Panel"/>
    <x v="0"/>
    <x v="0"/>
    <x v="1"/>
    <x v="1"/>
    <m/>
    <m/>
    <m/>
    <n v="1"/>
    <m/>
    <m/>
    <s v="FP"/>
    <s v="CP"/>
    <m/>
    <m/>
    <x v="1"/>
    <x v="1"/>
    <m/>
    <x v="0"/>
  </r>
  <r>
    <n v="2097"/>
    <x v="192"/>
    <x v="192"/>
    <x v="181"/>
    <x v="4"/>
    <s v="RICKY LAM"/>
    <n v="2040"/>
    <s v="SPR"/>
    <s v="Supplier"/>
    <m/>
    <x v="718"/>
    <s v="_SPR-Risheng-2013M07.pptx"/>
    <s v=".pptx"/>
    <d v="2014-04-11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0"/>
  </r>
  <r>
    <n v="2110"/>
    <x v="192"/>
    <x v="192"/>
    <x v="181"/>
    <x v="4"/>
    <s v="RICKY LAM"/>
    <n v="2053"/>
    <s v="SPR"/>
    <s v="Supplier"/>
    <m/>
    <x v="362"/>
    <s v="SPR-Risheng-08AUG2012.pptx"/>
    <s v=".pptx"/>
    <d v="2014-04-11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0"/>
  </r>
  <r>
    <n v="1512"/>
    <x v="193"/>
    <x v="193"/>
    <x v="182"/>
    <x v="5"/>
    <s v="JASMINE YANG"/>
    <n v="1474"/>
    <s v="SIF"/>
    <s v="Supplier"/>
    <m/>
    <x v="266"/>
    <s v="RONGKANG_SIF_06Nov2012.xls"/>
    <s v=".xls"/>
    <d v="2014-04-02T00:00:00"/>
    <s v="as\afok"/>
    <m/>
    <s v="2012"/>
    <x v="0"/>
    <x v="0"/>
    <x v="0"/>
    <x v="0"/>
    <m/>
    <m/>
    <m/>
    <m/>
    <m/>
    <n v="2012"/>
    <n v="16000000"/>
    <n v="15000000"/>
    <n v="14000000"/>
    <m/>
    <m/>
    <m/>
    <m/>
    <m/>
    <m/>
    <m/>
    <m/>
    <x v="0"/>
    <x v="0"/>
    <x v="0"/>
    <x v="0"/>
    <m/>
    <m/>
    <m/>
    <n v="0"/>
    <m/>
    <n v="1"/>
    <m/>
    <m/>
    <m/>
    <m/>
    <x v="11"/>
    <x v="1"/>
    <m/>
    <x v="3"/>
  </r>
  <r>
    <n v="1069"/>
    <x v="194"/>
    <x v="194"/>
    <x v="183"/>
    <x v="1"/>
    <s v="EVA LAI"/>
    <n v="1045"/>
    <s v="Contract: Quality Appendix"/>
    <s v="Supplier"/>
    <m/>
    <x v="719"/>
    <s v="Royal_Electronic_Quality_Appendix_29Jan2014.pdf"/>
    <s v=".pdf"/>
    <d v="2014-03-25T00:00:00"/>
    <s v="as\afok"/>
    <m/>
    <s v="V4"/>
    <x v="0"/>
    <x v="0"/>
    <x v="0"/>
    <x v="9"/>
    <m/>
    <m/>
    <m/>
    <m/>
    <m/>
    <m/>
    <m/>
    <m/>
    <m/>
    <m/>
    <m/>
    <m/>
    <m/>
    <m/>
    <m/>
    <m/>
    <m/>
    <x v="0"/>
    <x v="0"/>
    <x v="0"/>
    <x v="0"/>
    <m/>
    <n v="1"/>
    <m/>
    <n v="0"/>
    <m/>
    <m/>
    <m/>
    <s v="CP"/>
    <m/>
    <m/>
    <x v="2"/>
    <x v="1"/>
    <m/>
    <x v="8"/>
  </r>
  <r>
    <n v="1072"/>
    <x v="194"/>
    <x v="194"/>
    <x v="183"/>
    <x v="1"/>
    <s v="EVA LAI"/>
    <n v="1048"/>
    <s v="Responsible Purchasing Charter"/>
    <s v="Supplier"/>
    <m/>
    <x v="19"/>
    <s v="Royal_Electronic_Responsible_Purchasing_Charter_07Aug12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1071"/>
    <x v="194"/>
    <x v="194"/>
    <x v="183"/>
    <x v="1"/>
    <s v="EVA LAI"/>
    <n v="1047"/>
    <s v="SEF"/>
    <s v="Supplier"/>
    <m/>
    <x v="89"/>
    <s v="Royal Electronic_SEF_2012.xlsx"/>
    <s v=".xlsx"/>
    <d v="2014-03-25T00:00:00"/>
    <s v="as\afok"/>
    <m/>
    <s v="2012"/>
    <x v="0"/>
    <x v="0"/>
    <x v="0"/>
    <x v="0"/>
    <m/>
    <m/>
    <m/>
    <m/>
    <n v="72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070"/>
    <x v="194"/>
    <x v="194"/>
    <x v="183"/>
    <x v="1"/>
    <s v="EVA LAI"/>
    <n v="1046"/>
    <s v="SIF"/>
    <s v="Supplier"/>
    <m/>
    <x v="467"/>
    <s v="Royal_Electric_SIF 2013.xls"/>
    <s v=".xls"/>
    <d v="2014-03-25T00:00:00"/>
    <s v="as\afok"/>
    <m/>
    <s v="2013"/>
    <x v="0"/>
    <x v="0"/>
    <x v="0"/>
    <x v="0"/>
    <m/>
    <m/>
    <m/>
    <m/>
    <m/>
    <n v="2013"/>
    <n v="70000000"/>
    <n v="66707844.270000003"/>
    <n v="41708206.549999997"/>
    <n v="46295966.229999997"/>
    <n v="35668608.780000001"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885"/>
    <x v="195"/>
    <x v="195"/>
    <x v="184"/>
    <x v="4"/>
    <s v="MAVERICK LAU"/>
    <n v="1841"/>
    <s v="LOC (Letter of Confidentiality)"/>
    <s v="Supplier"/>
    <m/>
    <x v="720"/>
    <s v="LOC_Saida_glass.jpg"/>
    <s v=".jpg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49"/>
  </r>
  <r>
    <n v="1882"/>
    <x v="195"/>
    <x v="195"/>
    <x v="184"/>
    <x v="4"/>
    <s v="MAVERICK LAU"/>
    <n v="1838"/>
    <s v="Responsible Purchasing Charter"/>
    <s v="Supplier"/>
    <m/>
    <x v="578"/>
    <s v="Saida_Responsible Purchasing Charter_05Mar13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49"/>
  </r>
  <r>
    <n v="1883"/>
    <x v="195"/>
    <x v="195"/>
    <x v="184"/>
    <x v="4"/>
    <s v="MAVERICK LAU"/>
    <n v="1839"/>
    <s v="SEF"/>
    <s v="Supplier"/>
    <m/>
    <x v="721"/>
    <s v="SEF-Saida-Jun 2012.xlsx"/>
    <s v=".xlsx"/>
    <d v="2014-04-09T00:00:00"/>
    <s v="as\afok"/>
    <m/>
    <s v="2012"/>
    <x v="0"/>
    <x v="0"/>
    <x v="0"/>
    <x v="0"/>
    <m/>
    <m/>
    <m/>
    <m/>
    <n v="74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49"/>
  </r>
  <r>
    <n v="1886"/>
    <x v="195"/>
    <x v="195"/>
    <x v="184"/>
    <x v="4"/>
    <s v="MAVERICK LAU"/>
    <n v="1842"/>
    <s v="SIF"/>
    <s v="Supplier"/>
    <m/>
    <x v="722"/>
    <s v="Saida_glass_SIF2012_6Nov12.XLSX"/>
    <s v=".xlsx"/>
    <d v="2014-04-09T00:00:00"/>
    <s v="as\afok"/>
    <m/>
    <s v="2012"/>
    <x v="0"/>
    <x v="0"/>
    <x v="0"/>
    <x v="0"/>
    <m/>
    <m/>
    <m/>
    <m/>
    <m/>
    <n v="2012"/>
    <n v="14300000"/>
    <n v="12700000"/>
    <n v="98500000"/>
    <n v="71500000"/>
    <n v="47600000"/>
    <n v="3"/>
    <n v="0"/>
    <n v="0"/>
    <n v="0"/>
    <n v="0"/>
    <m/>
    <x v="0"/>
    <x v="0"/>
    <x v="0"/>
    <x v="0"/>
    <m/>
    <m/>
    <m/>
    <n v="0"/>
    <m/>
    <n v="1"/>
    <m/>
    <s v="CP"/>
    <m/>
    <m/>
    <x v="2"/>
    <x v="1"/>
    <m/>
    <x v="49"/>
  </r>
  <r>
    <n v="1884"/>
    <x v="195"/>
    <x v="195"/>
    <x v="184"/>
    <x v="4"/>
    <s v="MAVERICK LAU"/>
    <n v="1840"/>
    <s v="SIF"/>
    <s v="Supplier"/>
    <m/>
    <x v="21"/>
    <s v="Saida_SIF2013.xlsx"/>
    <s v=".xlsx"/>
    <d v="2014-04-09T00:00:00"/>
    <s v="as\afok"/>
    <m/>
    <s v="2013"/>
    <x v="0"/>
    <x v="0"/>
    <x v="0"/>
    <x v="0"/>
    <m/>
    <m/>
    <m/>
    <m/>
    <m/>
    <n v="2013"/>
    <n v="16000000"/>
    <n v="13900000"/>
    <n v="12700000"/>
    <n v="98500000"/>
    <n v="71500000"/>
    <n v="6"/>
    <n v="0.01"/>
    <n v="0"/>
    <n v="0"/>
    <n v="0"/>
    <m/>
    <x v="0"/>
    <x v="0"/>
    <x v="0"/>
    <x v="0"/>
    <m/>
    <m/>
    <m/>
    <n v="0"/>
    <m/>
    <m/>
    <m/>
    <s v="CP"/>
    <m/>
    <m/>
    <x v="2"/>
    <x v="1"/>
    <m/>
    <x v="49"/>
  </r>
  <r>
    <n v="2528"/>
    <x v="196"/>
    <x v="196"/>
    <x v="185"/>
    <x v="5"/>
    <s v="SHOT XU"/>
    <n v="2409"/>
    <s v="Contract: General Contract"/>
    <s v="Supplier"/>
    <m/>
    <x v="723"/>
    <s v="SANBO FHA00016_EN 30Aug10.pdf"/>
    <s v=".pdf"/>
    <d v="2014-04-23T00:00:00"/>
    <s v="as\afok"/>
    <m/>
    <s v="FHA 00 016 ind.07"/>
    <x v="1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n v="1"/>
    <s v="FP"/>
    <s v="CP"/>
    <m/>
    <m/>
    <x v="1"/>
    <x v="1"/>
    <m/>
    <x v="0"/>
  </r>
  <r>
    <n v="2527"/>
    <x v="196"/>
    <x v="196"/>
    <x v="185"/>
    <x v="5"/>
    <s v="SHOT XU"/>
    <n v="2408"/>
    <s v="Contract: General Contract"/>
    <s v="Supplier"/>
    <m/>
    <x v="723"/>
    <s v="SANBO FHA00016_EN 27Jul10.pdf"/>
    <s v=".pdf"/>
    <d v="2014-04-23T00:00:00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s v="CP"/>
    <m/>
    <m/>
    <x v="1"/>
    <x v="1"/>
    <m/>
    <x v="0"/>
  </r>
  <r>
    <n v="2526"/>
    <x v="196"/>
    <x v="196"/>
    <x v="185"/>
    <x v="5"/>
    <s v="SHOT XU"/>
    <n v="2407"/>
    <s v="Environmental Declaration"/>
    <s v="Supplier"/>
    <m/>
    <x v="186"/>
    <s v="Sanbo_Env_Declaration_07Jun2010.pdf"/>
    <s v=".pdf"/>
    <d v="2014-04-23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m/>
    <x v="1"/>
    <x v="1"/>
    <m/>
    <x v="0"/>
  </r>
  <r>
    <n v="2523"/>
    <x v="196"/>
    <x v="196"/>
    <x v="185"/>
    <x v="5"/>
    <s v="SHOT XU"/>
    <n v="2404"/>
    <s v="Foodstuffs declaration"/>
    <s v="Supplier"/>
    <m/>
    <x v="724"/>
    <s v="Sanbo FRD00069 ind.04 200907.pdf"/>
    <s v=".pdf"/>
    <d v="2014-04-23T00:00:00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m/>
    <x v="1"/>
    <x v="1"/>
    <m/>
    <x v="0"/>
  </r>
  <r>
    <n v="2521"/>
    <x v="196"/>
    <x v="196"/>
    <x v="185"/>
    <x v="5"/>
    <s v="SHOT XU"/>
    <n v="2402"/>
    <s v="Other business certifications (ex : FSC for Packaging)"/>
    <s v="Supplier"/>
    <m/>
    <x v="10"/>
    <s v="KINGWANG_Equipment Loan Agreement_25Apr12.pdf"/>
    <s v=".pdf"/>
    <d v="2014-04-23T00:00:00"/>
    <s v="as\afok"/>
    <s v="Equipment Loan Agreement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m/>
    <x v="1"/>
    <x v="1"/>
    <m/>
    <x v="0"/>
  </r>
  <r>
    <n v="2522"/>
    <x v="196"/>
    <x v="196"/>
    <x v="185"/>
    <x v="5"/>
    <s v="SHOT XU"/>
    <n v="2403"/>
    <s v="Responsible Purchasing Charter"/>
    <s v="Supplier"/>
    <m/>
    <x v="69"/>
    <s v="Kingwang_Responsible Purchaser Charter_9Aug2012.pdf"/>
    <s v=".pdf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m/>
    <x v="1"/>
    <x v="1"/>
    <m/>
    <x v="0"/>
  </r>
  <r>
    <n v="2524"/>
    <x v="196"/>
    <x v="196"/>
    <x v="185"/>
    <x v="5"/>
    <s v="SHOT XU"/>
    <n v="2405"/>
    <s v="SEF"/>
    <s v="Supplier"/>
    <m/>
    <x v="587"/>
    <s v="SEF_SANBO_2011Nov.xlsx"/>
    <s v=".xlsx"/>
    <d v="2014-04-23T00:00:00"/>
    <s v="as\afok"/>
    <m/>
    <s v="2011"/>
    <x v="0"/>
    <x v="0"/>
    <x v="0"/>
    <x v="0"/>
    <m/>
    <m/>
    <m/>
    <m/>
    <n v="54"/>
    <m/>
    <m/>
    <m/>
    <m/>
    <m/>
    <m/>
    <m/>
    <m/>
    <m/>
    <m/>
    <m/>
    <m/>
    <x v="0"/>
    <x v="0"/>
    <x v="0"/>
    <x v="0"/>
    <m/>
    <m/>
    <m/>
    <n v="0"/>
    <m/>
    <m/>
    <s v="FP"/>
    <s v="CP"/>
    <m/>
    <m/>
    <x v="1"/>
    <x v="1"/>
    <m/>
    <x v="0"/>
  </r>
  <r>
    <n v="2525"/>
    <x v="196"/>
    <x v="196"/>
    <x v="185"/>
    <x v="5"/>
    <s v="SHOT XU"/>
    <n v="2406"/>
    <s v="SIF"/>
    <s v="Supplier"/>
    <m/>
    <x v="725"/>
    <s v="SANBO_SIF_25May2010.xls"/>
    <s v=".xls"/>
    <d v="2014-04-23T00:00:00"/>
    <s v="as\afok"/>
    <m/>
    <s v="2010"/>
    <x v="0"/>
    <x v="0"/>
    <x v="0"/>
    <x v="0"/>
    <m/>
    <m/>
    <m/>
    <m/>
    <m/>
    <n v="2010"/>
    <n v="8000000"/>
    <n v="5000000"/>
    <n v="4000000"/>
    <m/>
    <m/>
    <m/>
    <n v="4"/>
    <m/>
    <m/>
    <m/>
    <m/>
    <x v="0"/>
    <x v="0"/>
    <x v="0"/>
    <x v="0"/>
    <m/>
    <m/>
    <m/>
    <n v="0"/>
    <m/>
    <m/>
    <s v="FP"/>
    <s v="CP"/>
    <m/>
    <m/>
    <x v="1"/>
    <x v="1"/>
    <m/>
    <x v="0"/>
  </r>
  <r>
    <n v="2520"/>
    <x v="196"/>
    <x v="196"/>
    <x v="185"/>
    <x v="5"/>
    <s v="SHOT XU"/>
    <n v="2401"/>
    <s v="SPR"/>
    <s v="Supplier"/>
    <m/>
    <x v="67"/>
    <s v="SPR 2011 SANBO.pptx"/>
    <s v=".pptx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m/>
    <x v="1"/>
    <x v="1"/>
    <m/>
    <x v="0"/>
  </r>
  <r>
    <n v="1633"/>
    <x v="197"/>
    <x v="197"/>
    <x v="186"/>
    <x v="3"/>
    <s v="JIMMY HO"/>
    <n v="1594"/>
    <s v="Contract: General Contract"/>
    <s v="Supplier"/>
    <m/>
    <x v="726"/>
    <s v="SDS agreement.pdf"/>
    <s v=".pdf"/>
    <d v="2014-04-07T00:00:00"/>
    <s v="as\afok"/>
    <m/>
    <s v="V2"/>
    <x v="12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m/>
    <m/>
    <x v="0"/>
    <x v="1"/>
    <m/>
    <x v="3"/>
  </r>
  <r>
    <n v="1634"/>
    <x v="197"/>
    <x v="197"/>
    <x v="186"/>
    <x v="3"/>
    <s v="JIMMY HO"/>
    <n v="1595"/>
    <s v="Contract: Quality Appendix"/>
    <s v="Supplier"/>
    <m/>
    <x v="726"/>
    <s v="SDS agreement.pdf"/>
    <s v=".pdf"/>
    <d v="2014-04-07T00:00:00"/>
    <s v="as\afok"/>
    <m/>
    <m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m/>
    <m/>
    <x v="0"/>
    <x v="1"/>
    <m/>
    <x v="3"/>
  </r>
  <r>
    <n v="1635"/>
    <x v="197"/>
    <x v="197"/>
    <x v="186"/>
    <x v="3"/>
    <s v="JIMMY HO"/>
    <n v="1596"/>
    <s v="Contract: Supply Chain Appendix"/>
    <s v="Supplier"/>
    <m/>
    <x v="425"/>
    <s v="SDS agreement.pdf"/>
    <s v=".pdf"/>
    <d v="2014-04-07T00:00:00"/>
    <s v="as\afok"/>
    <m/>
    <m/>
    <x v="0"/>
    <x v="2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n v="1"/>
    <m/>
    <s v="FP"/>
    <m/>
    <m/>
    <m/>
    <x v="0"/>
    <x v="1"/>
    <m/>
    <x v="3"/>
  </r>
  <r>
    <n v="1629"/>
    <x v="197"/>
    <x v="197"/>
    <x v="186"/>
    <x v="3"/>
    <s v="JIMMY HO"/>
    <n v="1590"/>
    <s v="Environmental Declaration"/>
    <s v="Supplier"/>
    <m/>
    <x v="14"/>
    <s v="SDS SAS.pdf"/>
    <s v=".pdf"/>
    <d v="2014-04-07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x v="0"/>
    <x v="1"/>
    <m/>
    <x v="3"/>
  </r>
  <r>
    <n v="1632"/>
    <x v="197"/>
    <x v="197"/>
    <x v="186"/>
    <x v="3"/>
    <s v="JIMMY HO"/>
    <n v="1593"/>
    <s v="Exclusivity (EA)"/>
    <s v="Supplier"/>
    <m/>
    <x v="425"/>
    <s v="Sprakling drink machine - EA.pdf"/>
    <s v=".pdf"/>
    <d v="2014-04-07T00:00:00"/>
    <s v="as\afok"/>
    <m/>
    <s v="FRD 6E 030 ind.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x v="0"/>
    <x v="1"/>
    <m/>
    <x v="3"/>
  </r>
  <r>
    <n v="1631"/>
    <x v="197"/>
    <x v="197"/>
    <x v="186"/>
    <x v="3"/>
    <s v="JIMMY HO"/>
    <n v="1592"/>
    <s v="IP (Intellectual Property)"/>
    <s v="Supplier"/>
    <m/>
    <x v="425"/>
    <s v="Sparkling drink machine - IPA.pdf"/>
    <s v=".pdf"/>
    <d v="2014-04-0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x v="0"/>
    <x v="1"/>
    <m/>
    <x v="3"/>
  </r>
  <r>
    <n v="1630"/>
    <x v="197"/>
    <x v="197"/>
    <x v="186"/>
    <x v="3"/>
    <s v="JIMMY HO"/>
    <n v="1591"/>
    <s v="SIF"/>
    <s v="Supplier"/>
    <m/>
    <x v="727"/>
    <s v="SDS SIF 2013 .pdf"/>
    <s v=".pdf"/>
    <d v="2014-04-07T00:00:00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x v="0"/>
    <x v="1"/>
    <m/>
    <x v="3"/>
  </r>
  <r>
    <n v="783"/>
    <x v="198"/>
    <x v="198"/>
    <x v="187"/>
    <x v="2"/>
    <s v="DENNIS LAM"/>
    <n v="762"/>
    <s v="Contract: General Contract"/>
    <s v="Supplier"/>
    <m/>
    <x v="728"/>
    <s v="Semco _ Development and Supply Agreement.pdf"/>
    <s v=".pdf"/>
    <d v="2014-03-21T00:00:00"/>
    <s v="as\afok"/>
    <m/>
    <s v="FHA 00 016 ind.07"/>
    <x v="9"/>
    <x v="0"/>
    <x v="0"/>
    <x v="0"/>
    <m/>
    <m/>
    <m/>
    <m/>
    <m/>
    <m/>
    <m/>
    <m/>
    <m/>
    <m/>
    <m/>
    <m/>
    <m/>
    <m/>
    <m/>
    <m/>
    <s v="FP Panel and  CP Panel"/>
    <x v="1"/>
    <x v="4"/>
    <x v="1"/>
    <x v="3"/>
    <n v="1"/>
    <m/>
    <m/>
    <n v="1"/>
    <m/>
    <m/>
    <s v="FP"/>
    <s v="CP"/>
    <s v="SP"/>
    <s v="MOULD"/>
    <x v="3"/>
    <x v="1"/>
    <m/>
    <x v="6"/>
  </r>
  <r>
    <n v="770"/>
    <x v="198"/>
    <x v="198"/>
    <x v="187"/>
    <x v="2"/>
    <s v="DENNIS LAM"/>
    <n v="752"/>
    <s v="Contract: General Contract"/>
    <s v="Supplier"/>
    <m/>
    <x v="184"/>
    <s v="SEMCO_General Agreement ind.10_2012-05-07.pdf"/>
    <s v=".pdf"/>
    <d v="2014-03-20T00:00:00"/>
    <s v="as\afok"/>
    <m/>
    <s v="FHA00 016 ind.10"/>
    <x v="4"/>
    <x v="0"/>
    <x v="0"/>
    <x v="0"/>
    <m/>
    <m/>
    <m/>
    <m/>
    <m/>
    <m/>
    <m/>
    <m/>
    <m/>
    <m/>
    <m/>
    <m/>
    <m/>
    <m/>
    <m/>
    <m/>
    <s v="FP Panel and  CP Panel"/>
    <x v="1"/>
    <x v="4"/>
    <x v="1"/>
    <x v="3"/>
    <n v="1"/>
    <m/>
    <m/>
    <n v="1"/>
    <m/>
    <m/>
    <s v="FP"/>
    <s v="CP"/>
    <s v="SP"/>
    <s v="MOULD"/>
    <x v="3"/>
    <x v="1"/>
    <m/>
    <x v="6"/>
  </r>
  <r>
    <n v="784"/>
    <x v="199"/>
    <x v="199"/>
    <x v="187"/>
    <x v="2"/>
    <s v="DENNIS LAM"/>
    <n v="762"/>
    <s v="Contract: General Contract"/>
    <s v="Supplier"/>
    <m/>
    <x v="728"/>
    <s v="Semco _ Development and Supply Agreement.pdf"/>
    <s v=".pdf"/>
    <d v="2014-03-21T00:00:00"/>
    <s v="as\afok"/>
    <m/>
    <s v="FHA 00 016 ind.07"/>
    <x v="9"/>
    <x v="0"/>
    <x v="0"/>
    <x v="0"/>
    <m/>
    <m/>
    <m/>
    <m/>
    <m/>
    <m/>
    <m/>
    <m/>
    <m/>
    <m/>
    <m/>
    <m/>
    <m/>
    <m/>
    <m/>
    <m/>
    <s v="FP Panel and  CP Panel"/>
    <x v="1"/>
    <x v="4"/>
    <x v="1"/>
    <x v="3"/>
    <n v="1"/>
    <m/>
    <m/>
    <n v="1"/>
    <n v="1"/>
    <m/>
    <s v="FP"/>
    <s v="CP"/>
    <m/>
    <m/>
    <x v="1"/>
    <x v="1"/>
    <m/>
    <x v="6"/>
  </r>
  <r>
    <n v="771"/>
    <x v="199"/>
    <x v="199"/>
    <x v="187"/>
    <x v="2"/>
    <s v="DENNIS LAM"/>
    <n v="752"/>
    <s v="Contract: General Contract"/>
    <s v="Supplier"/>
    <m/>
    <x v="184"/>
    <s v="SEMCO_General Agreement ind.10_2012-05-07.pdf"/>
    <s v=".pdf"/>
    <d v="2014-03-20T00:00:00"/>
    <s v="as\afok"/>
    <m/>
    <s v="FHA00 016 ind.10"/>
    <x v="4"/>
    <x v="0"/>
    <x v="0"/>
    <x v="0"/>
    <m/>
    <m/>
    <m/>
    <m/>
    <m/>
    <m/>
    <m/>
    <m/>
    <m/>
    <m/>
    <m/>
    <m/>
    <m/>
    <m/>
    <m/>
    <m/>
    <s v="FP Panel and  CP Panel"/>
    <x v="1"/>
    <x v="4"/>
    <x v="1"/>
    <x v="3"/>
    <n v="1"/>
    <m/>
    <m/>
    <n v="1"/>
    <m/>
    <m/>
    <s v="FP"/>
    <s v="CP"/>
    <m/>
    <m/>
    <x v="1"/>
    <x v="1"/>
    <m/>
    <x v="6"/>
  </r>
  <r>
    <n v="775"/>
    <x v="198"/>
    <x v="198"/>
    <x v="187"/>
    <x v="2"/>
    <s v="DENNIS LAM"/>
    <n v="755"/>
    <s v="Contract: Quality Appendix"/>
    <s v="Supplier"/>
    <m/>
    <x v="89"/>
    <s v="SEMCO_General Agreement ind.10_2012-05-07.pdf"/>
    <s v=".pdf"/>
    <d v="2014-03-21T00:00:00"/>
    <s v="as\afok"/>
    <m/>
    <m/>
    <x v="0"/>
    <x v="0"/>
    <x v="0"/>
    <x v="5"/>
    <m/>
    <m/>
    <m/>
    <m/>
    <m/>
    <m/>
    <m/>
    <m/>
    <m/>
    <m/>
    <m/>
    <m/>
    <m/>
    <m/>
    <m/>
    <m/>
    <s v="FP Panel and  CP Panel"/>
    <x v="1"/>
    <x v="4"/>
    <x v="1"/>
    <x v="3"/>
    <m/>
    <n v="1"/>
    <m/>
    <n v="1"/>
    <m/>
    <m/>
    <s v="FP"/>
    <s v="CP"/>
    <s v="SP"/>
    <s v="MOULD"/>
    <x v="3"/>
    <x v="1"/>
    <m/>
    <x v="6"/>
  </r>
  <r>
    <n v="776"/>
    <x v="199"/>
    <x v="199"/>
    <x v="187"/>
    <x v="2"/>
    <s v="DENNIS LAM"/>
    <n v="755"/>
    <s v="Contract: Quality Appendix"/>
    <s v="Supplier"/>
    <m/>
    <x v="89"/>
    <s v="SEMCO_General Agreement ind.10_2012-05-07.pdf"/>
    <s v=".pdf"/>
    <d v="2014-03-21T00:00:00"/>
    <s v="as\afok"/>
    <m/>
    <m/>
    <x v="0"/>
    <x v="0"/>
    <x v="0"/>
    <x v="5"/>
    <m/>
    <m/>
    <m/>
    <m/>
    <m/>
    <m/>
    <m/>
    <m/>
    <m/>
    <m/>
    <m/>
    <m/>
    <m/>
    <m/>
    <m/>
    <m/>
    <s v="FP Panel and  CP Panel"/>
    <x v="1"/>
    <x v="4"/>
    <x v="1"/>
    <x v="3"/>
    <m/>
    <n v="1"/>
    <m/>
    <n v="1"/>
    <m/>
    <m/>
    <s v="FP"/>
    <s v="CP"/>
    <m/>
    <m/>
    <x v="1"/>
    <x v="1"/>
    <m/>
    <x v="6"/>
  </r>
  <r>
    <n v="773"/>
    <x v="198"/>
    <x v="198"/>
    <x v="187"/>
    <x v="2"/>
    <s v="DENNIS LAM"/>
    <n v="754"/>
    <s v="Contract: Supply Chain Appendix"/>
    <s v="Supplier"/>
    <m/>
    <x v="89"/>
    <s v="SEMCO_General Agreement ind.10_2012-05-07.pdf"/>
    <s v=".pdf"/>
    <d v="2014-03-21T00:00:00"/>
    <s v="as\afok"/>
    <m/>
    <m/>
    <x v="0"/>
    <x v="2"/>
    <x v="2"/>
    <x v="0"/>
    <m/>
    <m/>
    <m/>
    <m/>
    <m/>
    <m/>
    <m/>
    <m/>
    <m/>
    <m/>
    <m/>
    <m/>
    <m/>
    <m/>
    <m/>
    <m/>
    <s v="FP Panel and  CP Panel"/>
    <x v="1"/>
    <x v="4"/>
    <x v="1"/>
    <x v="3"/>
    <m/>
    <m/>
    <n v="1"/>
    <n v="1"/>
    <m/>
    <m/>
    <s v="FP"/>
    <s v="CP"/>
    <s v="SP"/>
    <s v="MOULD"/>
    <x v="3"/>
    <x v="1"/>
    <m/>
    <x v="6"/>
  </r>
  <r>
    <n v="774"/>
    <x v="199"/>
    <x v="199"/>
    <x v="187"/>
    <x v="2"/>
    <s v="DENNIS LAM"/>
    <n v="754"/>
    <s v="Contract: Supply Chain Appendix"/>
    <s v="Supplier"/>
    <m/>
    <x v="89"/>
    <s v="SEMCO_General Agreement ind.10_2012-05-07.pdf"/>
    <s v=".pdf"/>
    <d v="2014-03-21T00:00:00"/>
    <s v="as\afok"/>
    <m/>
    <m/>
    <x v="0"/>
    <x v="2"/>
    <x v="2"/>
    <x v="0"/>
    <m/>
    <m/>
    <m/>
    <m/>
    <m/>
    <m/>
    <m/>
    <m/>
    <m/>
    <m/>
    <m/>
    <m/>
    <m/>
    <m/>
    <m/>
    <m/>
    <s v="FP Panel and  CP Panel"/>
    <x v="1"/>
    <x v="4"/>
    <x v="1"/>
    <x v="3"/>
    <m/>
    <m/>
    <n v="1"/>
    <n v="1"/>
    <m/>
    <m/>
    <s v="FP"/>
    <s v="CP"/>
    <m/>
    <m/>
    <x v="1"/>
    <x v="1"/>
    <m/>
    <x v="6"/>
  </r>
  <r>
    <n v="777"/>
    <x v="198"/>
    <x v="198"/>
    <x v="187"/>
    <x v="2"/>
    <s v="DENNIS LAM"/>
    <n v="756"/>
    <s v="Declaration letter of group organization"/>
    <s v="Supplier"/>
    <m/>
    <x v="675"/>
    <s v="SEMCO_General Agreement ind.10_2012-05-07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4"/>
    <x v="1"/>
    <x v="3"/>
    <m/>
    <m/>
    <m/>
    <n v="1"/>
    <m/>
    <m/>
    <s v="FP"/>
    <s v="CP"/>
    <s v="SP"/>
    <s v="MOULD"/>
    <x v="3"/>
    <x v="1"/>
    <m/>
    <x v="6"/>
  </r>
  <r>
    <n v="772"/>
    <x v="198"/>
    <x v="198"/>
    <x v="187"/>
    <x v="2"/>
    <s v="DENNIS LAM"/>
    <n v="753"/>
    <s v="Environmental Declaration"/>
    <s v="Supplier"/>
    <m/>
    <x v="184"/>
    <s v="SEMCO_General Agreement ind.10_2012-05-07.pdf"/>
    <s v=".pdf"/>
    <d v="2014-03-21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 and  CP Panel"/>
    <x v="1"/>
    <x v="4"/>
    <x v="1"/>
    <x v="3"/>
    <m/>
    <m/>
    <m/>
    <n v="1"/>
    <m/>
    <m/>
    <s v="FP"/>
    <s v="CP"/>
    <s v="SP"/>
    <s v="MOULD"/>
    <x v="3"/>
    <x v="1"/>
    <m/>
    <x v="6"/>
  </r>
  <r>
    <n v="779"/>
    <x v="198"/>
    <x v="198"/>
    <x v="187"/>
    <x v="2"/>
    <s v="DENNIS LAM"/>
    <n v="758"/>
    <s v="ISO 14001"/>
    <s v="Supplier"/>
    <d v="2012-02-01T00:00:00"/>
    <x v="455"/>
    <s v="SEMCO_ISO14001_2012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4"/>
    <x v="1"/>
    <x v="3"/>
    <m/>
    <m/>
    <m/>
    <n v="1"/>
    <m/>
    <m/>
    <s v="FP"/>
    <s v="CP"/>
    <s v="SP"/>
    <s v="MOULD"/>
    <x v="3"/>
    <x v="1"/>
    <m/>
    <x v="6"/>
  </r>
  <r>
    <n v="769"/>
    <x v="198"/>
    <x v="198"/>
    <x v="187"/>
    <x v="2"/>
    <s v="DENNIS LAM"/>
    <n v="751"/>
    <s v="LOC (Letter of Confidentiality)"/>
    <s v="Product / Project"/>
    <m/>
    <x v="729"/>
    <s v="SEMCO_LOC_Prep'Line 2 Hand Blender_27Jan2011.pdf"/>
    <s v=".pdf"/>
    <d v="2014-03-20T00:00:00"/>
    <s v="as\afok"/>
    <m/>
    <m/>
    <x v="0"/>
    <x v="0"/>
    <x v="0"/>
    <x v="0"/>
    <s v="Prep'Line 2 Hand Blender"/>
    <m/>
    <m/>
    <m/>
    <m/>
    <m/>
    <m/>
    <m/>
    <m/>
    <m/>
    <m/>
    <m/>
    <m/>
    <m/>
    <m/>
    <m/>
    <s v="FP Panel and  CP Panel"/>
    <x v="1"/>
    <x v="4"/>
    <x v="1"/>
    <x v="3"/>
    <m/>
    <m/>
    <m/>
    <n v="1"/>
    <m/>
    <m/>
    <s v="FP"/>
    <s v="CP"/>
    <s v="SP"/>
    <s v="MOULD"/>
    <x v="3"/>
    <x v="1"/>
    <m/>
    <x v="6"/>
  </r>
  <r>
    <n v="781"/>
    <x v="198"/>
    <x v="198"/>
    <x v="187"/>
    <x v="2"/>
    <s v="DENNIS LAM"/>
    <n v="760"/>
    <s v="Responsible Purchasing Charter"/>
    <s v="Supplier"/>
    <m/>
    <x v="69"/>
    <s v="SEMCO - Responsible Purchasing Charter (ENG)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4"/>
    <x v="1"/>
    <x v="3"/>
    <m/>
    <m/>
    <m/>
    <n v="1"/>
    <m/>
    <m/>
    <s v="FP"/>
    <s v="CP"/>
    <s v="SP"/>
    <s v="MOULD"/>
    <x v="3"/>
    <x v="1"/>
    <m/>
    <x v="6"/>
  </r>
  <r>
    <n v="764"/>
    <x v="198"/>
    <x v="198"/>
    <x v="187"/>
    <x v="2"/>
    <s v="DENNIS LAM"/>
    <n v="746"/>
    <s v="SEF"/>
    <s v="Supplier"/>
    <m/>
    <x v="592"/>
    <s v="Semco - SEF 2013 Jun.xlsx"/>
    <s v=".xlsx"/>
    <d v="2014-03-20T00:00:00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 and  CP Panel"/>
    <x v="1"/>
    <x v="4"/>
    <x v="1"/>
    <x v="3"/>
    <m/>
    <m/>
    <m/>
    <n v="1"/>
    <m/>
    <m/>
    <s v="FP"/>
    <s v="CP"/>
    <s v="SP"/>
    <s v="MOULD"/>
    <x v="3"/>
    <x v="1"/>
    <m/>
    <x v="6"/>
  </r>
  <r>
    <n v="782"/>
    <x v="198"/>
    <x v="198"/>
    <x v="187"/>
    <x v="2"/>
    <s v="DENNIS LAM"/>
    <n v="761"/>
    <s v="SEF"/>
    <s v="Supplier"/>
    <m/>
    <x v="555"/>
    <s v="SEMCO_ SEF_JUN 2012.xlsx"/>
    <s v=".xlsx"/>
    <d v="2014-03-21T00:00:00"/>
    <s v="as\afok"/>
    <m/>
    <s v="2012"/>
    <x v="0"/>
    <x v="0"/>
    <x v="0"/>
    <x v="0"/>
    <m/>
    <m/>
    <m/>
    <m/>
    <n v="76"/>
    <m/>
    <m/>
    <m/>
    <m/>
    <m/>
    <m/>
    <m/>
    <m/>
    <m/>
    <m/>
    <m/>
    <s v="FP Panel and  CP Panel"/>
    <x v="1"/>
    <x v="4"/>
    <x v="1"/>
    <x v="3"/>
    <m/>
    <m/>
    <m/>
    <n v="1"/>
    <m/>
    <m/>
    <s v="FP"/>
    <s v="CP"/>
    <s v="SP"/>
    <s v="MOULD"/>
    <x v="3"/>
    <x v="1"/>
    <m/>
    <x v="6"/>
  </r>
  <r>
    <n v="780"/>
    <x v="198"/>
    <x v="198"/>
    <x v="187"/>
    <x v="2"/>
    <s v="DENNIS LAM"/>
    <n v="759"/>
    <s v="SIF"/>
    <s v="Supplier"/>
    <m/>
    <x v="730"/>
    <s v="SEMCO_SIF 2012_15Feb12.xls"/>
    <s v=".xls"/>
    <d v="2014-03-21T00:00:00"/>
    <s v="as\afok"/>
    <m/>
    <s v="2012"/>
    <x v="0"/>
    <x v="0"/>
    <x v="0"/>
    <x v="0"/>
    <m/>
    <m/>
    <m/>
    <m/>
    <m/>
    <n v="2012"/>
    <n v="25000000"/>
    <n v="21000000"/>
    <n v="25000000"/>
    <n v="25000000"/>
    <n v="22000000"/>
    <n v="30"/>
    <n v="22"/>
    <n v="30"/>
    <n v="30"/>
    <n v="26.8"/>
    <s v="FP Panel and  CP Panel"/>
    <x v="1"/>
    <x v="4"/>
    <x v="1"/>
    <x v="3"/>
    <m/>
    <m/>
    <m/>
    <n v="1"/>
    <m/>
    <m/>
    <s v="FP"/>
    <s v="CP"/>
    <s v="SP"/>
    <s v="MOULD"/>
    <x v="3"/>
    <x v="1"/>
    <m/>
    <x v="6"/>
  </r>
  <r>
    <n v="765"/>
    <x v="198"/>
    <x v="198"/>
    <x v="187"/>
    <x v="2"/>
    <s v="DENNIS LAM"/>
    <n v="747"/>
    <s v="SIF"/>
    <s v="Supplier"/>
    <m/>
    <x v="375"/>
    <s v="Semco - FHA6E502_EN_-_SIF 2013.xls"/>
    <s v=".xls"/>
    <d v="2014-03-20T00:00:00"/>
    <s v="as\afok"/>
    <m/>
    <s v="2013"/>
    <x v="0"/>
    <x v="0"/>
    <x v="0"/>
    <x v="0"/>
    <m/>
    <m/>
    <m/>
    <m/>
    <m/>
    <n v="2013"/>
    <n v="25000000"/>
    <n v="21000000"/>
    <n v="25000000"/>
    <n v="25000000"/>
    <n v="22000000"/>
    <n v="30"/>
    <n v="22"/>
    <n v="30"/>
    <n v="30"/>
    <n v="26.8"/>
    <s v="FP Panel and  CP Panel"/>
    <x v="1"/>
    <x v="4"/>
    <x v="1"/>
    <x v="3"/>
    <m/>
    <m/>
    <m/>
    <n v="1"/>
    <m/>
    <m/>
    <s v="FP"/>
    <s v="CP"/>
    <s v="SP"/>
    <s v="MOULD"/>
    <x v="3"/>
    <x v="1"/>
    <m/>
    <x v="6"/>
  </r>
  <r>
    <n v="766"/>
    <x v="198"/>
    <x v="198"/>
    <x v="187"/>
    <x v="2"/>
    <s v="DENNIS LAM"/>
    <n v="748"/>
    <s v="Social Audit"/>
    <s v="Supplier"/>
    <m/>
    <x v="89"/>
    <s v="SEB Social Audit Checklist - Semco.pdf"/>
    <s v=".pdf"/>
    <d v="2014-03-20T00:00:00"/>
    <s v="as\afok"/>
    <m/>
    <m/>
    <x v="0"/>
    <x v="0"/>
    <x v="0"/>
    <x v="0"/>
    <m/>
    <s v="SEB Asia"/>
    <s v="Initial"/>
    <s v="Critical"/>
    <m/>
    <m/>
    <m/>
    <m/>
    <m/>
    <m/>
    <m/>
    <m/>
    <m/>
    <m/>
    <m/>
    <m/>
    <s v="FP Panel and  CP Panel"/>
    <x v="1"/>
    <x v="4"/>
    <x v="1"/>
    <x v="3"/>
    <m/>
    <m/>
    <m/>
    <n v="1"/>
    <m/>
    <m/>
    <s v="FP"/>
    <s v="CP"/>
    <s v="SP"/>
    <s v="MOULD"/>
    <x v="3"/>
    <x v="1"/>
    <m/>
    <x v="6"/>
  </r>
  <r>
    <n v="768"/>
    <x v="198"/>
    <x v="198"/>
    <x v="187"/>
    <x v="2"/>
    <s v="DENNIS LAM"/>
    <n v="750"/>
    <s v="Social Audit"/>
    <s v="Supplier"/>
    <m/>
    <x v="731"/>
    <s v="SEMCO_Grade Critical Grade Letter 2013.pdf"/>
    <s v=".pdf"/>
    <d v="2014-03-20T00:00:00"/>
    <s v="as\afok"/>
    <s v="Grade Critical Grade Letter"/>
    <m/>
    <x v="0"/>
    <x v="0"/>
    <x v="0"/>
    <x v="0"/>
    <m/>
    <s v="SEB Asia"/>
    <s v="Initial"/>
    <s v="Critical"/>
    <m/>
    <m/>
    <m/>
    <m/>
    <m/>
    <m/>
    <m/>
    <m/>
    <m/>
    <m/>
    <m/>
    <m/>
    <s v="FP Panel and  CP Panel"/>
    <x v="1"/>
    <x v="4"/>
    <x v="1"/>
    <x v="3"/>
    <m/>
    <m/>
    <m/>
    <n v="1"/>
    <m/>
    <m/>
    <s v="FP"/>
    <s v="CP"/>
    <s v="SP"/>
    <s v="MOULD"/>
    <x v="3"/>
    <x v="1"/>
    <m/>
    <x v="6"/>
  </r>
  <r>
    <n v="767"/>
    <x v="198"/>
    <x v="198"/>
    <x v="187"/>
    <x v="2"/>
    <s v="DENNIS LAM"/>
    <n v="749"/>
    <s v="Social Audit CAP"/>
    <s v="Supplier"/>
    <m/>
    <x v="89"/>
    <s v="SEB Social Corrective Action Plan - Semco.doc"/>
    <s v=".doc"/>
    <d v="2014-03-20T00:00:00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4"/>
    <x v="1"/>
    <x v="3"/>
    <m/>
    <m/>
    <m/>
    <n v="1"/>
    <m/>
    <m/>
    <s v="FP"/>
    <s v="CP"/>
    <s v="SP"/>
    <s v="MOULD"/>
    <x v="3"/>
    <x v="1"/>
    <m/>
    <x v="6"/>
  </r>
  <r>
    <n v="762"/>
    <x v="198"/>
    <x v="198"/>
    <x v="187"/>
    <x v="2"/>
    <s v="DENNIS LAM"/>
    <n v="745"/>
    <s v="SPR"/>
    <s v="Supplier"/>
    <m/>
    <x v="489"/>
    <s v="Semco SPR 2013 v1 after meeting on 20131018 for Supplier.pptx"/>
    <s v=".pptx"/>
    <d v="2014-03-20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 and  CP Panel"/>
    <x v="1"/>
    <x v="4"/>
    <x v="1"/>
    <x v="3"/>
    <m/>
    <m/>
    <m/>
    <n v="1"/>
    <m/>
    <m/>
    <s v="FP"/>
    <s v="CP"/>
    <s v="SP"/>
    <s v="MOULD"/>
    <x v="3"/>
    <x v="1"/>
    <m/>
    <x v="6"/>
  </r>
  <r>
    <n v="778"/>
    <x v="198"/>
    <x v="198"/>
    <x v="187"/>
    <x v="2"/>
    <s v="DENNIS LAM"/>
    <n v="757"/>
    <s v="SPR"/>
    <s v="Supplier"/>
    <m/>
    <x v="270"/>
    <s v="SEMCO_SPR_2012_AUGUST 29 2012 - after meeting.pptx"/>
    <s v=".pptx"/>
    <d v="2014-03-21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and  CP Panel"/>
    <x v="1"/>
    <x v="4"/>
    <x v="1"/>
    <x v="3"/>
    <m/>
    <m/>
    <m/>
    <n v="1"/>
    <m/>
    <m/>
    <s v="FP"/>
    <s v="CP"/>
    <s v="SP"/>
    <s v="MOULD"/>
    <x v="3"/>
    <x v="1"/>
    <m/>
    <x v="6"/>
  </r>
  <r>
    <n v="1740"/>
    <x v="200"/>
    <x v="200"/>
    <x v="188"/>
    <x v="5"/>
    <s v="JOHN YAN"/>
    <n v="1697"/>
    <s v="Environmental Declaration"/>
    <s v="Supplier"/>
    <m/>
    <x v="729"/>
    <s v="Simplified_Environment_Declaration_Changzhou_Shenghui.pdf"/>
    <s v=".pdf"/>
    <d v="2014-04-08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741"/>
    <x v="200"/>
    <x v="200"/>
    <x v="188"/>
    <x v="5"/>
    <s v="JOHN YAN"/>
    <n v="1698"/>
    <s v="LOC (Letter of Confidentiality)"/>
    <s v="Supplier"/>
    <m/>
    <x v="656"/>
    <s v="Changzhou_Shenghui_LOC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1738"/>
    <x v="200"/>
    <x v="200"/>
    <x v="188"/>
    <x v="5"/>
    <s v="JOHN YAN"/>
    <n v="1695"/>
    <s v="Responsible Purchasing Charter"/>
    <s v="Supplier"/>
    <m/>
    <x v="35"/>
    <s v="Shenghui_Responsible Purchaser Charter_15Aug2012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737"/>
    <x v="200"/>
    <x v="200"/>
    <x v="188"/>
    <x v="5"/>
    <s v="JOHN YAN"/>
    <n v="1694"/>
    <s v="SEF"/>
    <s v="Supplier"/>
    <m/>
    <x v="70"/>
    <s v="Changzhou Shenghui Supplier Evaluation 201112.xlsx"/>
    <s v=".xlsx"/>
    <d v="2014-04-08T00:00:00"/>
    <s v="as\afok"/>
    <m/>
    <s v="2011"/>
    <x v="0"/>
    <x v="0"/>
    <x v="0"/>
    <x v="0"/>
    <m/>
    <m/>
    <m/>
    <m/>
    <n v="43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739"/>
    <x v="200"/>
    <x v="200"/>
    <x v="188"/>
    <x v="5"/>
    <s v="JOHN YAN"/>
    <n v="1696"/>
    <s v="SIF"/>
    <s v="Supplier"/>
    <m/>
    <x v="302"/>
    <s v="SHENGHUI_SIF_24Apr2012.xls"/>
    <s v=".xls"/>
    <d v="2014-04-08T00:00:00"/>
    <s v="as\afok"/>
    <m/>
    <s v="2012"/>
    <x v="0"/>
    <x v="0"/>
    <x v="0"/>
    <x v="0"/>
    <m/>
    <m/>
    <m/>
    <m/>
    <m/>
    <n v="2012"/>
    <n v="19730000"/>
    <n v="18350000"/>
    <n v="16840000"/>
    <n v="15660000"/>
    <n v="13840000"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943"/>
    <x v="201"/>
    <x v="201"/>
    <x v="189"/>
    <x v="4"/>
    <s v="ERIC KWOK"/>
    <n v="921"/>
    <s v="Environmental Declaration"/>
    <s v="Supplier"/>
    <m/>
    <x v="7"/>
    <s v="Shouji_Env-Declaration_24Mar2010.xls"/>
    <s v=".xls"/>
    <d v="2014-03-24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s v="MOULD"/>
    <x v="15"/>
    <x v="1"/>
    <m/>
    <x v="8"/>
  </r>
  <r>
    <n v="941"/>
    <x v="201"/>
    <x v="201"/>
    <x v="189"/>
    <x v="4"/>
    <s v="ERIC KWOK"/>
    <n v="919"/>
    <s v="Responsible Purchasing Charter"/>
    <s v="Supplier"/>
    <m/>
    <x v="19"/>
    <s v="Shouji_Responsible_Purchasing_Charter_07Aug12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s v="MOULD"/>
    <x v="15"/>
    <x v="1"/>
    <m/>
    <x v="8"/>
  </r>
  <r>
    <n v="940"/>
    <x v="201"/>
    <x v="201"/>
    <x v="189"/>
    <x v="4"/>
    <s v="ERIC KWOK"/>
    <n v="918"/>
    <s v="SEF"/>
    <s v="Supplier"/>
    <m/>
    <x v="63"/>
    <s v="Shouji_SEF_May2011_R1.xlsx"/>
    <s v=".xlsx"/>
    <d v="2014-03-24T00:00:00"/>
    <s v="as\afok"/>
    <m/>
    <s v="2012"/>
    <x v="0"/>
    <x v="0"/>
    <x v="0"/>
    <x v="0"/>
    <m/>
    <m/>
    <m/>
    <m/>
    <n v="75"/>
    <m/>
    <m/>
    <m/>
    <m/>
    <m/>
    <m/>
    <m/>
    <m/>
    <m/>
    <m/>
    <m/>
    <m/>
    <x v="0"/>
    <x v="0"/>
    <x v="0"/>
    <x v="0"/>
    <m/>
    <m/>
    <m/>
    <n v="0"/>
    <m/>
    <m/>
    <m/>
    <s v="CP"/>
    <m/>
    <s v="MOULD"/>
    <x v="15"/>
    <x v="1"/>
    <m/>
    <x v="8"/>
  </r>
  <r>
    <n v="939"/>
    <x v="201"/>
    <x v="201"/>
    <x v="189"/>
    <x v="4"/>
    <s v="ERIC KWOK"/>
    <n v="917"/>
    <s v="SIF"/>
    <s v="Supplier"/>
    <m/>
    <x v="139"/>
    <s v="Shouji - SIF2013.xlsx"/>
    <s v=".xlsx"/>
    <d v="2014-03-24T00:00:00"/>
    <s v="as\afok"/>
    <m/>
    <s v="2013"/>
    <x v="0"/>
    <x v="0"/>
    <x v="0"/>
    <x v="0"/>
    <m/>
    <m/>
    <m/>
    <m/>
    <m/>
    <n v="2013"/>
    <m/>
    <n v="85300"/>
    <m/>
    <m/>
    <m/>
    <m/>
    <m/>
    <m/>
    <m/>
    <m/>
    <m/>
    <x v="0"/>
    <x v="0"/>
    <x v="0"/>
    <x v="0"/>
    <m/>
    <m/>
    <m/>
    <n v="0"/>
    <m/>
    <m/>
    <m/>
    <s v="CP"/>
    <m/>
    <s v="MOULD"/>
    <x v="15"/>
    <x v="1"/>
    <m/>
    <x v="8"/>
  </r>
  <r>
    <n v="942"/>
    <x v="201"/>
    <x v="201"/>
    <x v="189"/>
    <x v="4"/>
    <s v="ERIC KWOK"/>
    <n v="920"/>
    <s v="SPR"/>
    <s v="Supplier"/>
    <m/>
    <x v="732"/>
    <s v="SPR_Shouji June 2011.ppt"/>
    <s v=".ppt"/>
    <d v="2014-03-24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s v="MOULD"/>
    <x v="15"/>
    <x v="1"/>
    <m/>
    <x v="8"/>
  </r>
  <r>
    <n v="30"/>
    <x v="202"/>
    <x v="202"/>
    <x v="190"/>
    <x v="0"/>
    <s v="KA WING KELVIN CHAN"/>
    <n v="25"/>
    <s v="Contract: General Contract"/>
    <s v="Supplier"/>
    <d v="2014-12-31T00:00:00"/>
    <x v="291"/>
    <s v="SIMATELEX-DEVELOPMENT AND SUPPLY AGREEMENT.pdf"/>
    <s v=".pdf"/>
    <d v="2014-03-04T00:00:00"/>
    <s v="as\afok"/>
    <m/>
    <s v="FHA00016 ind.08"/>
    <x v="1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n v="1"/>
    <m/>
    <m/>
    <n v="0"/>
    <m/>
    <m/>
    <s v="FP"/>
    <m/>
    <s v="SP"/>
    <m/>
    <x v="9"/>
    <x v="1"/>
    <n v="1"/>
    <x v="50"/>
  </r>
  <r>
    <n v="233"/>
    <x v="202"/>
    <x v="202"/>
    <x v="190"/>
    <x v="0"/>
    <s v="KA WING KELVIN CHAN"/>
    <n v="224"/>
    <s v="Environmental Declaration"/>
    <s v="Supplier"/>
    <m/>
    <x v="733"/>
    <s v="Simatelex_Env_Declaration_XS_Factory_14Jun2010.xls"/>
    <s v=".xls"/>
    <d v="2014-03-12T00:00:00"/>
    <s v="as\afok"/>
    <s v="XS Factory_x000d__x000a_"/>
    <s v="2010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m/>
    <x v="9"/>
    <x v="1"/>
    <n v="1"/>
    <x v="50"/>
  </r>
  <r>
    <n v="232"/>
    <x v="202"/>
    <x v="202"/>
    <x v="190"/>
    <x v="0"/>
    <s v="KA WING KELVIN CHAN"/>
    <n v="223"/>
    <s v="Environmental Declaration"/>
    <s v="Supplier"/>
    <m/>
    <x v="733"/>
    <s v="Simatelex_Env_Declaration_MC_Factory_14Jun2010.XLS"/>
    <s v=".xls"/>
    <d v="2014-03-12T00:00:00"/>
    <s v="as\afok"/>
    <s v="MC Factory_x000d__x000a_"/>
    <s v="2010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m/>
    <x v="9"/>
    <x v="1"/>
    <n v="1"/>
    <x v="50"/>
  </r>
  <r>
    <n v="230"/>
    <x v="202"/>
    <x v="202"/>
    <x v="190"/>
    <x v="0"/>
    <s v="KA WING KELVIN CHAN"/>
    <n v="221"/>
    <s v="ISO 14001"/>
    <s v="Supplier"/>
    <d v="2013-01-27T00:00:00"/>
    <x v="734"/>
    <s v="Simatelex ISO14001 (Simatelex Manufactory Co Ltd) 27Jan2013.tif"/>
    <s v=".tif"/>
    <d v="2014-03-12T00:00:00"/>
    <s v="as\afok"/>
    <s v="Simatelex Manufactory Co Ltd"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m/>
    <x v="9"/>
    <x v="1"/>
    <n v="1"/>
    <x v="50"/>
  </r>
  <r>
    <n v="228"/>
    <x v="202"/>
    <x v="202"/>
    <x v="190"/>
    <x v="0"/>
    <s v="KA WING KELVIN CHAN"/>
    <n v="219"/>
    <s v="ISO 9001"/>
    <s v="Supplier"/>
    <d v="2013-01-27T00:00:00"/>
    <x v="734"/>
    <s v="Simatelex ISO9001 (Simatech Qing Yuan Industrial Co Ltd) 27Jan2013.tif"/>
    <s v=".tif"/>
    <d v="2014-03-12T00:00:00"/>
    <s v="as\afok"/>
    <s v="Simatech Qing Yuan Industrial Co Ltd"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m/>
    <x v="9"/>
    <x v="1"/>
    <n v="1"/>
    <x v="50"/>
  </r>
  <r>
    <n v="229"/>
    <x v="202"/>
    <x v="202"/>
    <x v="190"/>
    <x v="0"/>
    <s v="KA WING KELVIN CHAN"/>
    <n v="220"/>
    <s v="ISO 9001"/>
    <s v="Supplier"/>
    <d v="2013-01-27T00:00:00"/>
    <x v="734"/>
    <s v="Simatelex ISO9001 (Xin sheng electrical Mfg Co) 27Jan2013.tif"/>
    <s v=".tif"/>
    <d v="2014-03-12T00:00:00"/>
    <s v="as\afok"/>
    <s v="Xin sheng electrical Mfg Co"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m/>
    <x v="9"/>
    <x v="1"/>
    <n v="1"/>
    <x v="50"/>
  </r>
  <r>
    <n v="227"/>
    <x v="202"/>
    <x v="202"/>
    <x v="190"/>
    <x v="0"/>
    <s v="KA WING KELVIN CHAN"/>
    <n v="218"/>
    <s v="ISO 9001"/>
    <s v="Supplier"/>
    <d v="2013-01-27T00:00:00"/>
    <x v="734"/>
    <s v="Simatelex ISO9001 (Simatelex Manufactory Co Ltd) 27Jan2013.tif"/>
    <s v=".tif"/>
    <d v="2014-03-12T00:00:00"/>
    <s v="as\afok"/>
    <s v="Simatelex Manufactory Co Ltd"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m/>
    <x v="9"/>
    <x v="1"/>
    <n v="1"/>
    <x v="50"/>
  </r>
  <r>
    <n v="225"/>
    <x v="202"/>
    <x v="202"/>
    <x v="190"/>
    <x v="0"/>
    <s v="KA WING KELVIN CHAN"/>
    <n v="216"/>
    <s v="LOC (Letter of Confidentiality)"/>
    <s v="Supplier"/>
    <m/>
    <x v="656"/>
    <s v="Simatelex - LOC 31Jan11.pdf"/>
    <s v=".pdf"/>
    <d v="2014-03-12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m/>
    <x v="9"/>
    <x v="1"/>
    <n v="1"/>
    <x v="50"/>
  </r>
  <r>
    <n v="226"/>
    <x v="202"/>
    <x v="202"/>
    <x v="190"/>
    <x v="0"/>
    <s v="KA WING KELVIN CHAN"/>
    <n v="217"/>
    <s v="NDA (Non Disclosure Agreement)"/>
    <s v="Supplier"/>
    <m/>
    <x v="11"/>
    <s v="Simatelex - NDA_29Jan13.pdf"/>
    <s v=".pdf"/>
    <d v="2014-03-12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m/>
    <x v="9"/>
    <x v="1"/>
    <n v="1"/>
    <x v="50"/>
  </r>
  <r>
    <n v="231"/>
    <x v="202"/>
    <x v="202"/>
    <x v="190"/>
    <x v="0"/>
    <s v="KA WING KELVIN CHAN"/>
    <n v="222"/>
    <s v="Responsible Purchasing Charter"/>
    <s v="Supplier"/>
    <m/>
    <x v="735"/>
    <s v="Simatelex RPC 2013.pdf"/>
    <s v=".pdf"/>
    <d v="2014-03-12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m/>
    <x v="9"/>
    <x v="1"/>
    <n v="1"/>
    <x v="50"/>
  </r>
  <r>
    <n v="224"/>
    <x v="202"/>
    <x v="202"/>
    <x v="190"/>
    <x v="0"/>
    <s v="KA WING KELVIN CHAN"/>
    <n v="215"/>
    <s v="SEF"/>
    <s v="Supplier"/>
    <m/>
    <x v="361"/>
    <s v="SEF Simatelex 2013.XLSX"/>
    <s v=".xlsx"/>
    <d v="2014-03-12T00:00:00"/>
    <s v="as\afok"/>
    <m/>
    <s v="2013"/>
    <x v="0"/>
    <x v="0"/>
    <x v="0"/>
    <x v="0"/>
    <m/>
    <m/>
    <m/>
    <m/>
    <n v="78"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m/>
    <x v="9"/>
    <x v="1"/>
    <n v="1"/>
    <x v="50"/>
  </r>
  <r>
    <n v="223"/>
    <x v="202"/>
    <x v="202"/>
    <x v="190"/>
    <x v="0"/>
    <s v="KA WING KELVIN CHAN"/>
    <n v="214"/>
    <s v="SEF"/>
    <s v="Supplier"/>
    <m/>
    <x v="47"/>
    <s v="SEF - Simatelex 2012.xlsx"/>
    <s v=".xlsx"/>
    <d v="2014-03-12T00:00:00"/>
    <s v="as\afok"/>
    <m/>
    <s v="2012"/>
    <x v="0"/>
    <x v="0"/>
    <x v="0"/>
    <x v="0"/>
    <m/>
    <m/>
    <m/>
    <m/>
    <n v="82"/>
    <m/>
    <m/>
    <m/>
    <m/>
    <m/>
    <m/>
    <m/>
    <m/>
    <m/>
    <m/>
    <m/>
    <s v="FP panel Top 15"/>
    <x v="1"/>
    <x v="1"/>
    <x v="0"/>
    <x v="0"/>
    <m/>
    <m/>
    <m/>
    <n v="0"/>
    <m/>
    <m/>
    <s v="FP"/>
    <m/>
    <s v="SP"/>
    <m/>
    <x v="9"/>
    <x v="1"/>
    <n v="1"/>
    <x v="50"/>
  </r>
  <r>
    <n v="235"/>
    <x v="202"/>
    <x v="202"/>
    <x v="190"/>
    <x v="0"/>
    <s v="KA WING KELVIN CHAN"/>
    <n v="226"/>
    <s v="SIF"/>
    <s v="Supplier"/>
    <m/>
    <x v="271"/>
    <s v="Simatelex_SIF2013.pdf"/>
    <s v=".pdf"/>
    <d v="2014-03-12T00:00:00"/>
    <s v="as\afok"/>
    <m/>
    <s v="2013"/>
    <x v="0"/>
    <x v="0"/>
    <x v="0"/>
    <x v="0"/>
    <m/>
    <m/>
    <m/>
    <m/>
    <m/>
    <n v="2013"/>
    <m/>
    <n v="1000000000"/>
    <n v="800000000"/>
    <n v="650000000"/>
    <n v="550000000"/>
    <m/>
    <n v="1.4"/>
    <n v="1.1000000000000001"/>
    <n v="1.5"/>
    <n v="1.9"/>
    <s v="FP panel Top 15"/>
    <x v="1"/>
    <x v="1"/>
    <x v="0"/>
    <x v="0"/>
    <m/>
    <m/>
    <m/>
    <n v="0"/>
    <m/>
    <m/>
    <s v="FP"/>
    <m/>
    <s v="SP"/>
    <m/>
    <x v="9"/>
    <x v="1"/>
    <n v="1"/>
    <x v="50"/>
  </r>
  <r>
    <n v="234"/>
    <x v="202"/>
    <x v="202"/>
    <x v="190"/>
    <x v="0"/>
    <s v="KA WING KELVIN CHAN"/>
    <n v="225"/>
    <s v="SIF"/>
    <s v="Supplier"/>
    <m/>
    <x v="670"/>
    <s v="Simatelex_SIF2012_5Mar12.xls"/>
    <s v=".xls"/>
    <d v="2014-03-12T00:00:00"/>
    <s v="as\afok"/>
    <m/>
    <s v="2012"/>
    <x v="0"/>
    <x v="0"/>
    <x v="0"/>
    <x v="0"/>
    <m/>
    <m/>
    <m/>
    <m/>
    <m/>
    <n v="2012"/>
    <m/>
    <n v="800000000"/>
    <n v="650000000"/>
    <n v="550000000"/>
    <n v="500000000"/>
    <m/>
    <n v="1.1000000000000001"/>
    <n v="1.5"/>
    <n v="1.9"/>
    <n v="4.4000000000000004"/>
    <s v="FP panel Top 15"/>
    <x v="1"/>
    <x v="1"/>
    <x v="0"/>
    <x v="0"/>
    <m/>
    <m/>
    <m/>
    <n v="0"/>
    <m/>
    <m/>
    <s v="FP"/>
    <m/>
    <s v="SP"/>
    <m/>
    <x v="9"/>
    <x v="1"/>
    <n v="1"/>
    <x v="50"/>
  </r>
  <r>
    <n v="236"/>
    <x v="202"/>
    <x v="202"/>
    <x v="190"/>
    <x v="0"/>
    <s v="KA WING KELVIN CHAN"/>
    <n v="227"/>
    <s v="SPR"/>
    <s v="Supplier"/>
    <m/>
    <x v="132"/>
    <s v="Simatelex_SPR_2012 Sep.pptx"/>
    <s v=".pptx"/>
    <d v="2014-03-12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0"/>
    <m/>
    <n v="1"/>
    <s v="FP"/>
    <m/>
    <s v="SP"/>
    <m/>
    <x v="9"/>
    <x v="1"/>
    <n v="1"/>
    <x v="50"/>
  </r>
  <r>
    <n v="31"/>
    <x v="203"/>
    <x v="203"/>
    <x v="191"/>
    <x v="0"/>
    <s v="FELICITY YU"/>
    <n v="26"/>
    <s v="Contract: General Contract"/>
    <s v="Supplier"/>
    <d v="2015-12-31T00:00:00"/>
    <x v="736"/>
    <s v="Sincere_Home_General Agreement_15Sep12.pdf"/>
    <s v=".pdf"/>
    <d v="2014-03-04T00:00:00"/>
    <s v="as\afok"/>
    <m/>
    <s v="FHA00016 ind.10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x v="4"/>
    <x v="1"/>
    <m/>
    <x v="28"/>
  </r>
  <r>
    <n v="360"/>
    <x v="203"/>
    <x v="203"/>
    <x v="191"/>
    <x v="0"/>
    <s v="FELICITY YU"/>
    <n v="347"/>
    <s v="Contract: Quality Appendix"/>
    <s v="Supplier"/>
    <m/>
    <x v="736"/>
    <s v="Sincere_Home_General Agreement_15Sep12.pdf"/>
    <s v=".pdf"/>
    <d v="2014-03-14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x v="4"/>
    <x v="1"/>
    <m/>
    <x v="28"/>
  </r>
  <r>
    <n v="359"/>
    <x v="203"/>
    <x v="203"/>
    <x v="191"/>
    <x v="0"/>
    <s v="FELICITY YU"/>
    <n v="346"/>
    <s v="Contract: Supply Chain Appendix"/>
    <s v="Supplier"/>
    <m/>
    <x v="736"/>
    <s v="Sincere_Home_General Agreement_15Sep12.pdf"/>
    <s v=".pdf"/>
    <d v="2014-03-14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x v="4"/>
    <x v="1"/>
    <m/>
    <x v="28"/>
  </r>
  <r>
    <n v="361"/>
    <x v="203"/>
    <x v="203"/>
    <x v="191"/>
    <x v="0"/>
    <s v="FELICITY YU"/>
    <n v="348"/>
    <s v="Environmental Declaration"/>
    <s v="Supplier"/>
    <m/>
    <x v="736"/>
    <s v="Sincere_Home_General Agreement_15Sep12.pdf"/>
    <s v=".pdf"/>
    <d v="2014-03-14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8"/>
  </r>
  <r>
    <n v="363"/>
    <x v="203"/>
    <x v="203"/>
    <x v="191"/>
    <x v="0"/>
    <s v="FELICITY YU"/>
    <n v="350"/>
    <s v="Exclusivity (EA)"/>
    <s v="Supplier"/>
    <m/>
    <x v="13"/>
    <s v="Exclusivity Summary Sincere Home.xlsx"/>
    <s v=".xlsx"/>
    <d v="2014-03-14T00:00:00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8"/>
  </r>
  <r>
    <n v="366"/>
    <x v="203"/>
    <x v="203"/>
    <x v="191"/>
    <x v="0"/>
    <s v="FELICITY YU"/>
    <n v="353"/>
    <s v="Exclusivity (EA)"/>
    <s v="Supplier"/>
    <m/>
    <x v="287"/>
    <s v="Sincere_Home_Exclusivity Agreement_16Jan13.pdf"/>
    <s v=".pdf"/>
    <d v="2014-03-1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8"/>
  </r>
  <r>
    <n v="367"/>
    <x v="203"/>
    <x v="203"/>
    <x v="191"/>
    <x v="0"/>
    <s v="FELICITY YU"/>
    <n v="354"/>
    <s v="IP (Intellectual Property)"/>
    <s v="Supplier"/>
    <m/>
    <x v="287"/>
    <s v="Sincere_Home_IP_16Jan13.pdf"/>
    <s v=".pdf"/>
    <d v="2014-03-1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8"/>
  </r>
  <r>
    <n v="365"/>
    <x v="203"/>
    <x v="203"/>
    <x v="191"/>
    <x v="0"/>
    <s v="FELICITY YU"/>
    <n v="352"/>
    <s v="Other business certifications (ex : FSC for Packaging)"/>
    <s v="Supplier"/>
    <d v="2014-05-17T00:00:00"/>
    <x v="737"/>
    <s v="Sincere Home  PLI original 06282013.JPG"/>
    <s v=".jpg"/>
    <d v="2014-03-14T00:00:00"/>
    <s v="as\afok"/>
    <s v="certificate of insurance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8"/>
  </r>
  <r>
    <n v="364"/>
    <x v="203"/>
    <x v="203"/>
    <x v="191"/>
    <x v="0"/>
    <s v="FELICITY YU"/>
    <n v="351"/>
    <s v="SEF"/>
    <s v="Supplier"/>
    <m/>
    <x v="738"/>
    <s v="SEF_Sincere Home_20120830.xlsx"/>
    <s v=".xlsx"/>
    <d v="2014-03-14T00:00:00"/>
    <s v="as\afok"/>
    <m/>
    <s v="2012"/>
    <x v="0"/>
    <x v="0"/>
    <x v="0"/>
    <x v="0"/>
    <m/>
    <m/>
    <m/>
    <m/>
    <n v="83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8"/>
  </r>
  <r>
    <n v="362"/>
    <x v="203"/>
    <x v="203"/>
    <x v="191"/>
    <x v="0"/>
    <s v="FELICITY YU"/>
    <n v="349"/>
    <s v="SEF"/>
    <s v="Supplier"/>
    <m/>
    <x v="339"/>
    <s v="SEF Sincere Home 20130809.xlsx"/>
    <s v=".xlsx"/>
    <d v="2014-03-14T00:00:00"/>
    <s v="as\afok"/>
    <m/>
    <s v="2013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8"/>
  </r>
  <r>
    <n v="368"/>
    <x v="203"/>
    <x v="203"/>
    <x v="191"/>
    <x v="0"/>
    <s v="FELICITY YU"/>
    <n v="355"/>
    <s v="SIF"/>
    <s v="Supplier"/>
    <m/>
    <x v="257"/>
    <s v="Sincere_Home_SIF2012_27Jul12.XLSX"/>
    <s v=".xlsx"/>
    <d v="2014-03-14T00:00:00"/>
    <s v="as\afok"/>
    <m/>
    <s v="2012"/>
    <x v="0"/>
    <x v="0"/>
    <x v="0"/>
    <x v="0"/>
    <m/>
    <m/>
    <m/>
    <m/>
    <m/>
    <n v="2012"/>
    <n v="82000000"/>
    <n v="63000000"/>
    <n v="40700000"/>
    <n v="25000000"/>
    <n v="16000000"/>
    <m/>
    <n v="4"/>
    <n v="5"/>
    <n v="15"/>
    <n v="1.8"/>
    <m/>
    <x v="0"/>
    <x v="0"/>
    <x v="0"/>
    <x v="0"/>
    <m/>
    <m/>
    <m/>
    <n v="1"/>
    <n v="1"/>
    <m/>
    <s v="FP"/>
    <m/>
    <s v="SP"/>
    <s v="MOULD"/>
    <x v="4"/>
    <x v="1"/>
    <m/>
    <x v="28"/>
  </r>
  <r>
    <n v="1890"/>
    <x v="204"/>
    <x v="204"/>
    <x v="192"/>
    <x v="4"/>
    <s v="MAVERICK LAU"/>
    <n v="1846"/>
    <s v="ISO 14001"/>
    <s v="Supplier"/>
    <d v="2010-09-04T00:00:00"/>
    <x v="739"/>
    <s v="SING_FAI_ISO14001_2010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29"/>
  </r>
  <r>
    <n v="1889"/>
    <x v="204"/>
    <x v="204"/>
    <x v="192"/>
    <x v="4"/>
    <s v="MAVERICK LAU"/>
    <n v="1845"/>
    <s v="Responsible Purchasing Charter"/>
    <s v="Supplier"/>
    <m/>
    <x v="19"/>
    <s v="Sing_Fai_Responsible_Purchasing_Charter_07Aug12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29"/>
  </r>
  <r>
    <n v="1888"/>
    <x v="204"/>
    <x v="204"/>
    <x v="192"/>
    <x v="4"/>
    <s v="MAVERICK LAU"/>
    <n v="1844"/>
    <s v="SEF"/>
    <s v="Supplier"/>
    <m/>
    <x v="270"/>
    <s v="SEF-Sing Fai-28AUG12-81.xls"/>
    <s v=".xls"/>
    <d v="2014-04-09T00:00:00"/>
    <s v="as\afok"/>
    <m/>
    <s v="2012"/>
    <x v="0"/>
    <x v="0"/>
    <x v="0"/>
    <x v="0"/>
    <m/>
    <m/>
    <m/>
    <m/>
    <n v="81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29"/>
  </r>
  <r>
    <n v="1891"/>
    <x v="204"/>
    <x v="204"/>
    <x v="192"/>
    <x v="4"/>
    <s v="MAVERICK LAU"/>
    <n v="1847"/>
    <s v="SEF"/>
    <s v="Supplier"/>
    <m/>
    <x v="557"/>
    <s v="SEF-Sing Fai-20121126-79.xls"/>
    <s v=".xls"/>
    <d v="2014-04-09T00:00:00"/>
    <s v="as\afok"/>
    <m/>
    <s v="2012"/>
    <x v="0"/>
    <x v="0"/>
    <x v="0"/>
    <x v="0"/>
    <m/>
    <m/>
    <m/>
    <m/>
    <n v="79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29"/>
  </r>
  <r>
    <n v="1892"/>
    <x v="204"/>
    <x v="204"/>
    <x v="192"/>
    <x v="4"/>
    <s v="MAVERICK LAU"/>
    <n v="1848"/>
    <s v="SIF"/>
    <s v="Supplier"/>
    <m/>
    <x v="740"/>
    <s v="Sing Fai_SIF2013.xls"/>
    <s v=".xls"/>
    <d v="2014-04-09T00:00:00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29"/>
  </r>
  <r>
    <n v="1887"/>
    <x v="204"/>
    <x v="204"/>
    <x v="192"/>
    <x v="4"/>
    <s v="MAVERICK LAU"/>
    <n v="1843"/>
    <s v="SIF"/>
    <s v="Supplier"/>
    <m/>
    <x v="686"/>
    <s v="Sing_Fai_SIF2012_15May12.xls"/>
    <s v=".xls"/>
    <d v="2014-04-09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29"/>
  </r>
  <r>
    <n v="637"/>
    <x v="205"/>
    <x v="205"/>
    <x v="193"/>
    <x v="1"/>
    <s v="DAVID LIM"/>
    <n v="620"/>
    <s v="Contract: General Contract"/>
    <s v="Supplier"/>
    <m/>
    <x v="741"/>
    <s v="Sino_Japan_Purchase_Agreement_2008.pdf"/>
    <s v=".pdf"/>
    <d v="2014-03-19T00:00:00"/>
    <s v="as\afok"/>
    <m/>
    <m/>
    <x v="7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x v="2"/>
    <x v="1"/>
    <m/>
    <x v="25"/>
  </r>
  <r>
    <n v="638"/>
    <x v="205"/>
    <x v="205"/>
    <x v="193"/>
    <x v="1"/>
    <s v="DAVID LIM"/>
    <n v="621"/>
    <s v="Contract: Quality Appendix"/>
    <s v="Supplier"/>
    <m/>
    <x v="741"/>
    <s v="Sino_Japan_Purchase_Agreement_2008.pdf"/>
    <s v=".pdf"/>
    <d v="2014-03-19T00:00:00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n v="1"/>
    <m/>
    <m/>
    <s v="CP"/>
    <m/>
    <m/>
    <x v="2"/>
    <x v="1"/>
    <m/>
    <x v="25"/>
  </r>
  <r>
    <n v="633"/>
    <x v="205"/>
    <x v="205"/>
    <x v="193"/>
    <x v="1"/>
    <s v="DAVID LIM"/>
    <n v="616"/>
    <s v="ISO 14001"/>
    <s v="Supplier"/>
    <d v="2009-09-14T00:00:00"/>
    <x v="742"/>
    <s v="Sino_Japan_ISO14001_2009.tif"/>
    <s v=".ti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5"/>
  </r>
  <r>
    <n v="632"/>
    <x v="205"/>
    <x v="205"/>
    <x v="193"/>
    <x v="1"/>
    <s v="DAVID LIM"/>
    <n v="615"/>
    <s v="Responsible Purchasing Charter"/>
    <s v="Supplier"/>
    <m/>
    <x v="245"/>
    <s v="Sino_Japan_Responsible_Purchasing_Charter_10Aug12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5"/>
  </r>
  <r>
    <n v="630"/>
    <x v="205"/>
    <x v="205"/>
    <x v="193"/>
    <x v="1"/>
    <s v="DAVID LIM"/>
    <n v="613"/>
    <s v="SEF"/>
    <s v="Supplier"/>
    <m/>
    <x v="117"/>
    <s v="Sino_Japan_SEF_2013-1.xlsx"/>
    <s v=".xlsx"/>
    <d v="2014-03-19T00:00:00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5"/>
  </r>
  <r>
    <n v="635"/>
    <x v="205"/>
    <x v="205"/>
    <x v="193"/>
    <x v="1"/>
    <s v="DAVID LIM"/>
    <n v="618"/>
    <s v="SEF"/>
    <s v="Supplier"/>
    <m/>
    <x v="107"/>
    <s v="Sino Japan_SEF_2012 nov.xlsx"/>
    <s v=".xlsx"/>
    <d v="2014-03-19T00:00:00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5"/>
  </r>
  <r>
    <n v="636"/>
    <x v="205"/>
    <x v="205"/>
    <x v="193"/>
    <x v="1"/>
    <s v="DAVID LIM"/>
    <n v="619"/>
    <s v="SEF"/>
    <s v="Supplier"/>
    <m/>
    <x v="123"/>
    <s v="Sino Japan_SEF_2012.xlsx"/>
    <s v=".xlsx"/>
    <d v="2014-03-19T00:00:00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5"/>
  </r>
  <r>
    <n v="631"/>
    <x v="205"/>
    <x v="205"/>
    <x v="193"/>
    <x v="1"/>
    <s v="DAVID LIM"/>
    <n v="614"/>
    <s v="SIF"/>
    <s v="Supplier"/>
    <m/>
    <x v="477"/>
    <s v="Sino_Japan_SIF 2013.xlsx"/>
    <s v=".xlsx"/>
    <d v="2014-03-19T00:00:00"/>
    <s v="as\afok"/>
    <m/>
    <s v="2013"/>
    <x v="0"/>
    <x v="0"/>
    <x v="0"/>
    <x v="0"/>
    <m/>
    <m/>
    <m/>
    <m/>
    <m/>
    <n v="2013"/>
    <n v="110000000"/>
    <n v="110000000"/>
    <n v="100000000"/>
    <n v="89000000"/>
    <n v="67000000"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5"/>
  </r>
  <r>
    <n v="634"/>
    <x v="205"/>
    <x v="205"/>
    <x v="193"/>
    <x v="1"/>
    <s v="DAVID LIM"/>
    <n v="617"/>
    <s v="SPR"/>
    <s v="Supplier"/>
    <m/>
    <x v="115"/>
    <s v="Sino_Japan_SPR_OCT2012.pptx"/>
    <s v=".pptx"/>
    <d v="2014-03-19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5"/>
  </r>
  <r>
    <n v="889"/>
    <x v="206"/>
    <x v="206"/>
    <x v="194"/>
    <x v="1"/>
    <s v="DOUGLAS LAM"/>
    <n v="867"/>
    <s v="Contract: Quality Appendix"/>
    <s v="Supplier"/>
    <m/>
    <x v="60"/>
    <s v="Smart_Electric_Motor_Quality Appendix_20_Aug_2012.pdf"/>
    <s v=".pdf"/>
    <d v="2014-03-21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0"/>
    <m/>
    <m/>
    <m/>
    <s v="CP"/>
    <m/>
    <m/>
    <x v="2"/>
    <x v="1"/>
    <m/>
    <x v="39"/>
  </r>
  <r>
    <n v="890"/>
    <x v="206"/>
    <x v="206"/>
    <x v="194"/>
    <x v="1"/>
    <s v="DOUGLAS LAM"/>
    <n v="868"/>
    <s v="LOC (Letter of Confidentiality)"/>
    <s v="Supplier"/>
    <m/>
    <x v="220"/>
    <s v="Letter of confidentiality_Smart Electric_21Mar2011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x v="2"/>
    <x v="1"/>
    <m/>
    <x v="39"/>
  </r>
  <r>
    <n v="891"/>
    <x v="206"/>
    <x v="206"/>
    <x v="194"/>
    <x v="1"/>
    <s v="DOUGLAS LAM"/>
    <n v="869"/>
    <s v="Responsible Purchasing Charter"/>
    <s v="Supplier"/>
    <m/>
    <x v="60"/>
    <s v="Smart_Motor_Responsible_Purchasing_Charter_20Aug12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x v="2"/>
    <x v="1"/>
    <m/>
    <x v="39"/>
  </r>
  <r>
    <n v="893"/>
    <x v="206"/>
    <x v="206"/>
    <x v="194"/>
    <x v="1"/>
    <s v="DOUGLAS LAM"/>
    <n v="871"/>
    <s v="SEF"/>
    <s v="Supplier"/>
    <m/>
    <x v="10"/>
    <s v="Smart Motor_SEF_2012.xlsx"/>
    <s v=".xlsx"/>
    <d v="2014-03-21T00:00:00"/>
    <s v="as\afok"/>
    <m/>
    <s v="2012"/>
    <x v="0"/>
    <x v="0"/>
    <x v="0"/>
    <x v="0"/>
    <m/>
    <m/>
    <m/>
    <m/>
    <n v="70"/>
    <m/>
    <m/>
    <m/>
    <m/>
    <m/>
    <m/>
    <m/>
    <m/>
    <m/>
    <m/>
    <m/>
    <s v="CP Panel"/>
    <x v="0"/>
    <x v="0"/>
    <x v="1"/>
    <x v="6"/>
    <m/>
    <m/>
    <m/>
    <n v="0"/>
    <m/>
    <n v="1"/>
    <m/>
    <s v="CP"/>
    <m/>
    <m/>
    <x v="2"/>
    <x v="1"/>
    <m/>
    <x v="39"/>
  </r>
  <r>
    <n v="888"/>
    <x v="206"/>
    <x v="206"/>
    <x v="194"/>
    <x v="1"/>
    <s v="DOUGLAS LAM"/>
    <n v="866"/>
    <s v="SEF"/>
    <s v="Supplier"/>
    <m/>
    <x v="9"/>
    <s v="Smart SEF 2013 -Manufacturer-20130601-75.xlsx"/>
    <s v=".xlsx"/>
    <d v="2014-03-21T00:00:00"/>
    <s v="as\afok"/>
    <m/>
    <s v="2013"/>
    <x v="0"/>
    <x v="0"/>
    <x v="0"/>
    <x v="0"/>
    <m/>
    <m/>
    <m/>
    <m/>
    <n v="75"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x v="2"/>
    <x v="1"/>
    <m/>
    <x v="39"/>
  </r>
  <r>
    <n v="887"/>
    <x v="206"/>
    <x v="206"/>
    <x v="194"/>
    <x v="1"/>
    <s v="DOUGLAS LAM"/>
    <n v="865"/>
    <s v="SPR"/>
    <s v="Supplier"/>
    <m/>
    <x v="13"/>
    <s v="SMART_MOTOR_SPR_2013.pptx"/>
    <s v=".pptx"/>
    <d v="2014-03-21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x v="2"/>
    <x v="1"/>
    <m/>
    <x v="39"/>
  </r>
  <r>
    <n v="892"/>
    <x v="206"/>
    <x v="206"/>
    <x v="194"/>
    <x v="1"/>
    <s v="DOUGLAS LAM"/>
    <n v="870"/>
    <s v="SPR"/>
    <s v="Supplier"/>
    <m/>
    <x v="107"/>
    <s v="SMART_MOTOR_SPR_2012.pptx"/>
    <s v=".pptx"/>
    <d v="2014-03-21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x v="2"/>
    <x v="1"/>
    <m/>
    <x v="39"/>
  </r>
  <r>
    <n v="1642"/>
    <x v="207"/>
    <x v="207"/>
    <x v="195"/>
    <x v="3"/>
    <s v="JIMMY HO"/>
    <n v="1603"/>
    <s v="Contract: General Contract"/>
    <s v="Supplier"/>
    <m/>
    <x v="743"/>
    <s v="Smart_tech FHA00016 ind.07 20091106.pdf"/>
    <s v=".pdf"/>
    <d v="2014-04-07T00:00:00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n v="1"/>
    <s v="FP"/>
    <m/>
    <s v="SP"/>
    <m/>
    <x v="9"/>
    <x v="1"/>
    <m/>
    <x v="25"/>
  </r>
  <r>
    <n v="1639"/>
    <x v="207"/>
    <x v="207"/>
    <x v="195"/>
    <x v="3"/>
    <s v="JIMMY HO"/>
    <n v="1600"/>
    <s v="Environmental Declaration"/>
    <s v="Supplier"/>
    <m/>
    <x v="744"/>
    <s v="Smart_tech_Env_Declaration_07Jun2010.pdf"/>
    <s v=".pdf"/>
    <d v="2014-04-07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638"/>
    <x v="207"/>
    <x v="207"/>
    <x v="195"/>
    <x v="3"/>
    <s v="JIMMY HO"/>
    <n v="1599"/>
    <s v="Exclusivity (EA)"/>
    <s v="Supplier"/>
    <m/>
    <x v="745"/>
    <s v="SMARTECH -  WORLDWIDE EXCLUSIVITY 5Oct10.XLS"/>
    <s v=".xls"/>
    <d v="2014-04-07T00:00:00"/>
    <s v="as\afok"/>
    <s v="WORLDWIDE EXCLUSIVIT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640"/>
    <x v="207"/>
    <x v="207"/>
    <x v="195"/>
    <x v="3"/>
    <s v="JIMMY HO"/>
    <n v="1601"/>
    <s v="Foodstuffs declaration"/>
    <s v="Supplier"/>
    <m/>
    <x v="443"/>
    <s v="Smart_tech FRD00069 ind.04 20090427.pdf"/>
    <s v=".pdf"/>
    <d v="2014-04-07T00:00:00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637"/>
    <x v="207"/>
    <x v="207"/>
    <x v="195"/>
    <x v="3"/>
    <s v="JIMMY HO"/>
    <n v="1598"/>
    <s v="SEF"/>
    <s v="Supplier"/>
    <m/>
    <x v="55"/>
    <s v="SEF_Smartech_201206.xlsx"/>
    <s v=".xlsx"/>
    <d v="2014-04-07T00:00:00"/>
    <s v="as\afok"/>
    <m/>
    <s v="2012"/>
    <x v="0"/>
    <x v="0"/>
    <x v="0"/>
    <x v="0"/>
    <m/>
    <m/>
    <m/>
    <m/>
    <n v="54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641"/>
    <x v="207"/>
    <x v="207"/>
    <x v="195"/>
    <x v="3"/>
    <s v="JIMMY HO"/>
    <n v="1602"/>
    <s v="SIF"/>
    <s v="Supplier"/>
    <m/>
    <x v="734"/>
    <s v="Smart_Tech_SIF_2010.xls"/>
    <s v=".xls"/>
    <d v="2014-04-07T00:00:00"/>
    <s v="as\afok"/>
    <m/>
    <s v="2010"/>
    <x v="0"/>
    <x v="0"/>
    <x v="0"/>
    <x v="0"/>
    <m/>
    <m/>
    <m/>
    <m/>
    <m/>
    <n v="2010"/>
    <n v="42000000"/>
    <n v="36000000"/>
    <n v="42000000"/>
    <m/>
    <m/>
    <m/>
    <n v="1.61"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1636"/>
    <x v="207"/>
    <x v="207"/>
    <x v="195"/>
    <x v="3"/>
    <s v="JIMMY HO"/>
    <n v="1597"/>
    <s v="SPR"/>
    <s v="Supplier"/>
    <m/>
    <x v="446"/>
    <s v="Smart Tech_SPR_201011.PPT"/>
    <s v=".ppt"/>
    <d v="2014-04-07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5"/>
  </r>
  <r>
    <n v="2583"/>
    <x v="208"/>
    <x v="208"/>
    <x v="196"/>
    <x v="0"/>
    <s v="KA WING KELVIN CHAN"/>
    <n v="2432"/>
    <s v="Contract: General Contract"/>
    <s v="Supplier"/>
    <m/>
    <x v="315"/>
    <s v="Specialife FHA00016 ind. 07 20081020.pdf"/>
    <s v=".pdf"/>
    <d v="2014-04-23T00:00:00"/>
    <s v="as\afok"/>
    <m/>
    <s v="FHA 00 016 ind.07"/>
    <x v="4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0"/>
    <m/>
    <n v="1"/>
    <s v="FP"/>
    <s v="CP"/>
    <s v="SP"/>
    <s v="MOULD"/>
    <x v="3"/>
    <x v="1"/>
    <m/>
    <x v="10"/>
  </r>
  <r>
    <n v="2580"/>
    <x v="208"/>
    <x v="208"/>
    <x v="196"/>
    <x v="0"/>
    <s v="KA WING KELVIN CHAN"/>
    <n v="2429"/>
    <s v="Exclusivity (EA)"/>
    <s v="Product / Project"/>
    <m/>
    <x v="746"/>
    <s v="Specialife Exclusivity BG490 10Aug10.pdf"/>
    <s v=".pdf"/>
    <d v="2014-04-23T00:00:00"/>
    <s v="as\afok"/>
    <m/>
    <m/>
    <x v="0"/>
    <x v="0"/>
    <x v="0"/>
    <x v="0"/>
    <s v="BG490"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s v="CP"/>
    <s v="SP"/>
    <s v="MOULD"/>
    <x v="3"/>
    <x v="1"/>
    <m/>
    <x v="10"/>
  </r>
  <r>
    <n v="2579"/>
    <x v="208"/>
    <x v="208"/>
    <x v="196"/>
    <x v="0"/>
    <s v="KA WING KELVIN CHAN"/>
    <n v="2428"/>
    <s v="IP (Intellectual Property)"/>
    <s v="Supplier"/>
    <m/>
    <x v="746"/>
    <s v="Specialife - IP Agreement BG490 10Aug10.pdf"/>
    <s v=".pdf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s v="CP"/>
    <s v="SP"/>
    <s v="MOULD"/>
    <x v="3"/>
    <x v="1"/>
    <m/>
    <x v="10"/>
  </r>
  <r>
    <n v="2582"/>
    <x v="208"/>
    <x v="208"/>
    <x v="196"/>
    <x v="0"/>
    <s v="KA WING KELVIN CHAN"/>
    <n v="2431"/>
    <s v="ISO 14001"/>
    <s v="Supplier"/>
    <d v="2013-02-04T00:00:00"/>
    <x v="747"/>
    <s v="Specialife_ISO14001_04Feb2013.pdf"/>
    <s v=".pdf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s v="CP"/>
    <s v="SP"/>
    <s v="MOULD"/>
    <x v="3"/>
    <x v="1"/>
    <m/>
    <x v="10"/>
  </r>
  <r>
    <n v="2578"/>
    <x v="208"/>
    <x v="208"/>
    <x v="196"/>
    <x v="0"/>
    <s v="KA WING KELVIN CHAN"/>
    <n v="2427"/>
    <s v="LOC (Letter of Confidentiality)"/>
    <s v="Supplier"/>
    <m/>
    <x v="748"/>
    <s v="Specialife LOC 16Dec10.pdf"/>
    <s v=".pdf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s v="CP"/>
    <s v="SP"/>
    <s v="MOULD"/>
    <x v="3"/>
    <x v="1"/>
    <m/>
    <x v="10"/>
  </r>
  <r>
    <n v="2577"/>
    <x v="208"/>
    <x v="208"/>
    <x v="196"/>
    <x v="0"/>
    <s v="KA WING KELVIN CHAN"/>
    <n v="2426"/>
    <s v="Responsible Purchasing Charter"/>
    <s v="Supplier"/>
    <m/>
    <x v="245"/>
    <s v="Specialife_Responsible Purchasing Charter_10Aug12.pdf"/>
    <s v=".pdf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s v="CP"/>
    <s v="SP"/>
    <s v="MOULD"/>
    <x v="3"/>
    <x v="1"/>
    <m/>
    <x v="10"/>
  </r>
  <r>
    <n v="2575"/>
    <x v="208"/>
    <x v="208"/>
    <x v="196"/>
    <x v="0"/>
    <s v="KA WING KELVIN CHAN"/>
    <n v="2424"/>
    <s v="SEF"/>
    <s v="Supplier"/>
    <m/>
    <x v="47"/>
    <s v="SEF - Specialife 2012.xlsx"/>
    <s v=".xlsx"/>
    <d v="2014-04-23T00:00:00"/>
    <s v="as\afok"/>
    <m/>
    <s v="2012"/>
    <x v="0"/>
    <x v="0"/>
    <x v="0"/>
    <x v="0"/>
    <m/>
    <m/>
    <m/>
    <m/>
    <n v="80"/>
    <m/>
    <m/>
    <m/>
    <m/>
    <m/>
    <m/>
    <m/>
    <m/>
    <m/>
    <m/>
    <m/>
    <s v="FP panel"/>
    <x v="1"/>
    <x v="1"/>
    <x v="0"/>
    <x v="0"/>
    <m/>
    <m/>
    <m/>
    <n v="0"/>
    <m/>
    <m/>
    <s v="FP"/>
    <s v="CP"/>
    <s v="SP"/>
    <s v="MOULD"/>
    <x v="3"/>
    <x v="1"/>
    <m/>
    <x v="10"/>
  </r>
  <r>
    <n v="2574"/>
    <x v="208"/>
    <x v="208"/>
    <x v="196"/>
    <x v="0"/>
    <s v="KA WING KELVIN CHAN"/>
    <n v="2423"/>
    <s v="SEF"/>
    <s v="Supplier"/>
    <m/>
    <x v="361"/>
    <s v="SEF Specialife 2013.XLSX"/>
    <s v=".xlsx"/>
    <d v="2014-04-23T00:00:00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"/>
    <x v="1"/>
    <x v="1"/>
    <x v="0"/>
    <x v="0"/>
    <m/>
    <m/>
    <m/>
    <n v="0"/>
    <m/>
    <m/>
    <s v="FP"/>
    <s v="CP"/>
    <s v="SP"/>
    <s v="MOULD"/>
    <x v="3"/>
    <x v="1"/>
    <m/>
    <x v="10"/>
  </r>
  <r>
    <n v="2581"/>
    <x v="208"/>
    <x v="208"/>
    <x v="196"/>
    <x v="0"/>
    <s v="KA WING KELVIN CHAN"/>
    <n v="2430"/>
    <s v="SIF"/>
    <s v="Supplier"/>
    <m/>
    <x v="240"/>
    <s v="Specialife_SIF_2010.xls"/>
    <s v=".xls"/>
    <d v="2014-04-23T00:00:00"/>
    <s v="as\afok"/>
    <m/>
    <s v="2010"/>
    <x v="0"/>
    <x v="0"/>
    <x v="0"/>
    <x v="0"/>
    <m/>
    <m/>
    <m/>
    <m/>
    <m/>
    <n v="2010"/>
    <n v="60000000"/>
    <n v="53500000"/>
    <n v="68000000"/>
    <m/>
    <m/>
    <m/>
    <n v="15"/>
    <m/>
    <m/>
    <m/>
    <s v="FP panel"/>
    <x v="1"/>
    <x v="1"/>
    <x v="0"/>
    <x v="0"/>
    <m/>
    <m/>
    <m/>
    <n v="0"/>
    <m/>
    <m/>
    <s v="FP"/>
    <s v="CP"/>
    <s v="SP"/>
    <s v="MOULD"/>
    <x v="3"/>
    <x v="1"/>
    <m/>
    <x v="10"/>
  </r>
  <r>
    <n v="2576"/>
    <x v="208"/>
    <x v="208"/>
    <x v="196"/>
    <x v="0"/>
    <s v="KA WING KELVIN CHAN"/>
    <n v="2425"/>
    <s v="SPR"/>
    <s v="Supplier"/>
    <m/>
    <x v="132"/>
    <s v="Specialife - SPR 2012.pptx"/>
    <s v=".pptx"/>
    <d v="2014-04-23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s v="CP"/>
    <s v="SP"/>
    <s v="MOULD"/>
    <x v="3"/>
    <x v="1"/>
    <m/>
    <x v="10"/>
  </r>
  <r>
    <n v="2677"/>
    <x v="209"/>
    <x v="209"/>
    <x v="197"/>
    <x v="0"/>
    <s v="KITTY LAI"/>
    <n v="2520"/>
    <s v="Environmental Declaration"/>
    <s v="Supplier"/>
    <m/>
    <x v="90"/>
    <s v="Sourcing Solutions-  Group SEB Evvironmental declaration for Suppliers.pdf"/>
    <s v=".pdf"/>
    <d v="2014-04-24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m/>
    <m/>
    <x v="0"/>
    <x v="1"/>
    <m/>
    <x v="0"/>
  </r>
  <r>
    <n v="2674"/>
    <x v="209"/>
    <x v="209"/>
    <x v="197"/>
    <x v="0"/>
    <s v="KITTY LAI"/>
    <n v="2517"/>
    <s v="LOC (Letter of Confidentiality)"/>
    <s v="Supplier"/>
    <m/>
    <x v="305"/>
    <s v="Sourcing Solutions _Letter of confidentiality  2013.pdf"/>
    <s v=".pdf"/>
    <d v="2014-04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m/>
    <x v="0"/>
    <x v="1"/>
    <m/>
    <x v="0"/>
  </r>
  <r>
    <n v="2675"/>
    <x v="209"/>
    <x v="209"/>
    <x v="197"/>
    <x v="0"/>
    <s v="KITTY LAI"/>
    <n v="2518"/>
    <s v="Responsible Purchasing Charter"/>
    <s v="Supplier"/>
    <m/>
    <x v="168"/>
    <s v="Sourcing Solutions - Responsible Purchasing Charter  29 MAY 13.pdf"/>
    <s v=".pdf"/>
    <d v="2014-04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m/>
    <x v="0"/>
    <x v="1"/>
    <m/>
    <x v="0"/>
  </r>
  <r>
    <n v="2673"/>
    <x v="209"/>
    <x v="209"/>
    <x v="197"/>
    <x v="0"/>
    <s v="KITTY LAI"/>
    <n v="2516"/>
    <s v="SEF"/>
    <s v="Supplier"/>
    <m/>
    <x v="248"/>
    <s v="SEF - Sourcing Solutions  2013.xlsx"/>
    <s v=".xlsx"/>
    <d v="2014-04-24T00:00:00"/>
    <s v="as\afok"/>
    <m/>
    <s v="2013"/>
    <x v="0"/>
    <x v="0"/>
    <x v="0"/>
    <x v="0"/>
    <m/>
    <m/>
    <m/>
    <m/>
    <n v="67"/>
    <m/>
    <m/>
    <m/>
    <m/>
    <m/>
    <m/>
    <m/>
    <m/>
    <m/>
    <m/>
    <m/>
    <m/>
    <x v="0"/>
    <x v="0"/>
    <x v="0"/>
    <x v="0"/>
    <m/>
    <m/>
    <m/>
    <n v="0"/>
    <m/>
    <m/>
    <s v="FP"/>
    <m/>
    <m/>
    <m/>
    <x v="0"/>
    <x v="1"/>
    <m/>
    <x v="0"/>
  </r>
  <r>
    <n v="2676"/>
    <x v="209"/>
    <x v="209"/>
    <x v="197"/>
    <x v="0"/>
    <s v="KITTY LAI"/>
    <n v="2519"/>
    <s v="SIF"/>
    <s v="Supplier"/>
    <m/>
    <x v="394"/>
    <s v="Sourcing Solutions _ SIF 2013.xlsx"/>
    <s v=".xlsx"/>
    <d v="2014-04-24T00:00:00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m/>
    <x v="0"/>
    <x v="1"/>
    <m/>
    <x v="0"/>
  </r>
  <r>
    <n v="1897"/>
    <x v="210"/>
    <x v="210"/>
    <x v="198"/>
    <x v="4"/>
    <s v="MAVERICK LAU"/>
    <n v="1853"/>
    <s v="Contract: General Contract"/>
    <s v="Supplier"/>
    <m/>
    <x v="749"/>
    <s v="Success_Agreement_Sep2012.pdf"/>
    <s v=".pdf"/>
    <d v="2014-04-09T00:00:00"/>
    <s v="as\afok"/>
    <m/>
    <s v="V7"/>
    <x v="11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x v="2"/>
    <x v="1"/>
    <m/>
    <x v="29"/>
  </r>
  <r>
    <n v="1894"/>
    <x v="210"/>
    <x v="210"/>
    <x v="198"/>
    <x v="4"/>
    <s v="MAVERICK LAU"/>
    <n v="1850"/>
    <s v="Contract: General Contract"/>
    <s v="Supplier"/>
    <m/>
    <x v="574"/>
    <s v="Success_Purchase_Agreement_2008.pdf"/>
    <s v=".pdf"/>
    <d v="2014-04-09T00:00:00"/>
    <s v="as\afok"/>
    <m/>
    <s v="V5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x v="2"/>
    <x v="1"/>
    <m/>
    <x v="29"/>
  </r>
  <r>
    <n v="1904"/>
    <x v="210"/>
    <x v="210"/>
    <x v="198"/>
    <x v="4"/>
    <s v="MAVERICK LAU"/>
    <n v="1860"/>
    <s v="Contract: General Contract"/>
    <s v="Supplier"/>
    <m/>
    <x v="318"/>
    <s v="Success_Agreement_Sep2012.pdf"/>
    <s v=".pdf"/>
    <d v="2014-04-10T00:00:00"/>
    <s v="as\afok"/>
    <m/>
    <s v="V7"/>
    <x v="11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x v="2"/>
    <x v="1"/>
    <m/>
    <x v="29"/>
  </r>
  <r>
    <n v="1906"/>
    <x v="210"/>
    <x v="210"/>
    <x v="198"/>
    <x v="4"/>
    <s v="MAVERICK LAU"/>
    <n v="1862"/>
    <s v="Contract: Quality Appendix"/>
    <s v="Supplier"/>
    <m/>
    <x v="127"/>
    <s v="Success_Agreement_Sep2012.pdf"/>
    <s v=".pdf"/>
    <d v="2014-04-10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x v="2"/>
    <x v="1"/>
    <m/>
    <x v="29"/>
  </r>
  <r>
    <n v="1895"/>
    <x v="210"/>
    <x v="210"/>
    <x v="198"/>
    <x v="4"/>
    <s v="MAVERICK LAU"/>
    <n v="1851"/>
    <s v="Contract: Quality Appendix"/>
    <s v="Supplier"/>
    <m/>
    <x v="750"/>
    <s v="Success_Purchase_Agreement_2008.pdf"/>
    <s v=".pdf"/>
    <d v="2014-04-09T00:00:00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x v="2"/>
    <x v="1"/>
    <m/>
    <x v="29"/>
  </r>
  <r>
    <n v="1907"/>
    <x v="210"/>
    <x v="210"/>
    <x v="198"/>
    <x v="4"/>
    <s v="MAVERICK LAU"/>
    <n v="1863"/>
    <s v="Contract: Supply Chain Appendix"/>
    <s v="Supplier"/>
    <m/>
    <x v="281"/>
    <s v="Success_Agreement_Sep2012.pdf"/>
    <s v=".pdf"/>
    <d v="2014-04-10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x v="2"/>
    <x v="1"/>
    <m/>
    <x v="29"/>
  </r>
  <r>
    <n v="1898"/>
    <x v="210"/>
    <x v="210"/>
    <x v="198"/>
    <x v="4"/>
    <s v="MAVERICK LAU"/>
    <n v="1854"/>
    <s v="Contract: Supply Chain Appendix"/>
    <s v="Supplier"/>
    <m/>
    <x v="159"/>
    <s v="supply_chain_appendix_V.10_Success_19Aug2013.pdf"/>
    <s v=".pdf"/>
    <d v="2014-04-10T00:00:00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x v="2"/>
    <x v="1"/>
    <m/>
    <x v="29"/>
  </r>
  <r>
    <n v="1908"/>
    <x v="210"/>
    <x v="210"/>
    <x v="198"/>
    <x v="4"/>
    <s v="MAVERICK LAU"/>
    <n v="1864"/>
    <s v="Declaration letter of group organization"/>
    <s v="Supplier"/>
    <m/>
    <x v="318"/>
    <s v="Success_Agreement_Sep2012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n v="1"/>
    <m/>
    <m/>
    <s v="CP"/>
    <m/>
    <m/>
    <x v="2"/>
    <x v="1"/>
    <m/>
    <x v="29"/>
  </r>
  <r>
    <n v="1905"/>
    <x v="210"/>
    <x v="210"/>
    <x v="198"/>
    <x v="4"/>
    <s v="MAVERICK LAU"/>
    <n v="1861"/>
    <s v="Environmental Declaration"/>
    <s v="Supplier"/>
    <m/>
    <x v="318"/>
    <s v="Success_Agreement_Sep2012.pdf"/>
    <s v=".pdf"/>
    <d v="2014-04-10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9"/>
  </r>
  <r>
    <n v="1893"/>
    <x v="210"/>
    <x v="210"/>
    <x v="198"/>
    <x v="4"/>
    <s v="MAVERICK LAU"/>
    <n v="1849"/>
    <s v="Environmental Declaration"/>
    <s v="Supplier"/>
    <m/>
    <x v="316"/>
    <s v="Success_Metal_Env_Declaration_1Apr2010.pdf"/>
    <s v=".pdf"/>
    <d v="2014-04-09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9"/>
  </r>
  <r>
    <n v="1903"/>
    <x v="210"/>
    <x v="210"/>
    <x v="198"/>
    <x v="4"/>
    <s v="MAVERICK LAU"/>
    <n v="1859"/>
    <s v="Responsible Purchasing Charter"/>
    <s v="Supplier"/>
    <m/>
    <x v="245"/>
    <s v="Success_Responsible_Purchasing_Charter_10Aug12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9"/>
  </r>
  <r>
    <n v="1902"/>
    <x v="210"/>
    <x v="210"/>
    <x v="198"/>
    <x v="4"/>
    <s v="MAVERICK LAU"/>
    <n v="1858"/>
    <s v="SEF"/>
    <s v="Supplier"/>
    <m/>
    <x v="557"/>
    <s v="SEF-Success-20121126-82.xlsx"/>
    <s v=".xlsx"/>
    <d v="2014-04-10T00:00:00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9"/>
  </r>
  <r>
    <n v="1896"/>
    <x v="210"/>
    <x v="210"/>
    <x v="198"/>
    <x v="4"/>
    <s v="MAVERICK LAU"/>
    <n v="1852"/>
    <s v="SEF"/>
    <s v="Supplier"/>
    <m/>
    <x v="270"/>
    <s v="SEF-Success-28AUG12-81.xlsx"/>
    <s v=".xlsx"/>
    <d v="2014-04-09T00:00:00"/>
    <s v="as\afok"/>
    <m/>
    <s v="2012"/>
    <x v="0"/>
    <x v="0"/>
    <x v="0"/>
    <x v="0"/>
    <m/>
    <m/>
    <m/>
    <m/>
    <n v="81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9"/>
  </r>
  <r>
    <n v="1900"/>
    <x v="210"/>
    <x v="210"/>
    <x v="198"/>
    <x v="4"/>
    <s v="MAVERICK LAU"/>
    <n v="1856"/>
    <s v="SEF"/>
    <s v="Supplier"/>
    <m/>
    <x v="751"/>
    <s v="SEF-Success-20130415-72.xlsx"/>
    <s v=".xlsx"/>
    <d v="2014-04-10T00:00:00"/>
    <s v="as\afok"/>
    <m/>
    <s v="2013"/>
    <x v="0"/>
    <x v="0"/>
    <x v="0"/>
    <x v="0"/>
    <m/>
    <m/>
    <m/>
    <m/>
    <n v="72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9"/>
  </r>
  <r>
    <n v="1901"/>
    <x v="210"/>
    <x v="210"/>
    <x v="198"/>
    <x v="4"/>
    <s v="MAVERICK LAU"/>
    <n v="1857"/>
    <s v="SPR"/>
    <s v="Supplier"/>
    <m/>
    <x v="270"/>
    <s v="_SPR-Success-20120828.ppt"/>
    <s v=".ppt"/>
    <d v="2014-04-10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9"/>
  </r>
  <r>
    <n v="1899"/>
    <x v="210"/>
    <x v="210"/>
    <x v="198"/>
    <x v="4"/>
    <s v="MAVERICK LAU"/>
    <n v="1855"/>
    <s v="SPR"/>
    <s v="Supplier"/>
    <m/>
    <x v="486"/>
    <s v="_SPR-Success-20130417.pptx"/>
    <s v=".pptx"/>
    <d v="2014-04-10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29"/>
  </r>
  <r>
    <n v="36"/>
    <x v="211"/>
    <x v="211"/>
    <x v="199"/>
    <x v="3"/>
    <s v="WENDY HO"/>
    <n v="31"/>
    <s v="Contract: General Contract"/>
    <s v="Supplier"/>
    <d v="2015-12-31T00:00:00"/>
    <x v="752"/>
    <s v="SUN CUPID_General Agreement ind.10 (except appendix 7) 2012-11-08.pdf"/>
    <s v=".pdf"/>
    <d v="2014-03-04T00:00:00"/>
    <s v="as\afok"/>
    <m/>
    <s v="FHA00016 ind.10"/>
    <x v="5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x v="4"/>
    <x v="1"/>
    <m/>
    <x v="51"/>
  </r>
  <r>
    <n v="417"/>
    <x v="211"/>
    <x v="211"/>
    <x v="199"/>
    <x v="3"/>
    <s v="WENDY HO"/>
    <n v="403"/>
    <s v="Contract: Quality Appendix"/>
    <s v="Supplier"/>
    <m/>
    <x v="753"/>
    <s v="Sun Cupid quality appendix - Completed.pdf"/>
    <s v=".pdf"/>
    <d v="2014-03-17T00:00:00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x v="4"/>
    <x v="1"/>
    <m/>
    <x v="51"/>
  </r>
  <r>
    <n v="422"/>
    <x v="211"/>
    <x v="211"/>
    <x v="199"/>
    <x v="3"/>
    <s v="WENDY HO"/>
    <n v="408"/>
    <s v="Contract: Supply Chain Appendix"/>
    <s v="Supplier"/>
    <m/>
    <x v="61"/>
    <s v="SUN CUPID_General Agreement ind.10 (except appendix 7) 2012-11-08.pdf"/>
    <s v=".pdf"/>
    <d v="2014-03-17T00:00:00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x v="4"/>
    <x v="1"/>
    <m/>
    <x v="51"/>
  </r>
  <r>
    <n v="590"/>
    <x v="211"/>
    <x v="211"/>
    <x v="199"/>
    <x v="3"/>
    <s v="WENDY HO"/>
    <n v="573"/>
    <s v="Declaration letter of group organization"/>
    <s v="Supplier"/>
    <m/>
    <x v="567"/>
    <s v="SUN CUPID_General Agreement ind.10 (except appendix 7) 2012-11-08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s v="MOULD"/>
    <x v="4"/>
    <x v="1"/>
    <m/>
    <x v="51"/>
  </r>
  <r>
    <n v="423"/>
    <x v="211"/>
    <x v="211"/>
    <x v="199"/>
    <x v="3"/>
    <s v="WENDY HO"/>
    <n v="409"/>
    <s v="Environmental Declaration"/>
    <s v="Supplier"/>
    <m/>
    <x v="137"/>
    <s v="SUN CUPID_General Agreement ind.10 (except appendix 7) 2012-11-08.pdf"/>
    <s v=".pdf"/>
    <d v="2014-03-17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51"/>
  </r>
  <r>
    <n v="419"/>
    <x v="211"/>
    <x v="211"/>
    <x v="199"/>
    <x v="3"/>
    <s v="WENDY HO"/>
    <n v="405"/>
    <s v="Exclusivity (EA)"/>
    <s v="Product / Project"/>
    <m/>
    <x v="754"/>
    <s v="SUN CUPID_IP_COFFEE GRINDER_20110610.pdf"/>
    <s v=".pdf"/>
    <d v="2014-03-17T00:00:00"/>
    <s v="as\afok"/>
    <s v="_x000d__x000a_"/>
    <m/>
    <x v="0"/>
    <x v="0"/>
    <x v="0"/>
    <x v="0"/>
    <s v="COFFEE GRIND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51"/>
  </r>
  <r>
    <n v="420"/>
    <x v="211"/>
    <x v="211"/>
    <x v="199"/>
    <x v="3"/>
    <s v="WENDY HO"/>
    <n v="406"/>
    <s v="Exclusivity (EA)"/>
    <s v="Product / Project"/>
    <m/>
    <x v="754"/>
    <s v="SUN CUPID_EA_ESPRESSO_20110610.pdf"/>
    <s v=".pdf"/>
    <d v="2014-03-17T00:00:00"/>
    <s v="as\afok"/>
    <s v="_x000d__x000a_"/>
    <m/>
    <x v="0"/>
    <x v="0"/>
    <x v="0"/>
    <x v="0"/>
    <s v="ESPRESSO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51"/>
  </r>
  <r>
    <n v="421"/>
    <x v="211"/>
    <x v="211"/>
    <x v="199"/>
    <x v="3"/>
    <s v="WENDY HO"/>
    <n v="407"/>
    <s v="Exclusivity (EA)"/>
    <s v="Product / Project"/>
    <m/>
    <x v="137"/>
    <s v="SUN CUPID_EA_FCM576_2012-05-09.pdf"/>
    <s v=".pdf"/>
    <d v="2014-03-17T00:00:00"/>
    <s v="as\afok"/>
    <s v="_x000d__x000a_"/>
    <m/>
    <x v="0"/>
    <x v="0"/>
    <x v="0"/>
    <x v="0"/>
    <s v="FCM576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51"/>
  </r>
  <r>
    <n v="413"/>
    <x v="211"/>
    <x v="211"/>
    <x v="199"/>
    <x v="3"/>
    <s v="WENDY HO"/>
    <n v="400"/>
    <s v="IP (Intellectual Property)"/>
    <s v="Product / Project"/>
    <m/>
    <x v="163"/>
    <s v="Plastic 12 cups NAFTA IP.pdf"/>
    <s v=".pdf"/>
    <d v="2014-03-17T00:00:00"/>
    <s v="as\afok"/>
    <m/>
    <m/>
    <x v="0"/>
    <x v="0"/>
    <x v="0"/>
    <x v="0"/>
    <s v="Plastic 12 cups NAFTA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51"/>
  </r>
  <r>
    <n v="426"/>
    <x v="211"/>
    <x v="211"/>
    <x v="199"/>
    <x v="3"/>
    <s v="WENDY HO"/>
    <n v="412"/>
    <s v="IP (Intellectual Property)"/>
    <s v="Product / Project"/>
    <m/>
    <x v="754"/>
    <s v="SUN CUPID_IP_ESPRESSO_20110610.pdf"/>
    <s v=".pdf"/>
    <d v="2014-03-17T00:00:00"/>
    <s v="as\afok"/>
    <s v="_x000d__x000a_"/>
    <m/>
    <x v="0"/>
    <x v="0"/>
    <x v="0"/>
    <x v="0"/>
    <s v="ESPRESSO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51"/>
  </r>
  <r>
    <n v="425"/>
    <x v="211"/>
    <x v="211"/>
    <x v="199"/>
    <x v="3"/>
    <s v="WENDY HO"/>
    <n v="411"/>
    <s v="IP (Intellectual Property)"/>
    <s v="Product / Project"/>
    <m/>
    <x v="754"/>
    <s v="SUN CUPID_IP_COFFEE MAKER_20110610.pdf"/>
    <s v=".pdf"/>
    <d v="2014-03-17T00:00:00"/>
    <s v="as\afok"/>
    <m/>
    <m/>
    <x v="0"/>
    <x v="0"/>
    <x v="0"/>
    <x v="0"/>
    <s v="COFFEE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51"/>
  </r>
  <r>
    <n v="427"/>
    <x v="211"/>
    <x v="211"/>
    <x v="199"/>
    <x v="3"/>
    <s v="WENDY HO"/>
    <n v="413"/>
    <s v="IP (Intellectual Property)"/>
    <s v="Product / Project"/>
    <m/>
    <x v="137"/>
    <s v="SUN CUPID_IP_FCM576_2012-05-09.pdf"/>
    <s v=".pdf"/>
    <d v="2014-03-17T00:00:00"/>
    <s v="as\afok"/>
    <s v="_x000d__x000a_"/>
    <m/>
    <x v="0"/>
    <x v="0"/>
    <x v="0"/>
    <x v="0"/>
    <s v="FCM576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51"/>
  </r>
  <r>
    <n v="424"/>
    <x v="211"/>
    <x v="211"/>
    <x v="199"/>
    <x v="3"/>
    <s v="WENDY HO"/>
    <n v="410"/>
    <s v="IP (Intellectual Property)"/>
    <s v="Product / Project"/>
    <m/>
    <x v="754"/>
    <s v="SUN CUPID_IP_COFFEE GRINDER_20110610.pdf"/>
    <s v=".pdf"/>
    <d v="2014-03-17T00:00:00"/>
    <s v="as\afok"/>
    <s v="_x000d__x000a_"/>
    <m/>
    <x v="0"/>
    <x v="0"/>
    <x v="0"/>
    <x v="0"/>
    <s v="COFFEE GRIND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51"/>
  </r>
  <r>
    <n v="415"/>
    <x v="211"/>
    <x v="211"/>
    <x v="199"/>
    <x v="3"/>
    <s v="WENDY HO"/>
    <n v="401"/>
    <s v="LOC (Letter of Confidentiality)"/>
    <s v="Supplier"/>
    <m/>
    <x v="755"/>
    <s v="Sun Cupid - LOC 16Feb11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51"/>
  </r>
  <r>
    <n v="416"/>
    <x v="211"/>
    <x v="211"/>
    <x v="199"/>
    <x v="3"/>
    <s v="WENDY HO"/>
    <n v="402"/>
    <s v="Responsible Purchasing Charter"/>
    <s v="Supplier"/>
    <m/>
    <x v="51"/>
    <s v="Sun Cupid - Responsible Purchasing Charter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51"/>
  </r>
  <r>
    <n v="428"/>
    <x v="211"/>
    <x v="211"/>
    <x v="199"/>
    <x v="3"/>
    <s v="WENDY HO"/>
    <n v="414"/>
    <s v="SEF"/>
    <s v="Supplier"/>
    <m/>
    <x v="222"/>
    <s v="Sun Cupid_SEF_Dec 2012.xlsx"/>
    <s v=".xlsx"/>
    <d v="2014-03-17T00:00:00"/>
    <s v="as\afok"/>
    <m/>
    <s v="2012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51"/>
  </r>
  <r>
    <n v="418"/>
    <x v="211"/>
    <x v="211"/>
    <x v="199"/>
    <x v="3"/>
    <s v="WENDY HO"/>
    <n v="404"/>
    <s v="SIF"/>
    <s v="Supplier"/>
    <m/>
    <x v="61"/>
    <s v="Sun Cupid SIF 2013.xls"/>
    <s v=".xls"/>
    <d v="2014-03-17T00:00:00"/>
    <s v="as\afok"/>
    <m/>
    <s v="2013"/>
    <x v="0"/>
    <x v="0"/>
    <x v="0"/>
    <x v="0"/>
    <m/>
    <m/>
    <m/>
    <m/>
    <m/>
    <n v="2014"/>
    <n v="80000000"/>
    <n v="80000000"/>
    <n v="80000000"/>
    <n v="80000000"/>
    <n v="50000000"/>
    <n v="1"/>
    <n v="0.6"/>
    <n v="0.1"/>
    <n v="0.1"/>
    <n v="0"/>
    <m/>
    <x v="0"/>
    <x v="0"/>
    <x v="0"/>
    <x v="0"/>
    <m/>
    <m/>
    <m/>
    <n v="1"/>
    <m/>
    <m/>
    <s v="FP"/>
    <m/>
    <s v="SP"/>
    <s v="MOULD"/>
    <x v="4"/>
    <x v="1"/>
    <m/>
    <x v="51"/>
  </r>
  <r>
    <n v="429"/>
    <x v="211"/>
    <x v="211"/>
    <x v="199"/>
    <x v="3"/>
    <s v="WENDY HO"/>
    <n v="415"/>
    <s v="SIF"/>
    <s v="Supplier"/>
    <m/>
    <x v="33"/>
    <s v="SUN CUPID_SIF 2012_21Feb12.xls"/>
    <s v=".xls"/>
    <d v="2014-03-17T00:00:00"/>
    <s v="as\afok"/>
    <m/>
    <s v="2012"/>
    <x v="0"/>
    <x v="0"/>
    <x v="0"/>
    <x v="0"/>
    <m/>
    <m/>
    <m/>
    <m/>
    <m/>
    <n v="2012"/>
    <n v="80000000"/>
    <n v="80000000"/>
    <n v="80000000"/>
    <n v="50000000"/>
    <n v="40000000"/>
    <m/>
    <n v="0.2"/>
    <n v="0.1"/>
    <n v="0"/>
    <n v="0"/>
    <m/>
    <x v="0"/>
    <x v="0"/>
    <x v="0"/>
    <x v="0"/>
    <m/>
    <m/>
    <m/>
    <n v="1"/>
    <m/>
    <m/>
    <s v="FP"/>
    <m/>
    <s v="SP"/>
    <s v="MOULD"/>
    <x v="4"/>
    <x v="1"/>
    <m/>
    <x v="51"/>
  </r>
  <r>
    <n v="1081"/>
    <x v="212"/>
    <x v="212"/>
    <x v="200"/>
    <x v="1"/>
    <s v="EVA LAI"/>
    <n v="1057"/>
    <s v="Contract: General Contract"/>
    <s v="Supplier"/>
    <m/>
    <x v="121"/>
    <s v="Sun Fai_General Agreement_V7.pdf"/>
    <s v=".pdf"/>
    <d v="2014-03-25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x v="2"/>
    <x v="1"/>
    <m/>
    <x v="52"/>
  </r>
  <r>
    <n v="1088"/>
    <x v="212"/>
    <x v="212"/>
    <x v="200"/>
    <x v="1"/>
    <s v="EVA LAI"/>
    <n v="1064"/>
    <s v="Contract: General Contract"/>
    <s v="Supplier"/>
    <m/>
    <x v="756"/>
    <s v="Sun_Fai_Purchase_Agreement_2008.pdf"/>
    <s v=".pdf"/>
    <d v="2014-03-25T00:00:00"/>
    <s v="as\afok"/>
    <m/>
    <s v="V5"/>
    <x v="7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x v="2"/>
    <x v="1"/>
    <m/>
    <x v="52"/>
  </r>
  <r>
    <n v="1084"/>
    <x v="212"/>
    <x v="212"/>
    <x v="200"/>
    <x v="1"/>
    <s v="EVA LAI"/>
    <n v="1060"/>
    <s v="Contract: Quality Appendix"/>
    <s v="Supplier"/>
    <m/>
    <x v="121"/>
    <s v="Sun Fai_General Agreement_V7.pdf"/>
    <s v=".pdf"/>
    <d v="2014-03-25T00:00:00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x v="2"/>
    <x v="1"/>
    <m/>
    <x v="52"/>
  </r>
  <r>
    <n v="1089"/>
    <x v="212"/>
    <x v="212"/>
    <x v="200"/>
    <x v="1"/>
    <s v="EVA LAI"/>
    <n v="1065"/>
    <s v="Contract: Quality Appendix"/>
    <s v="Supplier"/>
    <m/>
    <x v="756"/>
    <s v="Sun_Fai_Purchase_Agreement_2008.pdf"/>
    <s v=".pdf"/>
    <d v="2014-03-25T00:00:00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n v="1"/>
    <m/>
    <m/>
    <s v="CP"/>
    <m/>
    <m/>
    <x v="2"/>
    <x v="1"/>
    <m/>
    <x v="52"/>
  </r>
  <r>
    <n v="1083"/>
    <x v="212"/>
    <x v="212"/>
    <x v="200"/>
    <x v="1"/>
    <s v="EVA LAI"/>
    <n v="1059"/>
    <s v="Contract: Supply Chain Appendix"/>
    <s v="Supplier"/>
    <m/>
    <x v="121"/>
    <s v="Sun Fai_General Agreement_V7.pdf"/>
    <s v=".pdf"/>
    <d v="2014-03-25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x v="2"/>
    <x v="1"/>
    <m/>
    <x v="52"/>
  </r>
  <r>
    <n v="1085"/>
    <x v="212"/>
    <x v="212"/>
    <x v="200"/>
    <x v="1"/>
    <s v="EVA LAI"/>
    <n v="1061"/>
    <s v="Declaration letter of group organization"/>
    <s v="Supplier"/>
    <m/>
    <x v="141"/>
    <s v="Sun Fai_General Agreement_V7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52"/>
  </r>
  <r>
    <n v="1082"/>
    <x v="212"/>
    <x v="212"/>
    <x v="200"/>
    <x v="1"/>
    <s v="EVA LAI"/>
    <n v="1058"/>
    <s v="Environmental Declaration"/>
    <s v="Supplier"/>
    <m/>
    <x v="121"/>
    <s v="Sun Fai_General Agreement_V7.pdf"/>
    <s v=".pdf"/>
    <d v="2014-03-25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52"/>
  </r>
  <r>
    <n v="1076"/>
    <x v="212"/>
    <x v="212"/>
    <x v="200"/>
    <x v="1"/>
    <s v="EVA LAI"/>
    <n v="1052"/>
    <s v="ISO 14001"/>
    <s v="Supplier"/>
    <d v="2011-07-08T00:00:00"/>
    <x v="750"/>
    <s v="Sun_Fai_ISO14001_01_Ju n_2011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52"/>
  </r>
  <r>
    <n v="1087"/>
    <x v="212"/>
    <x v="212"/>
    <x v="200"/>
    <x v="1"/>
    <s v="EVA LAI"/>
    <n v="1063"/>
    <s v="ISO 14001"/>
    <s v="Supplier"/>
    <d v="2011-07-08T00:00:00"/>
    <x v="750"/>
    <s v="Sun Fai_ISO14001_2011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52"/>
  </r>
  <r>
    <n v="1078"/>
    <x v="212"/>
    <x v="212"/>
    <x v="200"/>
    <x v="1"/>
    <s v="EVA LAI"/>
    <n v="1054"/>
    <s v="Responsible Purchasing Charter"/>
    <s v="Supplier"/>
    <m/>
    <x v="235"/>
    <s v="Sun_Fai_Responsible_Purchasing_Charter_02Aug12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52"/>
  </r>
  <r>
    <n v="1079"/>
    <x v="212"/>
    <x v="212"/>
    <x v="200"/>
    <x v="1"/>
    <s v="EVA LAI"/>
    <n v="1055"/>
    <s v="SEF"/>
    <s v="Supplier"/>
    <m/>
    <x v="89"/>
    <s v="Sun Fai_SEF_2012-2.xlsx"/>
    <s v=".xlsx"/>
    <d v="2014-03-25T00:00:00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52"/>
  </r>
  <r>
    <n v="1074"/>
    <x v="212"/>
    <x v="212"/>
    <x v="200"/>
    <x v="1"/>
    <s v="EVA LAI"/>
    <n v="1050"/>
    <s v="SEF"/>
    <s v="Supplier"/>
    <m/>
    <x v="610"/>
    <s v="Sun Fai_SEF_2013-1.xlsx"/>
    <s v=".xlsx"/>
    <d v="2014-03-25T00:00:00"/>
    <s v="as\afok"/>
    <m/>
    <s v="2013"/>
    <x v="0"/>
    <x v="0"/>
    <x v="0"/>
    <x v="0"/>
    <m/>
    <m/>
    <m/>
    <m/>
    <n v="91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52"/>
  </r>
  <r>
    <n v="1080"/>
    <x v="212"/>
    <x v="212"/>
    <x v="200"/>
    <x v="1"/>
    <s v="EVA LAI"/>
    <n v="1056"/>
    <s v="SEF"/>
    <s v="Supplier"/>
    <m/>
    <x v="123"/>
    <s v="Sun Fai_SEF_2012.xlsx"/>
    <s v=".xlsx"/>
    <d v="2014-03-25T00:00:00"/>
    <s v="as\afok"/>
    <m/>
    <s v="2012"/>
    <x v="0"/>
    <x v="0"/>
    <x v="0"/>
    <x v="0"/>
    <m/>
    <m/>
    <m/>
    <m/>
    <n v="90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52"/>
  </r>
  <r>
    <n v="1086"/>
    <x v="212"/>
    <x v="212"/>
    <x v="200"/>
    <x v="1"/>
    <s v="EVA LAI"/>
    <n v="1062"/>
    <s v="SIF"/>
    <s v="Supplier"/>
    <m/>
    <x v="303"/>
    <s v="Sun Fai_SIF2012_5Mar12.xlsx"/>
    <s v=".xlsx"/>
    <d v="2014-03-25T00:00:00"/>
    <s v="as\afok"/>
    <m/>
    <s v="2012"/>
    <x v="0"/>
    <x v="0"/>
    <x v="0"/>
    <x v="0"/>
    <m/>
    <m/>
    <m/>
    <m/>
    <m/>
    <n v="2012"/>
    <n v="75000000"/>
    <n v="68200000"/>
    <n v="47000000"/>
    <n v="26600000"/>
    <n v="53000000"/>
    <m/>
    <n v="4.5"/>
    <n v="3"/>
    <n v="2.8"/>
    <n v="3.3"/>
    <s v="CP Panel"/>
    <x v="0"/>
    <x v="0"/>
    <x v="1"/>
    <x v="1"/>
    <m/>
    <m/>
    <m/>
    <n v="1"/>
    <m/>
    <m/>
    <m/>
    <s v="CP"/>
    <m/>
    <m/>
    <x v="2"/>
    <x v="1"/>
    <m/>
    <x v="52"/>
  </r>
  <r>
    <n v="1075"/>
    <x v="212"/>
    <x v="212"/>
    <x v="200"/>
    <x v="1"/>
    <s v="EVA LAI"/>
    <n v="1051"/>
    <s v="SIF"/>
    <s v="Supplier"/>
    <m/>
    <x v="95"/>
    <s v="SUN_FAI_SIF 2013.xls"/>
    <s v=".xls"/>
    <d v="2014-03-25T00:00:00"/>
    <s v="as\afok"/>
    <m/>
    <s v="2013"/>
    <x v="0"/>
    <x v="0"/>
    <x v="0"/>
    <x v="0"/>
    <m/>
    <m/>
    <m/>
    <m/>
    <m/>
    <n v="2013"/>
    <n v="78000000"/>
    <n v="75000000"/>
    <n v="68200000"/>
    <n v="47000000"/>
    <n v="26600000"/>
    <m/>
    <n v="4"/>
    <n v="4.5"/>
    <n v="3"/>
    <n v="2.8"/>
    <s v="CP Panel"/>
    <x v="0"/>
    <x v="0"/>
    <x v="1"/>
    <x v="1"/>
    <m/>
    <m/>
    <m/>
    <n v="1"/>
    <m/>
    <m/>
    <m/>
    <s v="CP"/>
    <m/>
    <m/>
    <x v="2"/>
    <x v="1"/>
    <m/>
    <x v="52"/>
  </r>
  <r>
    <n v="1073"/>
    <x v="212"/>
    <x v="212"/>
    <x v="200"/>
    <x v="1"/>
    <s v="EVA LAI"/>
    <n v="1049"/>
    <s v="SPR"/>
    <s v="Supplier"/>
    <m/>
    <x v="158"/>
    <s v="SunFai_SPR_2013_05.pptx"/>
    <s v=".pptx"/>
    <d v="2014-03-25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52"/>
  </r>
  <r>
    <n v="1077"/>
    <x v="212"/>
    <x v="212"/>
    <x v="200"/>
    <x v="1"/>
    <s v="EVA LAI"/>
    <n v="1053"/>
    <s v="SPR"/>
    <s v="Supplier"/>
    <m/>
    <x v="132"/>
    <s v="Sun Fai_SPR_ Sept 2012.pptx"/>
    <s v=".pptx"/>
    <d v="2014-03-25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52"/>
  </r>
  <r>
    <n v="11"/>
    <x v="213"/>
    <x v="213"/>
    <x v="201"/>
    <x v="0"/>
    <s v="KA WING KELVIN CHAN"/>
    <n v="8"/>
    <s v="Contract: General Contract"/>
    <s v="Supplier"/>
    <d v="2014-12-31T00:00:00"/>
    <x v="712"/>
    <s v="Sun Luen_General Agreement_FHA00016 ind.11 20120329.pdf"/>
    <s v=".pdf"/>
    <d v="2014-03-03T00:00:00"/>
    <s v="as\afok"/>
    <m/>
    <s v="FHA00016 ind.11 "/>
    <x v="4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n v="1"/>
    <m/>
    <m/>
    <n v="1"/>
    <m/>
    <m/>
    <s v="FP"/>
    <m/>
    <s v="SP"/>
    <m/>
    <x v="9"/>
    <x v="1"/>
    <n v="1"/>
    <x v="10"/>
  </r>
  <r>
    <n v="238"/>
    <x v="213"/>
    <x v="213"/>
    <x v="201"/>
    <x v="0"/>
    <s v="KA WING KELVIN CHAN"/>
    <n v="229"/>
    <s v="Contract: Quality Appendix"/>
    <s v="Supplier"/>
    <m/>
    <x v="184"/>
    <s v="Sun Luen_General Agreement_29Mar12.pdf"/>
    <s v=".pdf"/>
    <d v="2014-03-12T00:00:00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1"/>
    <x v="0"/>
    <x v="0"/>
    <m/>
    <n v="1"/>
    <m/>
    <n v="1"/>
    <m/>
    <m/>
    <s v="FP"/>
    <m/>
    <s v="SP"/>
    <m/>
    <x v="9"/>
    <x v="1"/>
    <n v="1"/>
    <x v="10"/>
  </r>
  <r>
    <n v="237"/>
    <x v="213"/>
    <x v="213"/>
    <x v="201"/>
    <x v="0"/>
    <s v="KA WING KELVIN CHAN"/>
    <n v="228"/>
    <s v="Contract: Supply Chain Appendix"/>
    <s v="Supplier"/>
    <m/>
    <x v="184"/>
    <s v="Sun Luen_General Agreement_29Mar12.pdf"/>
    <s v=".pdf"/>
    <d v="2014-03-12T00:00:00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1"/>
    <x v="0"/>
    <x v="0"/>
    <m/>
    <m/>
    <n v="1"/>
    <n v="1"/>
    <m/>
    <m/>
    <s v="FP"/>
    <m/>
    <s v="SP"/>
    <m/>
    <x v="9"/>
    <x v="1"/>
    <n v="1"/>
    <x v="10"/>
  </r>
  <r>
    <n v="585"/>
    <x v="213"/>
    <x v="213"/>
    <x v="201"/>
    <x v="0"/>
    <s v="KA WING KELVIN CHAN"/>
    <n v="568"/>
    <s v="Declaration letter of group organization"/>
    <s v="Supplier"/>
    <m/>
    <x v="299"/>
    <s v="Sun Luen_General Agreement_FHA00016 ind.11 20120329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n v="1"/>
    <m/>
    <s v="FP"/>
    <m/>
    <s v="SP"/>
    <m/>
    <x v="9"/>
    <x v="1"/>
    <n v="1"/>
    <x v="10"/>
  </r>
  <r>
    <n v="239"/>
    <x v="213"/>
    <x v="213"/>
    <x v="201"/>
    <x v="0"/>
    <s v="KA WING KELVIN CHAN"/>
    <n v="230"/>
    <s v="Environmental Declaration"/>
    <s v="Supplier"/>
    <m/>
    <x v="600"/>
    <s v="Sun Luen_General Agreement_29Mar12.pdf"/>
    <s v=".pdf"/>
    <d v="2014-03-12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52"/>
    <x v="213"/>
    <x v="213"/>
    <x v="201"/>
    <x v="0"/>
    <s v="KA WING KELVIN CHAN"/>
    <n v="241"/>
    <s v="Environmental Declaration"/>
    <s v="Supplier"/>
    <m/>
    <x v="757"/>
    <s v="Sun_Luen_Env_Declaration_04Jun2010.xls"/>
    <s v=".xls"/>
    <d v="2014-03-13T00:00:00"/>
    <s v="as\afok"/>
    <m/>
    <s v="2010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43"/>
    <x v="213"/>
    <x v="213"/>
    <x v="201"/>
    <x v="0"/>
    <s v="KA WING KELVIN CHAN"/>
    <n v="234"/>
    <s v="Exclusivity (EA)"/>
    <s v="Supplier"/>
    <m/>
    <x v="209"/>
    <s v="Sun Luen - Exclusivity Agreement (Hot Air Styler) 22Mar11.pdf"/>
    <s v=".pdf"/>
    <d v="2014-03-12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42"/>
    <x v="213"/>
    <x v="213"/>
    <x v="201"/>
    <x v="0"/>
    <s v="KA WING KELVIN CHAN"/>
    <n v="233"/>
    <s v="IP (Intellectual Property)"/>
    <s v="Supplier"/>
    <m/>
    <x v="758"/>
    <s v="SUN LUEN _IP_20101026.pdf"/>
    <s v=".pdf"/>
    <d v="2014-03-12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50"/>
    <x v="213"/>
    <x v="213"/>
    <x v="201"/>
    <x v="0"/>
    <s v="KA WING KELVIN CHAN"/>
    <n v="239"/>
    <s v="IP (Intellectual Property)"/>
    <s v="Product / Project"/>
    <m/>
    <x v="759"/>
    <s v="SUN LUEN_IP ED986_20110324.pdf"/>
    <s v=".pdf"/>
    <d v="2014-03-13T00:00:00"/>
    <s v="as\afok"/>
    <m/>
    <m/>
    <x v="0"/>
    <x v="0"/>
    <x v="0"/>
    <x v="0"/>
    <s v="ED986 "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49"/>
    <x v="213"/>
    <x v="213"/>
    <x v="201"/>
    <x v="0"/>
    <s v="KA WING KELVIN CHAN"/>
    <n v="238"/>
    <s v="LOC (Letter of Confidentiality)"/>
    <s v="Product / Project"/>
    <m/>
    <x v="182"/>
    <s v="SUN LUEN LOC - Volum Hair 5Apr12.pdf"/>
    <s v=".pdf"/>
    <d v="2014-03-13T00:00:00"/>
    <s v="as\afok"/>
    <s v="_x000d__x000a_"/>
    <m/>
    <x v="0"/>
    <x v="0"/>
    <x v="0"/>
    <x v="0"/>
    <s v="Volum Hair"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48"/>
    <x v="213"/>
    <x v="213"/>
    <x v="201"/>
    <x v="0"/>
    <s v="KA WING KELVIN CHAN"/>
    <n v="237"/>
    <s v="LOC (Letter of Confidentiality)"/>
    <s v="Product / Project"/>
    <m/>
    <x v="213"/>
    <s v="SUN LUEN LOC - Straightener 14Jan11.pdf"/>
    <s v=".pdf"/>
    <d v="2014-03-13T00:00:00"/>
    <s v="as\afok"/>
    <s v="_x000d__x000a_"/>
    <m/>
    <x v="0"/>
    <x v="0"/>
    <x v="0"/>
    <x v="0"/>
    <s v="Straightener"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47"/>
    <x v="213"/>
    <x v="213"/>
    <x v="201"/>
    <x v="0"/>
    <s v="KA WING KELVIN CHAN"/>
    <n v="236"/>
    <s v="LOC (Letter of Confidentiality)"/>
    <s v="Product / Project"/>
    <m/>
    <x v="760"/>
    <s v="SUN LUEN LOC - Optiliss Compact 27May11.pdf"/>
    <s v=".pdf"/>
    <d v="2014-03-13T00:00:00"/>
    <s v="as\afok"/>
    <s v="_x000d__x000a_"/>
    <m/>
    <x v="0"/>
    <x v="0"/>
    <x v="0"/>
    <x v="0"/>
    <s v="Optiliss Compact "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51"/>
    <x v="213"/>
    <x v="213"/>
    <x v="201"/>
    <x v="0"/>
    <s v="KA WING KELVIN CHAN"/>
    <n v="240"/>
    <s v="Responsible Purchasing Charter"/>
    <s v="Supplier"/>
    <m/>
    <x v="228"/>
    <s v="Sun Luen_Responsible Purchasing Charter_13Aug12.pdf"/>
    <s v=".pdf"/>
    <d v="2014-03-13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41"/>
    <x v="213"/>
    <x v="213"/>
    <x v="201"/>
    <x v="0"/>
    <s v="KA WING KELVIN CHAN"/>
    <n v="232"/>
    <s v="SEF"/>
    <s v="Supplier"/>
    <m/>
    <x v="761"/>
    <s v="SEF Sun Luen 2013.XLSX"/>
    <s v=".xlsx"/>
    <d v="2014-03-12T00:00:00"/>
    <s v="as\afok"/>
    <m/>
    <s v="2013"/>
    <x v="0"/>
    <x v="0"/>
    <x v="0"/>
    <x v="0"/>
    <m/>
    <m/>
    <m/>
    <m/>
    <n v="86"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40"/>
    <x v="213"/>
    <x v="213"/>
    <x v="201"/>
    <x v="0"/>
    <s v="KA WING KELVIN CHAN"/>
    <n v="231"/>
    <s v="SEF"/>
    <s v="Supplier"/>
    <m/>
    <x v="47"/>
    <s v="SEF - Sun Luen 2012.xlsx"/>
    <s v=".xlsx"/>
    <d v="2014-03-12T00:00:00"/>
    <s v="as\afok"/>
    <m/>
    <s v="2012"/>
    <x v="0"/>
    <x v="0"/>
    <x v="0"/>
    <x v="0"/>
    <m/>
    <m/>
    <m/>
    <m/>
    <n v="83"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53"/>
    <x v="213"/>
    <x v="213"/>
    <x v="201"/>
    <x v="0"/>
    <s v="KA WING KELVIN CHAN"/>
    <n v="242"/>
    <s v="SIF"/>
    <s v="Supplier"/>
    <m/>
    <x v="688"/>
    <s v="Sun_Luen_SIF_2010.xlsx"/>
    <s v=".xlsx"/>
    <d v="2014-03-13T00:00:00"/>
    <s v="as\afok"/>
    <m/>
    <s v="2010"/>
    <x v="0"/>
    <x v="0"/>
    <x v="0"/>
    <x v="0"/>
    <m/>
    <m/>
    <m/>
    <m/>
    <m/>
    <n v="2010"/>
    <n v="98000000"/>
    <n v="75000000"/>
    <n v="750000000"/>
    <m/>
    <m/>
    <m/>
    <n v="3.5"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246"/>
    <x v="213"/>
    <x v="213"/>
    <x v="201"/>
    <x v="0"/>
    <s v="KA WING KELVIN CHAN"/>
    <n v="235"/>
    <s v="SPR"/>
    <s v="Supplier"/>
    <m/>
    <x v="47"/>
    <s v="Sun Luen - SPR 2012.pptx"/>
    <s v=".pptx"/>
    <d v="2014-03-12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1"/>
    <x v="0"/>
    <x v="0"/>
    <m/>
    <m/>
    <m/>
    <n v="1"/>
    <m/>
    <m/>
    <s v="FP"/>
    <m/>
    <s v="SP"/>
    <m/>
    <x v="9"/>
    <x v="1"/>
    <n v="1"/>
    <x v="10"/>
  </r>
  <r>
    <n v="945"/>
    <x v="214"/>
    <x v="214"/>
    <x v="202"/>
    <x v="4"/>
    <s v="ERIC KWOK"/>
    <n v="923"/>
    <s v="Environmental Declaration"/>
    <s v="Supplier"/>
    <m/>
    <x v="762"/>
    <s v="Sun_Tat_Env_Declaration_23Jun2010.xls"/>
    <s v=".xls"/>
    <d v="2014-03-24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946"/>
    <x v="214"/>
    <x v="214"/>
    <x v="202"/>
    <x v="4"/>
    <s v="ERIC KWOK"/>
    <n v="924"/>
    <s v="Responsible Purchasing Charter"/>
    <s v="Supplier"/>
    <m/>
    <x v="242"/>
    <s v="Suntat_Responsible_Purchasing_Charter_06Aug12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948"/>
    <x v="214"/>
    <x v="214"/>
    <x v="202"/>
    <x v="4"/>
    <s v="ERIC KWOK"/>
    <n v="926"/>
    <s v="SEF"/>
    <s v="Supplier"/>
    <m/>
    <x v="472"/>
    <s v="Suntat_SEF_2012_R1.xlsx"/>
    <s v=".xlsx"/>
    <d v="2014-03-24T00:00:00"/>
    <s v="as\afok"/>
    <m/>
    <s v="2012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0"/>
    <m/>
    <n v="1"/>
    <m/>
    <m/>
    <m/>
    <s v="MOULD"/>
    <x v="8"/>
    <x v="1"/>
    <m/>
    <x v="3"/>
  </r>
  <r>
    <n v="944"/>
    <x v="214"/>
    <x v="214"/>
    <x v="202"/>
    <x v="4"/>
    <s v="ERIC KWOK"/>
    <n v="922"/>
    <s v="SIF"/>
    <s v="Supplier"/>
    <m/>
    <x v="626"/>
    <s v="Suntat_SIF2013.xls"/>
    <s v=".xls"/>
    <d v="2014-03-24T00:00:00"/>
    <s v="as\afok"/>
    <m/>
    <s v="2013"/>
    <x v="0"/>
    <x v="0"/>
    <x v="0"/>
    <x v="0"/>
    <m/>
    <m/>
    <m/>
    <m/>
    <m/>
    <n v="2013"/>
    <n v="5000000"/>
    <n v="4000000"/>
    <n v="3800000"/>
    <n v="3950000"/>
    <n v="3850000"/>
    <n v="16"/>
    <n v="15"/>
    <n v="15"/>
    <n v="10"/>
    <n v="10"/>
    <m/>
    <x v="0"/>
    <x v="0"/>
    <x v="0"/>
    <x v="0"/>
    <m/>
    <m/>
    <m/>
    <n v="0"/>
    <m/>
    <m/>
    <m/>
    <m/>
    <m/>
    <s v="MOULD"/>
    <x v="8"/>
    <x v="1"/>
    <m/>
    <x v="3"/>
  </r>
  <r>
    <n v="947"/>
    <x v="214"/>
    <x v="214"/>
    <x v="202"/>
    <x v="4"/>
    <s v="ERIC KWOK"/>
    <n v="925"/>
    <s v="SPR"/>
    <s v="Supplier"/>
    <m/>
    <x v="123"/>
    <s v="SPR_Suntat_May2012.ppt"/>
    <s v=".ppt"/>
    <d v="2014-03-24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1744"/>
    <x v="215"/>
    <x v="215"/>
    <x v="203"/>
    <x v="5"/>
    <s v="JOHN YAN"/>
    <n v="1701"/>
    <s v="LOC (Letter of Confidentiality)"/>
    <s v="Supplier"/>
    <m/>
    <x v="763"/>
    <s v="NINGBO SUNNY_LOC  201105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x v="2"/>
    <x v="1"/>
    <m/>
    <x v="43"/>
  </r>
  <r>
    <n v="1745"/>
    <x v="215"/>
    <x v="215"/>
    <x v="203"/>
    <x v="5"/>
    <s v="JOHN YAN"/>
    <n v="1702"/>
    <s v="Responsible Purchasing Charter"/>
    <s v="Supplier"/>
    <m/>
    <x v="242"/>
    <s v="Ningbo Sunny_Responsible Purchaser Charter_9Aug2012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x v="2"/>
    <x v="1"/>
    <m/>
    <x v="43"/>
  </r>
  <r>
    <n v="1743"/>
    <x v="215"/>
    <x v="215"/>
    <x v="203"/>
    <x v="5"/>
    <s v="JOHN YAN"/>
    <n v="1700"/>
    <s v="SIF"/>
    <s v="Supplier"/>
    <m/>
    <x v="764"/>
    <s v="Sunny Heater_SIF_08Jan2014.xls"/>
    <s v=".xls"/>
    <d v="2014-04-08T00:00:00"/>
    <s v="as\afok"/>
    <m/>
    <s v="2014"/>
    <x v="0"/>
    <x v="0"/>
    <x v="0"/>
    <x v="0"/>
    <m/>
    <m/>
    <m/>
    <m/>
    <m/>
    <n v="2014"/>
    <n v="35000000"/>
    <n v="29000000"/>
    <n v="28000000"/>
    <n v="27500000"/>
    <n v="27000000"/>
    <n v="10.119999999999999"/>
    <n v="10.050000000000001"/>
    <n v="9.5"/>
    <n v="7.5"/>
    <n v="6.3"/>
    <s v="CP Panel"/>
    <x v="0"/>
    <x v="0"/>
    <x v="1"/>
    <x v="6"/>
    <m/>
    <m/>
    <m/>
    <n v="0"/>
    <m/>
    <m/>
    <m/>
    <s v="CP"/>
    <m/>
    <m/>
    <x v="2"/>
    <x v="1"/>
    <m/>
    <x v="43"/>
  </r>
  <r>
    <n v="1746"/>
    <x v="215"/>
    <x v="215"/>
    <x v="203"/>
    <x v="5"/>
    <s v="JOHN YAN"/>
    <n v="1703"/>
    <s v="SIF"/>
    <s v="Supplier"/>
    <m/>
    <x v="137"/>
    <s v="Ningbo Sunny_SIF_9May2012.xls"/>
    <s v=".xls"/>
    <d v="2014-04-08T00:00:00"/>
    <s v="as\afok"/>
    <m/>
    <s v="2012"/>
    <x v="0"/>
    <x v="0"/>
    <x v="0"/>
    <x v="0"/>
    <m/>
    <m/>
    <m/>
    <m/>
    <m/>
    <n v="2012"/>
    <n v="45000000"/>
    <n v="35000000"/>
    <n v="30000000"/>
    <n v="24000000"/>
    <n v="220000000"/>
    <n v="6.98"/>
    <n v="6.95"/>
    <n v="6.9"/>
    <n v="6.7"/>
    <n v="6.4"/>
    <s v="CP Panel"/>
    <x v="0"/>
    <x v="0"/>
    <x v="1"/>
    <x v="6"/>
    <m/>
    <m/>
    <m/>
    <n v="0"/>
    <m/>
    <n v="1"/>
    <m/>
    <s v="CP"/>
    <m/>
    <m/>
    <x v="2"/>
    <x v="1"/>
    <m/>
    <x v="43"/>
  </r>
  <r>
    <n v="1742"/>
    <x v="215"/>
    <x v="215"/>
    <x v="203"/>
    <x v="5"/>
    <s v="JOHN YAN"/>
    <n v="1699"/>
    <s v="SPR"/>
    <s v="Supplier"/>
    <m/>
    <x v="765"/>
    <s v="SPR_Sunny_2014.ppt"/>
    <s v=".ppt"/>
    <d v="2014-04-08T00:00:00"/>
    <s v="as\afok"/>
    <m/>
    <s v="2014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x v="2"/>
    <x v="1"/>
    <m/>
    <x v="43"/>
  </r>
  <r>
    <n v="1092"/>
    <x v="216"/>
    <x v="216"/>
    <x v="204"/>
    <x v="1"/>
    <s v="EVA LAI"/>
    <n v="1068"/>
    <s v="LOC (Letter of Confidentiality)"/>
    <s v="Supplier"/>
    <m/>
    <x v="766"/>
    <s v="Letter of confidentiality_SIL_19April2011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s v="MOULD"/>
    <x v="15"/>
    <x v="1"/>
    <m/>
    <x v="53"/>
  </r>
  <r>
    <n v="1094"/>
    <x v="216"/>
    <x v="216"/>
    <x v="204"/>
    <x v="1"/>
    <s v="EVA LAI"/>
    <n v="1070"/>
    <s v="Responsible Purchasing Charter"/>
    <s v="Supplier"/>
    <m/>
    <x v="60"/>
    <s v="Sunstrong_Responsible_Purchasing_Charter_20Aug12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s v="MOULD"/>
    <x v="15"/>
    <x v="1"/>
    <m/>
    <x v="53"/>
  </r>
  <r>
    <n v="1095"/>
    <x v="216"/>
    <x v="216"/>
    <x v="204"/>
    <x v="1"/>
    <s v="EVA LAI"/>
    <n v="1071"/>
    <s v="SEF"/>
    <s v="Supplier"/>
    <m/>
    <x v="89"/>
    <s v="Sun Strong_SEF_2012-2.xlsx"/>
    <s v=".xlsx"/>
    <d v="2014-03-25T00:00:00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s v="MOULD"/>
    <x v="15"/>
    <x v="1"/>
    <m/>
    <x v="53"/>
  </r>
  <r>
    <n v="1096"/>
    <x v="216"/>
    <x v="216"/>
    <x v="204"/>
    <x v="1"/>
    <s v="EVA LAI"/>
    <n v="1072"/>
    <s v="SEF"/>
    <s v="Supplier"/>
    <m/>
    <x v="30"/>
    <s v="Sun_Strong_SEF_2012.xlsx"/>
    <s v=".xlsx"/>
    <d v="2014-03-25T00:00:00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4"/>
    <m/>
    <m/>
    <m/>
    <n v="0"/>
    <m/>
    <n v="1"/>
    <m/>
    <s v="CP"/>
    <m/>
    <s v="MOULD"/>
    <x v="15"/>
    <x v="1"/>
    <m/>
    <x v="53"/>
  </r>
  <r>
    <n v="1090"/>
    <x v="216"/>
    <x v="216"/>
    <x v="204"/>
    <x v="1"/>
    <s v="EVA LAI"/>
    <n v="1066"/>
    <s v="SEF"/>
    <s v="Supplier"/>
    <m/>
    <x v="168"/>
    <s v="SIL_SEF_2013-1.xlsx"/>
    <s v=".xlsx"/>
    <d v="2014-03-25T00:00:00"/>
    <s v="as\afok"/>
    <m/>
    <s v="2013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s v="MOULD"/>
    <x v="15"/>
    <x v="1"/>
    <m/>
    <x v="53"/>
  </r>
  <r>
    <n v="1091"/>
    <x v="216"/>
    <x v="216"/>
    <x v="204"/>
    <x v="1"/>
    <s v="EVA LAI"/>
    <n v="1067"/>
    <s v="SIF"/>
    <s v="Supplier"/>
    <m/>
    <x v="138"/>
    <s v="Sun_Strong_SIF 2013.xlsx"/>
    <s v=".xlsx"/>
    <d v="2014-03-25T00:00:00"/>
    <s v="as\afok"/>
    <m/>
    <s v="2013"/>
    <x v="0"/>
    <x v="0"/>
    <x v="0"/>
    <x v="0"/>
    <m/>
    <m/>
    <m/>
    <m/>
    <m/>
    <n v="2013"/>
    <n v="140000000"/>
    <n v="118000000"/>
    <n v="103000000"/>
    <n v="100000000"/>
    <n v="85000000"/>
    <m/>
    <n v="0.01"/>
    <n v="0.01"/>
    <n v="0.01"/>
    <n v="4.0000000000000001E-3"/>
    <s v="CP Panel"/>
    <x v="0"/>
    <x v="0"/>
    <x v="1"/>
    <x v="4"/>
    <m/>
    <m/>
    <m/>
    <n v="0"/>
    <m/>
    <m/>
    <m/>
    <s v="CP"/>
    <m/>
    <s v="MOULD"/>
    <x v="15"/>
    <x v="1"/>
    <m/>
    <x v="53"/>
  </r>
  <r>
    <n v="1093"/>
    <x v="216"/>
    <x v="216"/>
    <x v="204"/>
    <x v="1"/>
    <s v="EVA LAI"/>
    <n v="1069"/>
    <s v="SPR"/>
    <s v="Supplier"/>
    <m/>
    <x v="132"/>
    <s v="Sun Strong - SPR - Sept 2012.pptx"/>
    <s v=".pptx"/>
    <d v="2014-03-25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s v="MOULD"/>
    <x v="15"/>
    <x v="1"/>
    <m/>
    <x v="53"/>
  </r>
  <r>
    <n v="2531"/>
    <x v="217"/>
    <x v="217"/>
    <x v="205"/>
    <x v="5"/>
    <s v="SHOT XU"/>
    <n v="2412"/>
    <s v="Contract: General Contract"/>
    <s v="Supplier"/>
    <m/>
    <x v="767"/>
    <s v="SUZHOU DELUXE-DEVELOPMENT AND SUPPLY AGREEMENT-14012009.pdf"/>
    <s v=".pdf"/>
    <d v="2014-04-23T00:00:00"/>
    <s v="as\afok"/>
    <m/>
    <s v="FHA 00 016 ind.07"/>
    <x v="1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x v="9"/>
    <x v="1"/>
    <m/>
    <x v="10"/>
  </r>
  <r>
    <n v="2532"/>
    <x v="217"/>
    <x v="217"/>
    <x v="205"/>
    <x v="5"/>
    <s v="SHOT XU"/>
    <n v="2413"/>
    <s v="Environmental Declaration"/>
    <s v="Supplier"/>
    <m/>
    <x v="277"/>
    <s v="Deluxe_Env_Declaration_03Jun2010.pdf"/>
    <s v=".pdf"/>
    <d v="2014-04-23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10"/>
  </r>
  <r>
    <n v="2529"/>
    <x v="217"/>
    <x v="217"/>
    <x v="205"/>
    <x v="5"/>
    <s v="SHOT XU"/>
    <n v="2410"/>
    <s v="Responsible Purchasing Charter"/>
    <s v="Supplier"/>
    <m/>
    <x v="154"/>
    <s v="DULUXE -Responsible  Purchasing Charter_17Aug2012.pdf"/>
    <s v=".pdf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10"/>
  </r>
  <r>
    <n v="2530"/>
    <x v="217"/>
    <x v="217"/>
    <x v="205"/>
    <x v="5"/>
    <s v="SHOT XU"/>
    <n v="2411"/>
    <s v="SEF"/>
    <s v="Supplier"/>
    <m/>
    <x v="768"/>
    <s v="SEF DELUXE 2011 OCT.xlsx"/>
    <s v=".xlsx"/>
    <d v="2014-04-23T00:00:00"/>
    <s v="as\afok"/>
    <m/>
    <s v="2011"/>
    <x v="0"/>
    <x v="0"/>
    <x v="0"/>
    <x v="0"/>
    <m/>
    <m/>
    <m/>
    <m/>
    <n v="65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10"/>
  </r>
  <r>
    <n v="2533"/>
    <x v="217"/>
    <x v="217"/>
    <x v="205"/>
    <x v="5"/>
    <s v="SHOT XU"/>
    <n v="2414"/>
    <s v="SIF"/>
    <s v="Supplier"/>
    <m/>
    <x v="660"/>
    <s v="Deluxe_SIF_03Jun2010.xls"/>
    <s v=".xls"/>
    <d v="2014-04-23T00:00:00"/>
    <s v="as\afok"/>
    <m/>
    <s v="2010"/>
    <x v="0"/>
    <x v="0"/>
    <x v="0"/>
    <x v="0"/>
    <m/>
    <m/>
    <m/>
    <m/>
    <m/>
    <n v="2010"/>
    <n v="48000000"/>
    <n v="42000000"/>
    <n v="40000000"/>
    <m/>
    <m/>
    <m/>
    <n v="0.5"/>
    <m/>
    <m/>
    <m/>
    <m/>
    <x v="0"/>
    <x v="0"/>
    <x v="0"/>
    <x v="0"/>
    <m/>
    <m/>
    <m/>
    <n v="0"/>
    <m/>
    <n v="1"/>
    <s v="FP"/>
    <m/>
    <s v="SP"/>
    <m/>
    <x v="9"/>
    <x v="1"/>
    <m/>
    <x v="10"/>
  </r>
  <r>
    <n v="1106"/>
    <x v="218"/>
    <x v="218"/>
    <x v="206"/>
    <x v="1"/>
    <s v="EVA LAI"/>
    <n v="1082"/>
    <s v="Contract: General Contract"/>
    <s v="Supplier"/>
    <m/>
    <x v="769"/>
    <s v="TaHsing_0.SupplyAgreement_31May2012.pdf"/>
    <s v=".pdf"/>
    <d v="2014-03-25T00:00:00"/>
    <s v="as\afok"/>
    <m/>
    <s v="V7"/>
    <x v="7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x v="2"/>
    <x v="1"/>
    <m/>
    <x v="16"/>
  </r>
  <r>
    <n v="1110"/>
    <x v="218"/>
    <x v="218"/>
    <x v="206"/>
    <x v="1"/>
    <s v="EVA LAI"/>
    <n v="1086"/>
    <s v="Contract: Quality Appendix"/>
    <s v="Supplier"/>
    <m/>
    <x v="148"/>
    <s v="TaHsing_QualityPurchasingContracts_24Oct2013.pdf"/>
    <s v=".pdf"/>
    <d v="2014-03-25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x v="2"/>
    <x v="1"/>
    <m/>
    <x v="16"/>
  </r>
  <r>
    <n v="1109"/>
    <x v="218"/>
    <x v="218"/>
    <x v="206"/>
    <x v="1"/>
    <s v="EVA LAI"/>
    <n v="1085"/>
    <s v="Contract: Supply Chain Appendix"/>
    <s v="Supplier"/>
    <m/>
    <x v="769"/>
    <s v="TaHsing_SupplyChainAppendix_31May2012.pdf"/>
    <s v=".pdf"/>
    <d v="2014-03-25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x v="2"/>
    <x v="1"/>
    <m/>
    <x v="16"/>
  </r>
  <r>
    <n v="1108"/>
    <x v="218"/>
    <x v="218"/>
    <x v="206"/>
    <x v="1"/>
    <s v="EVA LAI"/>
    <n v="1084"/>
    <s v="Declaration letter of group organization"/>
    <s v="Supplier"/>
    <m/>
    <x v="769"/>
    <s v="TaHsing_6.DeclarationLetter_31May2012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6"/>
  </r>
  <r>
    <n v="1107"/>
    <x v="218"/>
    <x v="218"/>
    <x v="206"/>
    <x v="1"/>
    <s v="EVA LAI"/>
    <n v="1083"/>
    <s v="Environmental Declaration"/>
    <s v="Supplier"/>
    <m/>
    <x v="769"/>
    <s v="TaHsing_3.EnvironmentalDeclaration_31May2012.pdf"/>
    <s v=".pdf"/>
    <d v="2014-03-25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6"/>
  </r>
  <r>
    <n v="1101"/>
    <x v="218"/>
    <x v="218"/>
    <x v="206"/>
    <x v="1"/>
    <s v="EVA LAI"/>
    <n v="1077"/>
    <s v="ISO 14001"/>
    <s v="Supplier"/>
    <d v="2011-06-18T00:00:00"/>
    <x v="770"/>
    <s v="Ta Hsing_ISO14001_15Jul2008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6"/>
  </r>
  <r>
    <n v="1098"/>
    <x v="218"/>
    <x v="218"/>
    <x v="206"/>
    <x v="1"/>
    <s v="EVA LAI"/>
    <n v="1074"/>
    <s v="ISO 9001"/>
    <s v="Supplier"/>
    <d v="2008-05-21T00:00:00"/>
    <x v="771"/>
    <s v="Ta Hsing_ISO9001_21May2008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6"/>
  </r>
  <r>
    <n v="1112"/>
    <x v="218"/>
    <x v="218"/>
    <x v="206"/>
    <x v="1"/>
    <s v="EVA LAI"/>
    <n v="1088"/>
    <s v="Responsible Purchasing Charter"/>
    <s v="Supplier"/>
    <m/>
    <x v="772"/>
    <s v="TaHsing_PurchasingCharter_27Nov2013(English).pdf"/>
    <s v=".pdf"/>
    <d v="2014-03-25T00:00:00"/>
    <s v="as\afok"/>
    <s v="English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6"/>
  </r>
  <r>
    <n v="1111"/>
    <x v="218"/>
    <x v="218"/>
    <x v="206"/>
    <x v="1"/>
    <s v="EVA LAI"/>
    <n v="1087"/>
    <s v="Responsible Purchasing Charter"/>
    <s v="Supplier"/>
    <m/>
    <x v="772"/>
    <s v="TaHsing_PurchasingCharter_27Nov2013(Chinese).pdf"/>
    <s v=".pdf"/>
    <d v="2014-03-25T00:00:00"/>
    <s v="as\afok"/>
    <s v="Chinese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6"/>
  </r>
  <r>
    <n v="1100"/>
    <x v="218"/>
    <x v="218"/>
    <x v="206"/>
    <x v="1"/>
    <s v="EVA LAI"/>
    <n v="1076"/>
    <s v="Responsible Purchasing Charter"/>
    <s v="Supplier"/>
    <m/>
    <x v="19"/>
    <s v="Ta_Hsing_Responsible_Purchasing_Charter_07Aug12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6"/>
  </r>
  <r>
    <n v="1113"/>
    <x v="218"/>
    <x v="218"/>
    <x v="206"/>
    <x v="1"/>
    <s v="EVA LAI"/>
    <n v="1089"/>
    <s v="Responsible Purchasing Charter"/>
    <s v="Supplier"/>
    <m/>
    <x v="773"/>
    <s v="TaHsing_PurchasingCharter_29Nov2013(Vietnam factory).pdf"/>
    <s v=".pdf"/>
    <d v="2014-03-25T00:00:00"/>
    <s v="as\afok"/>
    <s v="Vietnam factory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n v="1"/>
    <m/>
    <m/>
    <s v="CP"/>
    <m/>
    <m/>
    <x v="2"/>
    <x v="1"/>
    <m/>
    <x v="16"/>
  </r>
  <r>
    <n v="1099"/>
    <x v="218"/>
    <x v="218"/>
    <x v="206"/>
    <x v="1"/>
    <s v="EVA LAI"/>
    <n v="1075"/>
    <s v="SEF"/>
    <s v="Supplier"/>
    <m/>
    <x v="123"/>
    <s v="Ta Hsing_SEF_2012.xls"/>
    <s v=".xls"/>
    <d v="2014-03-25T00:00:00"/>
    <s v="as\afok"/>
    <m/>
    <s v="2012"/>
    <x v="0"/>
    <x v="0"/>
    <x v="0"/>
    <x v="0"/>
    <m/>
    <m/>
    <m/>
    <m/>
    <n v="86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6"/>
  </r>
  <r>
    <n v="1104"/>
    <x v="218"/>
    <x v="218"/>
    <x v="206"/>
    <x v="1"/>
    <s v="EVA LAI"/>
    <n v="1080"/>
    <s v="SEF"/>
    <s v="Supplier"/>
    <m/>
    <x v="610"/>
    <s v="Ta Hsing_SEF_2013-1.xlsx"/>
    <s v=".xlsx"/>
    <d v="2014-03-25T00:00:00"/>
    <s v="as\afok"/>
    <m/>
    <s v="2013"/>
    <x v="0"/>
    <x v="0"/>
    <x v="0"/>
    <x v="0"/>
    <m/>
    <m/>
    <m/>
    <m/>
    <n v="94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6"/>
  </r>
  <r>
    <n v="1103"/>
    <x v="218"/>
    <x v="218"/>
    <x v="206"/>
    <x v="1"/>
    <s v="EVA LAI"/>
    <n v="1079"/>
    <s v="SIF"/>
    <s v="Supplier"/>
    <m/>
    <x v="477"/>
    <s v="TA_Hsing_SIF2013.xlsx"/>
    <s v=".xlsx"/>
    <d v="2014-03-25T00:00:00"/>
    <s v="as\afok"/>
    <m/>
    <s v="2013"/>
    <x v="0"/>
    <x v="0"/>
    <x v="0"/>
    <x v="0"/>
    <m/>
    <m/>
    <m/>
    <m/>
    <m/>
    <n v="2013"/>
    <m/>
    <n v="66000000"/>
    <n v="74442910"/>
    <n v="68122217"/>
    <n v="45973405"/>
    <m/>
    <n v="12.3"/>
    <n v="11.4"/>
    <n v="14.4"/>
    <n v="12"/>
    <s v="CP Panel"/>
    <x v="0"/>
    <x v="0"/>
    <x v="1"/>
    <x v="1"/>
    <m/>
    <m/>
    <m/>
    <n v="1"/>
    <m/>
    <m/>
    <m/>
    <s v="CP"/>
    <m/>
    <m/>
    <x v="2"/>
    <x v="1"/>
    <m/>
    <x v="16"/>
  </r>
  <r>
    <n v="1105"/>
    <x v="218"/>
    <x v="218"/>
    <x v="206"/>
    <x v="1"/>
    <s v="EVA LAI"/>
    <n v="1081"/>
    <s v="SPR"/>
    <s v="Supplier"/>
    <m/>
    <x v="158"/>
    <s v="Ta Hsing_SPR_ 2013_05.pptx"/>
    <s v=".pptx"/>
    <d v="2014-03-25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6"/>
  </r>
  <r>
    <n v="1097"/>
    <x v="218"/>
    <x v="218"/>
    <x v="206"/>
    <x v="1"/>
    <s v="EVA LAI"/>
    <n v="1073"/>
    <s v="SPR"/>
    <s v="Supplier"/>
    <m/>
    <x v="132"/>
    <s v="TA HSING- SPR- Sept 2012.pptx"/>
    <s v=".pptx"/>
    <d v="2014-03-25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6"/>
  </r>
  <r>
    <n v="2691"/>
    <x v="219"/>
    <x v="219"/>
    <x v="207"/>
    <x v="0"/>
    <s v="KITTY LAI"/>
    <n v="2534"/>
    <s v="Contract: General Contract"/>
    <s v="Supplier"/>
    <m/>
    <x v="774"/>
    <s v="Team Concept FHA000016 ind. 09 20090519.pdf"/>
    <s v=".pdf"/>
    <d v="2014-04-24T00:00:00"/>
    <s v="as\afok"/>
    <m/>
    <s v="FHA 00 016 ind.09"/>
    <x v="4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n v="1"/>
    <m/>
    <s v="FP"/>
    <s v="CP"/>
    <m/>
    <s v="MOULD"/>
    <x v="10"/>
    <x v="1"/>
    <m/>
    <x v="19"/>
  </r>
  <r>
    <n v="2682"/>
    <x v="219"/>
    <x v="219"/>
    <x v="207"/>
    <x v="0"/>
    <s v="KITTY LAI"/>
    <n v="2525"/>
    <s v="Contract: General Contract"/>
    <s v="Supplier"/>
    <m/>
    <x v="30"/>
    <s v="Team_Concept_General Agrreement_16Dec11.pdf"/>
    <s v=".pdf"/>
    <d v="2014-04-24T00:00:00"/>
    <s v="as\afok"/>
    <m/>
    <s v="FHA 00 016 ind.10"/>
    <x v="4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m/>
    <m/>
    <s v="FP"/>
    <s v="CP"/>
    <m/>
    <s v="MOULD"/>
    <x v="10"/>
    <x v="1"/>
    <m/>
    <x v="19"/>
  </r>
  <r>
    <n v="2685"/>
    <x v="219"/>
    <x v="219"/>
    <x v="207"/>
    <x v="0"/>
    <s v="KITTY LAI"/>
    <n v="2528"/>
    <s v="Contract: Quality Appendix"/>
    <s v="Supplier"/>
    <m/>
    <x v="775"/>
    <s v="Team_Concept_General Agrreement_16Dec11.pdf"/>
    <s v=".pdf"/>
    <d v="2014-04-24T00:00:00"/>
    <s v="as\afok"/>
    <m/>
    <m/>
    <x v="0"/>
    <x v="0"/>
    <x v="0"/>
    <x v="7"/>
    <m/>
    <m/>
    <m/>
    <m/>
    <m/>
    <m/>
    <m/>
    <m/>
    <m/>
    <m/>
    <m/>
    <m/>
    <m/>
    <m/>
    <m/>
    <m/>
    <s v="FP panel"/>
    <x v="1"/>
    <x v="1"/>
    <x v="0"/>
    <x v="0"/>
    <m/>
    <n v="1"/>
    <m/>
    <n v="1"/>
    <m/>
    <m/>
    <s v="FP"/>
    <s v="CP"/>
    <m/>
    <s v="MOULD"/>
    <x v="10"/>
    <x v="1"/>
    <m/>
    <x v="19"/>
  </r>
  <r>
    <n v="2684"/>
    <x v="219"/>
    <x v="219"/>
    <x v="207"/>
    <x v="0"/>
    <s v="KITTY LAI"/>
    <n v="2527"/>
    <s v="Contract: Supply Chain Appendix"/>
    <s v="Supplier"/>
    <m/>
    <x v="776"/>
    <s v="Team_Concept_General Agrreement_16Dec11.pdf"/>
    <s v=".pdf"/>
    <d v="2014-04-24T00:00:00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1"/>
    <x v="0"/>
    <x v="0"/>
    <m/>
    <m/>
    <n v="1"/>
    <n v="1"/>
    <m/>
    <m/>
    <s v="FP"/>
    <s v="CP"/>
    <m/>
    <s v="MOULD"/>
    <x v="10"/>
    <x v="1"/>
    <m/>
    <x v="19"/>
  </r>
  <r>
    <n v="2686"/>
    <x v="219"/>
    <x v="219"/>
    <x v="207"/>
    <x v="0"/>
    <s v="KITTY LAI"/>
    <n v="2529"/>
    <s v="Declaration letter of group organization"/>
    <s v="Supplier"/>
    <m/>
    <x v="428"/>
    <s v="Team_Concept_General Agrreement_16Dec11.pdf"/>
    <s v=".pdf"/>
    <d v="2014-04-2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m/>
    <s v="MOULD"/>
    <x v="10"/>
    <x v="1"/>
    <m/>
    <x v="19"/>
  </r>
  <r>
    <n v="2683"/>
    <x v="219"/>
    <x v="219"/>
    <x v="207"/>
    <x v="0"/>
    <s v="KITTY LAI"/>
    <n v="2526"/>
    <s v="Environmental Declaration"/>
    <s v="Supplier"/>
    <m/>
    <x v="775"/>
    <s v="Team_Concept_General Agrreement_16Dec11.pdf"/>
    <s v=".pdf"/>
    <d v="2014-04-24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m/>
    <s v="MOULD"/>
    <x v="10"/>
    <x v="1"/>
    <m/>
    <x v="19"/>
  </r>
  <r>
    <n v="2681"/>
    <x v="219"/>
    <x v="219"/>
    <x v="207"/>
    <x v="0"/>
    <s v="KITTY LAI"/>
    <n v="2524"/>
    <s v="Other business certifications (ex : FSC for Packaging)"/>
    <s v="Supplier"/>
    <d v="2013-03-09T00:00:00"/>
    <x v="688"/>
    <s v="Team_Concept_SA8000_18May2010.pdf"/>
    <s v=".pdf"/>
    <d v="2014-04-24T00:00:00"/>
    <s v="as\afok"/>
    <s v="SA8000"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m/>
    <s v="MOULD"/>
    <x v="10"/>
    <x v="1"/>
    <m/>
    <x v="19"/>
  </r>
  <r>
    <n v="2687"/>
    <x v="219"/>
    <x v="219"/>
    <x v="207"/>
    <x v="0"/>
    <s v="KITTY LAI"/>
    <n v="2530"/>
    <s v="Responsible Purchasing Charter"/>
    <s v="Supplier"/>
    <m/>
    <x v="205"/>
    <s v="Team Concept_Responsible Purchasing Charter_4Aug12.pdf"/>
    <s v=".pdf"/>
    <d v="2014-04-2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m/>
    <s v="MOULD"/>
    <x v="10"/>
    <x v="1"/>
    <m/>
    <x v="19"/>
  </r>
  <r>
    <n v="2689"/>
    <x v="219"/>
    <x v="219"/>
    <x v="207"/>
    <x v="0"/>
    <s v="KITTY LAI"/>
    <n v="2532"/>
    <s v="SEF"/>
    <s v="Supplier"/>
    <m/>
    <x v="337"/>
    <s v="SEF 2012 - Team Concept.xlsx"/>
    <s v=".xlsx"/>
    <d v="2014-04-24T00:00:00"/>
    <s v="as\afok"/>
    <m/>
    <s v="2012"/>
    <x v="0"/>
    <x v="0"/>
    <x v="0"/>
    <x v="0"/>
    <m/>
    <m/>
    <m/>
    <m/>
    <n v="82"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m/>
    <s v="MOULD"/>
    <x v="10"/>
    <x v="1"/>
    <m/>
    <x v="19"/>
  </r>
  <r>
    <n v="2679"/>
    <x v="219"/>
    <x v="219"/>
    <x v="207"/>
    <x v="0"/>
    <s v="KITTY LAI"/>
    <n v="2522"/>
    <s v="SEF"/>
    <s v="Supplier"/>
    <m/>
    <x v="248"/>
    <s v="SEF - Team Concept 2013.xlsx"/>
    <s v=".xlsx"/>
    <d v="2014-04-24T00:00:00"/>
    <s v="as\afok"/>
    <m/>
    <s v="2013"/>
    <x v="0"/>
    <x v="0"/>
    <x v="0"/>
    <x v="0"/>
    <m/>
    <m/>
    <m/>
    <m/>
    <n v="86"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m/>
    <s v="MOULD"/>
    <x v="10"/>
    <x v="1"/>
    <m/>
    <x v="19"/>
  </r>
  <r>
    <n v="2680"/>
    <x v="219"/>
    <x v="219"/>
    <x v="207"/>
    <x v="0"/>
    <s v="KITTY LAI"/>
    <n v="2523"/>
    <s v="SIF"/>
    <s v="Supplier"/>
    <m/>
    <x v="777"/>
    <s v="Team_Concept_SIF2012.xls"/>
    <s v=".xls"/>
    <d v="2014-04-24T00:00:00"/>
    <s v="as\afok"/>
    <m/>
    <s v="2012"/>
    <x v="0"/>
    <x v="0"/>
    <x v="0"/>
    <x v="0"/>
    <m/>
    <m/>
    <m/>
    <m/>
    <m/>
    <n v="2012"/>
    <n v="6000000"/>
    <n v="6400000"/>
    <n v="6800000"/>
    <n v="6100000"/>
    <n v="3800000"/>
    <m/>
    <m/>
    <m/>
    <m/>
    <m/>
    <s v="FP panel"/>
    <x v="1"/>
    <x v="1"/>
    <x v="0"/>
    <x v="0"/>
    <m/>
    <m/>
    <m/>
    <n v="1"/>
    <m/>
    <m/>
    <s v="FP"/>
    <s v="CP"/>
    <m/>
    <s v="MOULD"/>
    <x v="10"/>
    <x v="1"/>
    <m/>
    <x v="19"/>
  </r>
  <r>
    <n v="2678"/>
    <x v="219"/>
    <x v="219"/>
    <x v="207"/>
    <x v="0"/>
    <s v="KITTY LAI"/>
    <n v="2521"/>
    <s v="SPR"/>
    <s v="Supplier"/>
    <m/>
    <x v="565"/>
    <s v="SPR - Team Concept 2013.pdf"/>
    <s v=".pdf"/>
    <d v="2014-04-24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m/>
    <s v="MOULD"/>
    <x v="10"/>
    <x v="1"/>
    <m/>
    <x v="19"/>
  </r>
  <r>
    <n v="2690"/>
    <x v="219"/>
    <x v="219"/>
    <x v="207"/>
    <x v="0"/>
    <s v="KITTY LAI"/>
    <n v="2533"/>
    <s v="SPR"/>
    <s v="Supplier"/>
    <m/>
    <x v="565"/>
    <s v="SPR - Team Concept 11Mar2013.pptx"/>
    <s v=".pptx"/>
    <d v="2014-04-24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m/>
    <s v="MOULD"/>
    <x v="10"/>
    <x v="1"/>
    <m/>
    <x v="19"/>
  </r>
  <r>
    <n v="2688"/>
    <x v="219"/>
    <x v="219"/>
    <x v="207"/>
    <x v="0"/>
    <s v="KITTY LAI"/>
    <n v="2531"/>
    <s v="SPR"/>
    <s v="Supplier"/>
    <m/>
    <x v="778"/>
    <s v="SPR - Team Concept 2012 12-06-26.ppt"/>
    <s v=".ppt"/>
    <d v="2014-04-24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m/>
    <s v="MOULD"/>
    <x v="10"/>
    <x v="1"/>
    <m/>
    <x v="19"/>
  </r>
  <r>
    <n v="2353"/>
    <x v="220"/>
    <x v="220"/>
    <x v="208"/>
    <x v="1"/>
    <s v="MAY LEE"/>
    <n v="2294"/>
    <s v="Contract: General Contract"/>
    <s v="Supplier"/>
    <m/>
    <x v="779"/>
    <s v="Techlink_General Agreement_V7.pdf"/>
    <s v=".pdf"/>
    <d v="2014-04-17T00:00:00"/>
    <s v="as\afok"/>
    <m/>
    <s v="V7"/>
    <x v="6"/>
    <x v="0"/>
    <x v="0"/>
    <x v="0"/>
    <m/>
    <m/>
    <m/>
    <m/>
    <m/>
    <m/>
    <m/>
    <m/>
    <m/>
    <m/>
    <m/>
    <m/>
    <m/>
    <m/>
    <m/>
    <m/>
    <s v="FP Panel and  CP Panel"/>
    <x v="1"/>
    <x v="1"/>
    <x v="1"/>
    <x v="3"/>
    <n v="1"/>
    <m/>
    <m/>
    <n v="1"/>
    <m/>
    <m/>
    <s v="FP"/>
    <s v="CP"/>
    <m/>
    <s v="MOULD"/>
    <x v="10"/>
    <x v="1"/>
    <m/>
    <x v="48"/>
  </r>
  <r>
    <n v="2351"/>
    <x v="220"/>
    <x v="220"/>
    <x v="208"/>
    <x v="1"/>
    <s v="MAY LEE"/>
    <n v="2292"/>
    <s v="Contract: General Contract"/>
    <s v="Supplier"/>
    <m/>
    <x v="372"/>
    <s v="Techlink_Purchase_Agreement_2008.pdf"/>
    <s v=".pdf"/>
    <d v="2014-04-17T00:00:00"/>
    <s v="as\afok"/>
    <m/>
    <m/>
    <x v="7"/>
    <x v="0"/>
    <x v="0"/>
    <x v="0"/>
    <m/>
    <m/>
    <m/>
    <m/>
    <m/>
    <m/>
    <m/>
    <m/>
    <m/>
    <m/>
    <m/>
    <m/>
    <m/>
    <m/>
    <m/>
    <m/>
    <s v="FP Panel and  CP Panel"/>
    <x v="1"/>
    <x v="1"/>
    <x v="1"/>
    <x v="3"/>
    <n v="1"/>
    <m/>
    <m/>
    <n v="1"/>
    <m/>
    <m/>
    <s v="FP"/>
    <s v="CP"/>
    <m/>
    <s v="MOULD"/>
    <x v="10"/>
    <x v="1"/>
    <m/>
    <x v="48"/>
  </r>
  <r>
    <n v="2356"/>
    <x v="220"/>
    <x v="220"/>
    <x v="208"/>
    <x v="1"/>
    <s v="MAY LEE"/>
    <n v="2297"/>
    <s v="Contract: Quality Appendix"/>
    <s v="Supplier"/>
    <m/>
    <x v="780"/>
    <s v="Techlink_General Agreement_V7.pdf"/>
    <s v=".pdf"/>
    <d v="2014-04-17T00:00:00"/>
    <s v="as\afok"/>
    <m/>
    <s v="V4"/>
    <x v="0"/>
    <x v="0"/>
    <x v="0"/>
    <x v="2"/>
    <m/>
    <m/>
    <m/>
    <m/>
    <m/>
    <m/>
    <m/>
    <m/>
    <m/>
    <m/>
    <m/>
    <m/>
    <m/>
    <m/>
    <m/>
    <m/>
    <s v="FP Panel and  CP Panel"/>
    <x v="1"/>
    <x v="1"/>
    <x v="1"/>
    <x v="3"/>
    <m/>
    <n v="1"/>
    <m/>
    <n v="1"/>
    <m/>
    <m/>
    <s v="FP"/>
    <s v="CP"/>
    <m/>
    <s v="MOULD"/>
    <x v="10"/>
    <x v="1"/>
    <m/>
    <x v="48"/>
  </r>
  <r>
    <n v="2352"/>
    <x v="220"/>
    <x v="220"/>
    <x v="208"/>
    <x v="1"/>
    <s v="MAY LEE"/>
    <n v="2293"/>
    <s v="Contract: Quality Appendix"/>
    <s v="Supplier"/>
    <m/>
    <x v="193"/>
    <s v="Techlink_Purchase_Agreement_2008.pdf"/>
    <s v=".pdf"/>
    <d v="2014-04-17T00:00:00"/>
    <s v="as\afok"/>
    <m/>
    <s v="FHA 00 014 ind.07"/>
    <x v="0"/>
    <x v="0"/>
    <x v="0"/>
    <x v="4"/>
    <m/>
    <m/>
    <m/>
    <m/>
    <m/>
    <m/>
    <m/>
    <m/>
    <m/>
    <m/>
    <m/>
    <m/>
    <m/>
    <m/>
    <m/>
    <m/>
    <s v="FP Panel and  CP Panel"/>
    <x v="1"/>
    <x v="1"/>
    <x v="1"/>
    <x v="3"/>
    <m/>
    <n v="1"/>
    <m/>
    <n v="1"/>
    <m/>
    <m/>
    <s v="FP"/>
    <s v="CP"/>
    <m/>
    <s v="MOULD"/>
    <x v="10"/>
    <x v="1"/>
    <m/>
    <x v="48"/>
  </r>
  <r>
    <n v="2355"/>
    <x v="220"/>
    <x v="220"/>
    <x v="208"/>
    <x v="1"/>
    <s v="MAY LEE"/>
    <n v="2296"/>
    <s v="Contract: Supply Chain Appendix"/>
    <s v="Supplier"/>
    <m/>
    <x v="779"/>
    <s v="Techlink_General Agreement_V7.pdf"/>
    <s v=".pdf"/>
    <d v="2014-04-17T00:00:00"/>
    <s v="as\afok"/>
    <m/>
    <m/>
    <x v="0"/>
    <x v="1"/>
    <x v="2"/>
    <x v="0"/>
    <m/>
    <m/>
    <m/>
    <m/>
    <m/>
    <m/>
    <m/>
    <m/>
    <m/>
    <m/>
    <m/>
    <m/>
    <m/>
    <m/>
    <m/>
    <m/>
    <s v="FP Panel and  CP Panel"/>
    <x v="1"/>
    <x v="1"/>
    <x v="1"/>
    <x v="3"/>
    <m/>
    <m/>
    <n v="1"/>
    <n v="1"/>
    <m/>
    <m/>
    <s v="FP"/>
    <s v="CP"/>
    <m/>
    <s v="MOULD"/>
    <x v="10"/>
    <x v="1"/>
    <m/>
    <x v="48"/>
  </r>
  <r>
    <n v="2357"/>
    <x v="220"/>
    <x v="220"/>
    <x v="208"/>
    <x v="1"/>
    <s v="MAY LEE"/>
    <n v="2298"/>
    <s v="Declaration letter of group organization"/>
    <s v="Supplier"/>
    <m/>
    <x v="780"/>
    <s v="Techlink_General Agreement_V7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1"/>
    <x v="1"/>
    <x v="3"/>
    <m/>
    <m/>
    <m/>
    <n v="1"/>
    <m/>
    <m/>
    <s v="FP"/>
    <s v="CP"/>
    <m/>
    <s v="MOULD"/>
    <x v="10"/>
    <x v="1"/>
    <m/>
    <x v="48"/>
  </r>
  <r>
    <n v="2354"/>
    <x v="220"/>
    <x v="220"/>
    <x v="208"/>
    <x v="1"/>
    <s v="MAY LEE"/>
    <n v="2295"/>
    <s v="Environmental Declaration"/>
    <s v="Supplier"/>
    <m/>
    <x v="779"/>
    <s v="Techlink_General Agreement_V7.pdf"/>
    <s v=".pdf"/>
    <d v="2014-04-17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 and  CP Panel"/>
    <x v="1"/>
    <x v="1"/>
    <x v="1"/>
    <x v="3"/>
    <m/>
    <m/>
    <m/>
    <n v="1"/>
    <m/>
    <m/>
    <s v="FP"/>
    <s v="CP"/>
    <m/>
    <s v="MOULD"/>
    <x v="10"/>
    <x v="1"/>
    <m/>
    <x v="48"/>
  </r>
  <r>
    <n v="2360"/>
    <x v="220"/>
    <x v="220"/>
    <x v="208"/>
    <x v="1"/>
    <s v="MAY LEE"/>
    <n v="2301"/>
    <s v="Environmental Declaration"/>
    <s v="Supplier"/>
    <m/>
    <x v="583"/>
    <s v="Tech_Link_Env_Declaration_20May2010.xls"/>
    <s v=".xls"/>
    <d v="2014-04-17T00:00:00"/>
    <s v="as\afok"/>
    <m/>
    <s v="2010"/>
    <x v="0"/>
    <x v="0"/>
    <x v="0"/>
    <x v="0"/>
    <m/>
    <m/>
    <m/>
    <m/>
    <m/>
    <m/>
    <m/>
    <m/>
    <m/>
    <m/>
    <m/>
    <m/>
    <m/>
    <m/>
    <m/>
    <m/>
    <s v="FP Panel and  CP Panel"/>
    <x v="1"/>
    <x v="1"/>
    <x v="1"/>
    <x v="3"/>
    <m/>
    <m/>
    <m/>
    <n v="1"/>
    <m/>
    <m/>
    <s v="FP"/>
    <s v="CP"/>
    <m/>
    <s v="MOULD"/>
    <x v="10"/>
    <x v="1"/>
    <m/>
    <x v="48"/>
  </r>
  <r>
    <n v="2350"/>
    <x v="220"/>
    <x v="220"/>
    <x v="208"/>
    <x v="1"/>
    <s v="MAY LEE"/>
    <n v="2291"/>
    <s v="Foodstuffs declaration"/>
    <s v="Supplier"/>
    <m/>
    <x v="781"/>
    <s v="Tech Link FRD00069 ind.04 200906.pdf"/>
    <s v=".pdf"/>
    <d v="2014-04-17T00:00:00"/>
    <s v="as\afok"/>
    <m/>
    <s v="FRD 00 069 ind.04"/>
    <x v="0"/>
    <x v="0"/>
    <x v="0"/>
    <x v="0"/>
    <m/>
    <m/>
    <m/>
    <m/>
    <m/>
    <m/>
    <m/>
    <m/>
    <m/>
    <m/>
    <m/>
    <m/>
    <m/>
    <m/>
    <m/>
    <m/>
    <s v="FP Panel and  CP Panel"/>
    <x v="1"/>
    <x v="1"/>
    <x v="1"/>
    <x v="3"/>
    <m/>
    <m/>
    <m/>
    <n v="1"/>
    <m/>
    <m/>
    <s v="FP"/>
    <s v="CP"/>
    <m/>
    <s v="MOULD"/>
    <x v="10"/>
    <x v="1"/>
    <m/>
    <x v="48"/>
  </r>
  <r>
    <n v="2359"/>
    <x v="220"/>
    <x v="220"/>
    <x v="208"/>
    <x v="1"/>
    <s v="MAY LEE"/>
    <n v="2300"/>
    <s v="LOC (Letter of Confidentiality)"/>
    <s v="Supplier"/>
    <m/>
    <x v="556"/>
    <s v="Techlink_LOC_06FEB2013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1"/>
    <x v="1"/>
    <x v="3"/>
    <m/>
    <m/>
    <m/>
    <n v="1"/>
    <m/>
    <m/>
    <s v="FP"/>
    <s v="CP"/>
    <m/>
    <s v="MOULD"/>
    <x v="10"/>
    <x v="1"/>
    <m/>
    <x v="48"/>
  </r>
  <r>
    <n v="2362"/>
    <x v="220"/>
    <x v="220"/>
    <x v="208"/>
    <x v="1"/>
    <s v="MAY LEE"/>
    <n v="2303"/>
    <s v="Responsible Purchasing Charter"/>
    <s v="Supplier"/>
    <m/>
    <x v="19"/>
    <s v="Techlink_Responsible_Purchasing_Charter_07Aug12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1"/>
    <x v="1"/>
    <x v="3"/>
    <m/>
    <m/>
    <m/>
    <n v="1"/>
    <m/>
    <m/>
    <s v="FP"/>
    <s v="CP"/>
    <m/>
    <s v="MOULD"/>
    <x v="10"/>
    <x v="1"/>
    <m/>
    <x v="48"/>
  </r>
  <r>
    <n v="2361"/>
    <x v="220"/>
    <x v="220"/>
    <x v="208"/>
    <x v="1"/>
    <s v="MAY LEE"/>
    <n v="2302"/>
    <s v="SEF"/>
    <s v="Supplier"/>
    <m/>
    <x v="481"/>
    <s v="Techlink_SEF_2012-2.xlsx"/>
    <s v=".xlsx"/>
    <d v="2014-04-17T00:00:00"/>
    <s v="as\afok"/>
    <m/>
    <s v="2012"/>
    <x v="0"/>
    <x v="0"/>
    <x v="0"/>
    <x v="0"/>
    <m/>
    <m/>
    <m/>
    <m/>
    <n v="81"/>
    <m/>
    <m/>
    <m/>
    <m/>
    <m/>
    <m/>
    <m/>
    <m/>
    <m/>
    <m/>
    <m/>
    <s v="FP Panel and  CP Panel"/>
    <x v="1"/>
    <x v="1"/>
    <x v="1"/>
    <x v="3"/>
    <m/>
    <m/>
    <m/>
    <n v="1"/>
    <m/>
    <m/>
    <s v="FP"/>
    <s v="CP"/>
    <m/>
    <s v="MOULD"/>
    <x v="10"/>
    <x v="1"/>
    <m/>
    <x v="48"/>
  </r>
  <r>
    <n v="2358"/>
    <x v="220"/>
    <x v="220"/>
    <x v="208"/>
    <x v="1"/>
    <s v="MAY LEE"/>
    <n v="2299"/>
    <s v="SEF"/>
    <s v="Supplier"/>
    <m/>
    <x v="183"/>
    <s v="SEF - Techlink_2012.xlsx"/>
    <s v=".xlsx"/>
    <d v="2014-04-17T00:00:00"/>
    <s v="as\afok"/>
    <m/>
    <s v="2012"/>
    <x v="0"/>
    <x v="0"/>
    <x v="0"/>
    <x v="0"/>
    <m/>
    <m/>
    <m/>
    <m/>
    <n v="86"/>
    <m/>
    <m/>
    <m/>
    <m/>
    <m/>
    <m/>
    <m/>
    <m/>
    <m/>
    <m/>
    <m/>
    <s v="FP Panel and  CP Panel"/>
    <x v="1"/>
    <x v="1"/>
    <x v="1"/>
    <x v="3"/>
    <m/>
    <m/>
    <m/>
    <n v="1"/>
    <m/>
    <m/>
    <s v="FP"/>
    <s v="CP"/>
    <m/>
    <s v="MOULD"/>
    <x v="10"/>
    <x v="1"/>
    <m/>
    <x v="48"/>
  </r>
  <r>
    <n v="2364"/>
    <x v="220"/>
    <x v="220"/>
    <x v="208"/>
    <x v="1"/>
    <s v="MAY LEE"/>
    <n v="2305"/>
    <s v="SIF"/>
    <s v="Supplier"/>
    <m/>
    <x v="521"/>
    <s v="Techlink_SIF 2013.xlsx"/>
    <s v=".xlsx"/>
    <d v="2014-04-17T00:00:00"/>
    <s v="as\afok"/>
    <m/>
    <s v="2013"/>
    <x v="0"/>
    <x v="0"/>
    <x v="0"/>
    <x v="0"/>
    <m/>
    <m/>
    <m/>
    <m/>
    <m/>
    <n v="2013"/>
    <n v="75000000"/>
    <n v="65000000"/>
    <n v="50000000"/>
    <n v="45000000"/>
    <n v="39000000"/>
    <n v="10"/>
    <n v="9.8000000000000007"/>
    <n v="11.9"/>
    <n v="10.9"/>
    <n v="10"/>
    <s v="FP Panel and  CP Panel"/>
    <x v="1"/>
    <x v="1"/>
    <x v="1"/>
    <x v="3"/>
    <m/>
    <m/>
    <m/>
    <n v="1"/>
    <m/>
    <m/>
    <s v="FP"/>
    <s v="CP"/>
    <m/>
    <s v="MOULD"/>
    <x v="10"/>
    <x v="1"/>
    <m/>
    <x v="48"/>
  </r>
  <r>
    <n v="2365"/>
    <x v="220"/>
    <x v="220"/>
    <x v="208"/>
    <x v="1"/>
    <s v="MAY LEE"/>
    <n v="2306"/>
    <s v="Social Audit"/>
    <s v="Supplier"/>
    <m/>
    <x v="221"/>
    <s v="Techlink_Social Audit_warning letter_2012.pdf"/>
    <s v=".pdf"/>
    <d v="2014-04-17T00:00:00"/>
    <s v="as\afok"/>
    <m/>
    <m/>
    <x v="0"/>
    <x v="0"/>
    <x v="0"/>
    <x v="0"/>
    <m/>
    <s v="SEB Asia"/>
    <s v="Initial"/>
    <s v="Critical"/>
    <m/>
    <m/>
    <m/>
    <m/>
    <m/>
    <m/>
    <m/>
    <m/>
    <m/>
    <m/>
    <m/>
    <m/>
    <s v="FP Panel and  CP Panel"/>
    <x v="1"/>
    <x v="1"/>
    <x v="1"/>
    <x v="3"/>
    <m/>
    <m/>
    <m/>
    <n v="1"/>
    <n v="1"/>
    <m/>
    <s v="FP"/>
    <s v="CP"/>
    <m/>
    <s v="MOULD"/>
    <x v="10"/>
    <x v="1"/>
    <m/>
    <x v="48"/>
  </r>
  <r>
    <n v="2363"/>
    <x v="220"/>
    <x v="220"/>
    <x v="208"/>
    <x v="1"/>
    <s v="MAY LEE"/>
    <n v="2304"/>
    <s v="SPR"/>
    <s v="Supplier"/>
    <m/>
    <x v="107"/>
    <s v="Techlink 2012 SPR.pptx"/>
    <s v=".pptx"/>
    <d v="2014-04-17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and  CP Panel"/>
    <x v="1"/>
    <x v="1"/>
    <x v="1"/>
    <x v="3"/>
    <m/>
    <m/>
    <m/>
    <n v="1"/>
    <m/>
    <m/>
    <s v="FP"/>
    <s v="CP"/>
    <m/>
    <s v="MOULD"/>
    <x v="10"/>
    <x v="1"/>
    <m/>
    <x v="48"/>
  </r>
  <r>
    <n v="649"/>
    <x v="221"/>
    <x v="221"/>
    <x v="209"/>
    <x v="1"/>
    <s v="DAVID LIM"/>
    <n v="632"/>
    <s v="Contract: General Contract"/>
    <s v="Supplier"/>
    <m/>
    <x v="259"/>
    <s v="Telefield_General Agreement_V7.pdf"/>
    <s v=".pdf"/>
    <d v="2014-03-19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s v="MOULD"/>
    <x v="15"/>
    <x v="1"/>
    <m/>
    <x v="54"/>
  </r>
  <r>
    <n v="651"/>
    <x v="221"/>
    <x v="221"/>
    <x v="209"/>
    <x v="1"/>
    <s v="DAVID LIM"/>
    <n v="634"/>
    <s v="Contract: Quality Appendix"/>
    <s v="Supplier"/>
    <m/>
    <x v="652"/>
    <s v="Telefield_General Agreement_V7.pdf"/>
    <s v=".pdf"/>
    <d v="2014-03-19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7"/>
    <m/>
    <n v="1"/>
    <m/>
    <n v="1"/>
    <m/>
    <m/>
    <m/>
    <s v="CP"/>
    <m/>
    <s v="MOULD"/>
    <x v="15"/>
    <x v="1"/>
    <m/>
    <x v="54"/>
  </r>
  <r>
    <n v="652"/>
    <x v="221"/>
    <x v="221"/>
    <x v="209"/>
    <x v="1"/>
    <s v="DAVID LIM"/>
    <n v="635"/>
    <s v="Contract: Supply Chain Appendix"/>
    <s v="Supplier"/>
    <m/>
    <x v="259"/>
    <s v="Telefield_General Agreement_V7.pdf"/>
    <s v=".pdf"/>
    <d v="2014-03-19T00:00:00"/>
    <s v="as\afok"/>
    <m/>
    <m/>
    <x v="0"/>
    <x v="15"/>
    <x v="2"/>
    <x v="0"/>
    <m/>
    <m/>
    <m/>
    <m/>
    <m/>
    <m/>
    <m/>
    <m/>
    <m/>
    <m/>
    <m/>
    <m/>
    <m/>
    <m/>
    <m/>
    <m/>
    <s v="CP Panel"/>
    <x v="0"/>
    <x v="0"/>
    <x v="1"/>
    <x v="7"/>
    <m/>
    <m/>
    <n v="1"/>
    <n v="1"/>
    <m/>
    <m/>
    <m/>
    <s v="CP"/>
    <m/>
    <s v="MOULD"/>
    <x v="15"/>
    <x v="1"/>
    <m/>
    <x v="54"/>
  </r>
  <r>
    <n v="653"/>
    <x v="221"/>
    <x v="221"/>
    <x v="209"/>
    <x v="1"/>
    <s v="DAVID LIM"/>
    <n v="636"/>
    <s v="Declaration letter of group organization"/>
    <s v="Supplier"/>
    <m/>
    <x v="782"/>
    <s v="Telefield_General Agreement_V7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x v="15"/>
    <x v="1"/>
    <m/>
    <x v="54"/>
  </r>
  <r>
    <n v="650"/>
    <x v="221"/>
    <x v="221"/>
    <x v="209"/>
    <x v="1"/>
    <s v="DAVID LIM"/>
    <n v="633"/>
    <s v="Environmental Declaration"/>
    <s v="Supplier"/>
    <m/>
    <x v="259"/>
    <s v="Telefield_General Agreement_V7.pdf"/>
    <s v=".pdf"/>
    <d v="2014-03-19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x v="15"/>
    <x v="1"/>
    <m/>
    <x v="54"/>
  </r>
  <r>
    <n v="646"/>
    <x v="221"/>
    <x v="221"/>
    <x v="209"/>
    <x v="1"/>
    <s v="DAVID LIM"/>
    <n v="629"/>
    <s v="ISO 14001"/>
    <s v="Supplier"/>
    <d v="2012-09-16T00:00:00"/>
    <x v="783"/>
    <s v="Telefield_ISO14001_16Mar2012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x v="15"/>
    <x v="1"/>
    <m/>
    <x v="54"/>
  </r>
  <r>
    <n v="645"/>
    <x v="221"/>
    <x v="221"/>
    <x v="209"/>
    <x v="1"/>
    <s v="DAVID LIM"/>
    <n v="628"/>
    <s v="ISO 9001"/>
    <s v="Supplier"/>
    <d v="2010-11-15T00:00:00"/>
    <x v="784"/>
    <s v="Telefield_ISO9001_15Nov2010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x v="15"/>
    <x v="1"/>
    <m/>
    <x v="54"/>
  </r>
  <r>
    <n v="642"/>
    <x v="221"/>
    <x v="221"/>
    <x v="209"/>
    <x v="1"/>
    <s v="DAVID LIM"/>
    <n v="625"/>
    <s v="LOC (Letter of Confidentiality)"/>
    <s v="Product / Project"/>
    <m/>
    <x v="32"/>
    <s v="Telefield LOC_Tokyo_10Oct2011.pdf"/>
    <s v=".pdf"/>
    <d v="2014-03-19T00:00:00"/>
    <s v="as\afok"/>
    <m/>
    <m/>
    <x v="0"/>
    <x v="0"/>
    <x v="0"/>
    <x v="0"/>
    <s v="Tokyo"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x v="15"/>
    <x v="1"/>
    <m/>
    <x v="54"/>
  </r>
  <r>
    <n v="643"/>
    <x v="221"/>
    <x v="221"/>
    <x v="209"/>
    <x v="1"/>
    <s v="DAVID LIM"/>
    <n v="626"/>
    <s v="LOC (Letter of Confidentiality)"/>
    <s v="Product / Project"/>
    <m/>
    <x v="32"/>
    <s v="Telefield LOC_ROME_10Oct2011.pdf"/>
    <s v=".pdf"/>
    <d v="2014-03-19T00:00:00"/>
    <s v="as\afok"/>
    <m/>
    <m/>
    <x v="0"/>
    <x v="0"/>
    <x v="0"/>
    <x v="0"/>
    <s v="Rome"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x v="15"/>
    <x v="1"/>
    <m/>
    <x v="54"/>
  </r>
  <r>
    <n v="648"/>
    <x v="221"/>
    <x v="221"/>
    <x v="209"/>
    <x v="1"/>
    <s v="DAVID LIM"/>
    <n v="631"/>
    <s v="LOC (Letter of Confidentiality)"/>
    <s v="Supplier"/>
    <m/>
    <x v="785"/>
    <s v="Telefield_LOC_30Nov2010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x v="15"/>
    <x v="1"/>
    <m/>
    <x v="54"/>
  </r>
  <r>
    <n v="641"/>
    <x v="221"/>
    <x v="221"/>
    <x v="209"/>
    <x v="1"/>
    <s v="DAVID LIM"/>
    <n v="624"/>
    <s v="LOC (Letter of Confidentiality)"/>
    <s v="Product / Project"/>
    <m/>
    <x v="370"/>
    <s v="Telefield_LOC_GTO-3.pdf"/>
    <s v=".pdf"/>
    <d v="2014-03-19T00:00:00"/>
    <s v="as\afok"/>
    <m/>
    <m/>
    <x v="0"/>
    <x v="0"/>
    <x v="0"/>
    <x v="0"/>
    <s v="GTO-3"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x v="15"/>
    <x v="1"/>
    <m/>
    <x v="54"/>
  </r>
  <r>
    <n v="647"/>
    <x v="221"/>
    <x v="221"/>
    <x v="209"/>
    <x v="1"/>
    <s v="DAVID LIM"/>
    <n v="630"/>
    <s v="Other business certifications (ex : FSC for Packaging)"/>
    <s v="Supplier"/>
    <d v="2011-11-13T00:00:00"/>
    <x v="177"/>
    <s v="Telefield_ISO13485_22Mar2010.pdf"/>
    <s v=".pdf"/>
    <d v="2014-03-19T00:00:00"/>
    <s v="as\afok"/>
    <s v="ISO 13485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x v="15"/>
    <x v="1"/>
    <m/>
    <x v="54"/>
  </r>
  <r>
    <n v="644"/>
    <x v="221"/>
    <x v="221"/>
    <x v="209"/>
    <x v="1"/>
    <s v="DAVID LIM"/>
    <n v="627"/>
    <s v="Responsible Purchasing Charter"/>
    <s v="Supplier"/>
    <m/>
    <x v="320"/>
    <s v="Telefield_Responsible_Purchasing_Charter_14Aug12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x v="15"/>
    <x v="1"/>
    <m/>
    <x v="54"/>
  </r>
  <r>
    <n v="656"/>
    <x v="221"/>
    <x v="221"/>
    <x v="209"/>
    <x v="1"/>
    <s v="DAVID LIM"/>
    <n v="639"/>
    <s v="SEF"/>
    <s v="Supplier"/>
    <m/>
    <x v="123"/>
    <s v="Telefield_SEF_2012.xls"/>
    <s v=".xls"/>
    <d v="2014-03-19T00:00:00"/>
    <s v="as\afok"/>
    <m/>
    <s v="2012"/>
    <x v="0"/>
    <x v="0"/>
    <x v="0"/>
    <x v="0"/>
    <m/>
    <m/>
    <m/>
    <m/>
    <n v="88"/>
    <m/>
    <m/>
    <m/>
    <m/>
    <m/>
    <m/>
    <m/>
    <m/>
    <m/>
    <m/>
    <m/>
    <s v="CP Panel"/>
    <x v="0"/>
    <x v="0"/>
    <x v="1"/>
    <x v="7"/>
    <m/>
    <m/>
    <m/>
    <n v="1"/>
    <n v="1"/>
    <m/>
    <m/>
    <s v="CP"/>
    <m/>
    <s v="MOULD"/>
    <x v="15"/>
    <x v="1"/>
    <m/>
    <x v="54"/>
  </r>
  <r>
    <n v="640"/>
    <x v="221"/>
    <x v="221"/>
    <x v="209"/>
    <x v="1"/>
    <s v="DAVID LIM"/>
    <n v="623"/>
    <s v="SEF"/>
    <s v="Supplier"/>
    <m/>
    <x v="117"/>
    <s v="Telefield_SEF_2013-1.xlsx"/>
    <s v=".xlsx"/>
    <d v="2014-03-19T00:00:00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x v="15"/>
    <x v="1"/>
    <m/>
    <x v="54"/>
  </r>
  <r>
    <n v="655"/>
    <x v="221"/>
    <x v="221"/>
    <x v="209"/>
    <x v="1"/>
    <s v="DAVID LIM"/>
    <n v="638"/>
    <s v="SEF"/>
    <s v="Supplier"/>
    <m/>
    <x v="107"/>
    <s v="Telefield_SEF 2012 Nov.xls"/>
    <s v=".xls"/>
    <d v="2014-03-19T00:00:00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x v="15"/>
    <x v="1"/>
    <m/>
    <x v="54"/>
  </r>
  <r>
    <n v="639"/>
    <x v="221"/>
    <x v="221"/>
    <x v="209"/>
    <x v="1"/>
    <s v="DAVID LIM"/>
    <n v="622"/>
    <s v="SIF"/>
    <s v="Supplier"/>
    <m/>
    <x v="786"/>
    <s v="Telefield_SIF 2013.xls"/>
    <s v=".xls"/>
    <d v="2014-03-19T00:00:00"/>
    <s v="as\afok"/>
    <m/>
    <s v="2013"/>
    <x v="0"/>
    <x v="0"/>
    <x v="0"/>
    <x v="0"/>
    <m/>
    <m/>
    <m/>
    <m/>
    <m/>
    <n v="2013"/>
    <m/>
    <m/>
    <n v="167000000"/>
    <n v="148000000"/>
    <n v="90000000"/>
    <m/>
    <m/>
    <n v="3.23"/>
    <n v="2.4300000000000002"/>
    <n v="0.59"/>
    <s v="CP Panel"/>
    <x v="0"/>
    <x v="0"/>
    <x v="1"/>
    <x v="7"/>
    <m/>
    <m/>
    <m/>
    <n v="1"/>
    <m/>
    <m/>
    <m/>
    <s v="CP"/>
    <m/>
    <s v="MOULD"/>
    <x v="15"/>
    <x v="1"/>
    <m/>
    <x v="54"/>
  </r>
  <r>
    <n v="654"/>
    <x v="221"/>
    <x v="221"/>
    <x v="209"/>
    <x v="1"/>
    <s v="DAVID LIM"/>
    <n v="637"/>
    <s v="SPR"/>
    <s v="Supplier"/>
    <m/>
    <x v="115"/>
    <s v="Telefield_SPR_OCT2012.ppt"/>
    <s v=".ppt"/>
    <d v="2014-03-19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x v="15"/>
    <x v="1"/>
    <m/>
    <x v="54"/>
  </r>
  <r>
    <n v="907"/>
    <x v="222"/>
    <x v="222"/>
    <x v="210"/>
    <x v="1"/>
    <s v="DOUGLAS LAM"/>
    <n v="885"/>
    <s v="Contract: General Contract"/>
    <s v="Supplier"/>
    <m/>
    <x v="787"/>
    <s v="Thermaster_Purchase_Agreement_2009.pdf"/>
    <s v=".pdf"/>
    <d v="2014-03-21T00:00:00"/>
    <s v="as\afok"/>
    <m/>
    <s v="V5"/>
    <x v="2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n v="1"/>
    <m/>
    <m/>
    <n v="1"/>
    <m/>
    <m/>
    <m/>
    <s v="CP"/>
    <m/>
    <m/>
    <x v="2"/>
    <x v="1"/>
    <m/>
    <x v="16"/>
  </r>
  <r>
    <n v="894"/>
    <x v="222"/>
    <x v="222"/>
    <x v="210"/>
    <x v="1"/>
    <s v="DOUGLAS LAM"/>
    <n v="872"/>
    <s v="Contract: General Contract"/>
    <s v="Supplier"/>
    <m/>
    <x v="788"/>
    <s v="Supply-Agreement_Thermaster_11Dec2013.pdf"/>
    <s v=".pdf"/>
    <d v="2014-03-21T00:00:00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n v="1"/>
    <m/>
    <m/>
    <n v="1"/>
    <m/>
    <m/>
    <m/>
    <s v="CP"/>
    <m/>
    <m/>
    <x v="2"/>
    <x v="1"/>
    <m/>
    <x v="16"/>
  </r>
  <r>
    <n v="908"/>
    <x v="222"/>
    <x v="222"/>
    <x v="210"/>
    <x v="1"/>
    <s v="DOUGLAS LAM"/>
    <n v="886"/>
    <s v="Contract: Quality Appendix"/>
    <s v="Supplier"/>
    <m/>
    <x v="787"/>
    <s v="Thermaster_Purchase_Agreement_2009.pdf"/>
    <s v=".pdf"/>
    <d v="2014-03-21T00:00:00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5"/>
    <m/>
    <n v="1"/>
    <m/>
    <n v="1"/>
    <n v="1"/>
    <m/>
    <m/>
    <s v="CP"/>
    <m/>
    <m/>
    <x v="2"/>
    <x v="1"/>
    <m/>
    <x v="16"/>
  </r>
  <r>
    <n v="896"/>
    <x v="222"/>
    <x v="222"/>
    <x v="210"/>
    <x v="1"/>
    <s v="DOUGLAS LAM"/>
    <n v="874"/>
    <s v="Contract: Quality Appendix"/>
    <s v="Supplier"/>
    <m/>
    <x v="705"/>
    <s v="Supply-Agreement_Thermaster_11Dec2013.pdf"/>
    <s v=".pdf"/>
    <d v="2014-03-21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5"/>
    <m/>
    <n v="1"/>
    <m/>
    <n v="1"/>
    <m/>
    <m/>
    <m/>
    <s v="CP"/>
    <m/>
    <m/>
    <x v="2"/>
    <x v="1"/>
    <m/>
    <x v="16"/>
  </r>
  <r>
    <n v="904"/>
    <x v="222"/>
    <x v="222"/>
    <x v="210"/>
    <x v="1"/>
    <s v="DOUGLAS LAM"/>
    <n v="882"/>
    <s v="Contract: Quality Appendix"/>
    <s v="Supplier"/>
    <m/>
    <x v="154"/>
    <s v="THERMASTER_Quality Appendix_17_Aug_2012.pdf"/>
    <s v=".pdf"/>
    <d v="2014-03-21T00:00:00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5"/>
    <m/>
    <n v="1"/>
    <m/>
    <n v="1"/>
    <m/>
    <m/>
    <m/>
    <s v="CP"/>
    <m/>
    <m/>
    <x v="2"/>
    <x v="1"/>
    <m/>
    <x v="16"/>
  </r>
  <r>
    <n v="897"/>
    <x v="222"/>
    <x v="222"/>
    <x v="210"/>
    <x v="1"/>
    <s v="DOUGLAS LAM"/>
    <n v="875"/>
    <s v="Contract: Supply Chain Appendix"/>
    <s v="Supplier"/>
    <m/>
    <x v="789"/>
    <s v="Supply-Agreement_Thermaster_11Dec2013.pdf"/>
    <s v=".pdf"/>
    <d v="2014-03-21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5"/>
    <m/>
    <m/>
    <n v="1"/>
    <n v="1"/>
    <m/>
    <m/>
    <m/>
    <s v="CP"/>
    <m/>
    <m/>
    <x v="2"/>
    <x v="1"/>
    <m/>
    <x v="16"/>
  </r>
  <r>
    <n v="895"/>
    <x v="222"/>
    <x v="222"/>
    <x v="210"/>
    <x v="1"/>
    <s v="DOUGLAS LAM"/>
    <n v="873"/>
    <s v="Environmental Declaration"/>
    <s v="Supplier"/>
    <m/>
    <x v="705"/>
    <s v="Supply-Agreement_Thermaster_11Dec2013.pdf"/>
    <s v=".pdf"/>
    <d v="2014-03-21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x v="2"/>
    <x v="1"/>
    <m/>
    <x v="16"/>
  </r>
  <r>
    <n v="901"/>
    <x v="222"/>
    <x v="222"/>
    <x v="210"/>
    <x v="1"/>
    <s v="DOUGLAS LAM"/>
    <n v="879"/>
    <s v="ISO 9001"/>
    <s v="Supplier"/>
    <d v="2012-11-08T00:00:00"/>
    <x v="790"/>
    <s v="Thermaster_ISO9001_11Dec2009.jpg"/>
    <s v=".jpg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x v="2"/>
    <x v="1"/>
    <m/>
    <x v="16"/>
  </r>
  <r>
    <n v="902"/>
    <x v="222"/>
    <x v="222"/>
    <x v="210"/>
    <x v="1"/>
    <s v="DOUGLAS LAM"/>
    <n v="880"/>
    <s v="Responsible Purchasing Charter"/>
    <s v="Supplier"/>
    <m/>
    <x v="235"/>
    <s v="Thermaster_Responsible_Purchasing_Charter_02Aug12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x v="2"/>
    <x v="1"/>
    <m/>
    <x v="16"/>
  </r>
  <r>
    <n v="903"/>
    <x v="222"/>
    <x v="222"/>
    <x v="210"/>
    <x v="1"/>
    <s v="DOUGLAS LAM"/>
    <n v="881"/>
    <s v="SEF"/>
    <s v="Supplier"/>
    <m/>
    <x v="791"/>
    <s v="SEF_Thermaster_2012_1st.xlsx"/>
    <s v=".xlsx"/>
    <d v="2014-03-21T00:00:00"/>
    <s v="as\afok"/>
    <m/>
    <s v="2012"/>
    <x v="0"/>
    <x v="0"/>
    <x v="0"/>
    <x v="0"/>
    <m/>
    <m/>
    <m/>
    <m/>
    <n v="86"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x v="2"/>
    <x v="1"/>
    <m/>
    <x v="16"/>
  </r>
  <r>
    <n v="898"/>
    <x v="222"/>
    <x v="222"/>
    <x v="210"/>
    <x v="1"/>
    <s v="DOUGLAS LAM"/>
    <n v="876"/>
    <s v="SEF"/>
    <s v="Supplier"/>
    <m/>
    <x v="9"/>
    <s v="Thermaster SEF 2013-Designer-20130601-89.xlsx"/>
    <s v=".xlsx"/>
    <d v="2014-03-21T00:00:00"/>
    <s v="as\afok"/>
    <m/>
    <s v="2013"/>
    <x v="0"/>
    <x v="0"/>
    <x v="0"/>
    <x v="0"/>
    <m/>
    <m/>
    <m/>
    <m/>
    <n v="89"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x v="2"/>
    <x v="1"/>
    <m/>
    <x v="16"/>
  </r>
  <r>
    <n v="905"/>
    <x v="222"/>
    <x v="222"/>
    <x v="210"/>
    <x v="1"/>
    <s v="DOUGLAS LAM"/>
    <n v="883"/>
    <s v="SEF"/>
    <s v="Supplier"/>
    <m/>
    <x v="792"/>
    <s v="SEF - Thermaster_2012.xlsx"/>
    <s v=".xlsx"/>
    <d v="2014-03-21T00:00:00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x v="2"/>
    <x v="1"/>
    <m/>
    <x v="16"/>
  </r>
  <r>
    <n v="900"/>
    <x v="222"/>
    <x v="222"/>
    <x v="210"/>
    <x v="1"/>
    <s v="DOUGLAS LAM"/>
    <n v="878"/>
    <s v="SIF"/>
    <s v="Supplier"/>
    <m/>
    <x v="172"/>
    <s v="Thermaster_SIF 2013.xlsx"/>
    <s v=".xlsx"/>
    <d v="2014-03-21T00:00:00"/>
    <s v="as\afok"/>
    <m/>
    <s v="2013"/>
    <x v="0"/>
    <x v="0"/>
    <x v="0"/>
    <x v="0"/>
    <m/>
    <m/>
    <m/>
    <m/>
    <m/>
    <n v="2013"/>
    <n v="34694000"/>
    <n v="31540000"/>
    <n v="28890000"/>
    <n v="28170000"/>
    <n v="24400000"/>
    <m/>
    <m/>
    <m/>
    <m/>
    <m/>
    <s v="CP Panel"/>
    <x v="0"/>
    <x v="0"/>
    <x v="1"/>
    <x v="5"/>
    <m/>
    <m/>
    <m/>
    <n v="1"/>
    <m/>
    <m/>
    <m/>
    <s v="CP"/>
    <m/>
    <m/>
    <x v="2"/>
    <x v="1"/>
    <m/>
    <x v="16"/>
  </r>
  <r>
    <n v="906"/>
    <x v="222"/>
    <x v="222"/>
    <x v="210"/>
    <x v="1"/>
    <s v="DOUGLAS LAM"/>
    <n v="884"/>
    <s v="SPR"/>
    <s v="Supplier"/>
    <m/>
    <x v="439"/>
    <s v="THERMASTER_SPR_APR_2011.pptx"/>
    <s v=".pptx"/>
    <d v="2014-03-21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x v="2"/>
    <x v="1"/>
    <m/>
    <x v="16"/>
  </r>
  <r>
    <n v="899"/>
    <x v="222"/>
    <x v="222"/>
    <x v="210"/>
    <x v="1"/>
    <s v="DOUGLAS LAM"/>
    <n v="877"/>
    <s v="SSR"/>
    <s v="Supplier"/>
    <m/>
    <x v="596"/>
    <s v="Thermaster_SSR_20130711.pptx"/>
    <s v=".pptx"/>
    <d v="2014-03-21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x v="2"/>
    <x v="1"/>
    <m/>
    <x v="16"/>
  </r>
  <r>
    <n v="912"/>
    <x v="223"/>
    <x v="223"/>
    <x v="211"/>
    <x v="1"/>
    <s v="DOUGLAS LAM"/>
    <n v="890"/>
    <s v="Contract: General Contract"/>
    <s v="Supplier"/>
    <m/>
    <x v="793"/>
    <s v="Thermokey_Agreement_JUL2012.tif"/>
    <s v=".tif"/>
    <d v="2014-03-21T00:00:00"/>
    <s v="as\afok"/>
    <m/>
    <s v="V7"/>
    <x v="7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x v="2"/>
    <x v="1"/>
    <m/>
    <x v="16"/>
  </r>
  <r>
    <n v="914"/>
    <x v="223"/>
    <x v="223"/>
    <x v="211"/>
    <x v="1"/>
    <s v="DOUGLAS LAM"/>
    <n v="892"/>
    <s v="Contract: Quality Appendix"/>
    <s v="Supplier"/>
    <m/>
    <x v="376"/>
    <s v="Thermokey_Agreement_JUL2012.tif"/>
    <s v=".tif"/>
    <d v="2014-03-21T00:00:00"/>
    <s v="as\afok"/>
    <m/>
    <m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x v="2"/>
    <x v="1"/>
    <m/>
    <x v="16"/>
  </r>
  <r>
    <n v="915"/>
    <x v="223"/>
    <x v="223"/>
    <x v="211"/>
    <x v="1"/>
    <s v="DOUGLAS LAM"/>
    <n v="893"/>
    <s v="Contract: Supply Chain Appendix"/>
    <s v="Supplier"/>
    <m/>
    <x v="376"/>
    <s v="Thermokey_Agreement_JUL2012.tif"/>
    <s v=".tif"/>
    <d v="2014-03-21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x v="2"/>
    <x v="1"/>
    <m/>
    <x v="16"/>
  </r>
  <r>
    <n v="916"/>
    <x v="223"/>
    <x v="223"/>
    <x v="211"/>
    <x v="1"/>
    <s v="DOUGLAS LAM"/>
    <n v="894"/>
    <s v="Declaration letter of group organization"/>
    <s v="Supplier"/>
    <m/>
    <x v="387"/>
    <s v="Thermokey_Agreement_JUL2012.tif"/>
    <s v=".ti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6"/>
  </r>
  <r>
    <n v="919"/>
    <x v="223"/>
    <x v="223"/>
    <x v="211"/>
    <x v="1"/>
    <s v="DOUGLAS LAM"/>
    <n v="897"/>
    <s v="Environmental Declaration"/>
    <s v="Supplier"/>
    <m/>
    <x v="14"/>
    <s v="Thermonkey_EnvDeclaration2011.pdf"/>
    <s v=".pdf"/>
    <d v="2014-03-21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n v="1"/>
    <m/>
    <m/>
    <s v="CP"/>
    <m/>
    <m/>
    <x v="2"/>
    <x v="1"/>
    <m/>
    <x v="16"/>
  </r>
  <r>
    <n v="913"/>
    <x v="223"/>
    <x v="223"/>
    <x v="211"/>
    <x v="1"/>
    <s v="DOUGLAS LAM"/>
    <n v="891"/>
    <s v="Environmental Declaration"/>
    <s v="Supplier"/>
    <m/>
    <x v="793"/>
    <s v="Thermokey_Agreement_JUL2012.tif"/>
    <s v=".tif"/>
    <d v="2014-03-21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6"/>
  </r>
  <r>
    <n v="910"/>
    <x v="223"/>
    <x v="223"/>
    <x v="211"/>
    <x v="1"/>
    <s v="DOUGLAS LAM"/>
    <n v="888"/>
    <s v="Responsible Purchasing Charter"/>
    <s v="Supplier"/>
    <m/>
    <x v="235"/>
    <s v="THERMOKEY_Responsible_Purchasing_Charter_02Aug12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6"/>
  </r>
  <r>
    <n v="917"/>
    <x v="223"/>
    <x v="223"/>
    <x v="211"/>
    <x v="1"/>
    <s v="DOUGLAS LAM"/>
    <n v="895"/>
    <s v="SEF"/>
    <s v="Supplier"/>
    <m/>
    <x v="10"/>
    <s v="Thermokey_SEF_2012.xlsx"/>
    <s v=".xlsx"/>
    <d v="2014-03-21T00:00:00"/>
    <s v="as\afok"/>
    <m/>
    <s v="2012"/>
    <x v="0"/>
    <x v="0"/>
    <x v="0"/>
    <x v="0"/>
    <m/>
    <m/>
    <m/>
    <m/>
    <n v="72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6"/>
  </r>
  <r>
    <n v="909"/>
    <x v="223"/>
    <x v="223"/>
    <x v="211"/>
    <x v="1"/>
    <s v="DOUGLAS LAM"/>
    <n v="887"/>
    <s v="SEF"/>
    <s v="Supplier"/>
    <m/>
    <x v="9"/>
    <s v="Thermokey SEF 2013-Manufacturer-20130601-75.xlsx"/>
    <s v=".xlsx"/>
    <d v="2014-03-21T00:00:00"/>
    <s v="as\afok"/>
    <m/>
    <s v="2013"/>
    <x v="0"/>
    <x v="0"/>
    <x v="0"/>
    <x v="0"/>
    <m/>
    <m/>
    <m/>
    <m/>
    <n v="75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16"/>
  </r>
  <r>
    <n v="918"/>
    <x v="223"/>
    <x v="223"/>
    <x v="211"/>
    <x v="1"/>
    <s v="DOUGLAS LAM"/>
    <n v="896"/>
    <s v="SIF"/>
    <s v="Supplier"/>
    <m/>
    <x v="12"/>
    <s v="Thermokey_SIF2012_6Mar12.xlsx"/>
    <s v=".xlsx"/>
    <d v="2014-03-21T00:00:00"/>
    <s v="as\afok"/>
    <m/>
    <s v="2012"/>
    <x v="0"/>
    <x v="0"/>
    <x v="0"/>
    <x v="0"/>
    <m/>
    <m/>
    <m/>
    <m/>
    <m/>
    <n v="2012"/>
    <n v="300000"/>
    <n v="283407.08"/>
    <n v="378938.5"/>
    <n v="276837.59999999998"/>
    <n v="282422.09999999998"/>
    <n v="30"/>
    <n v="28"/>
    <n v="35"/>
    <n v="28"/>
    <n v="30"/>
    <s v="CP Panel"/>
    <x v="0"/>
    <x v="0"/>
    <x v="1"/>
    <x v="1"/>
    <m/>
    <m/>
    <m/>
    <n v="1"/>
    <m/>
    <m/>
    <m/>
    <s v="CP"/>
    <m/>
    <m/>
    <x v="2"/>
    <x v="1"/>
    <m/>
    <x v="16"/>
  </r>
  <r>
    <n v="911"/>
    <x v="223"/>
    <x v="223"/>
    <x v="211"/>
    <x v="1"/>
    <s v="DOUGLAS LAM"/>
    <n v="889"/>
    <s v="SIF"/>
    <s v="Supplier"/>
    <m/>
    <x v="477"/>
    <s v="Thermokey_SIF 2013.xlsx"/>
    <s v=".xlsx"/>
    <d v="2014-03-21T00:00:00"/>
    <s v="as\afok"/>
    <m/>
    <s v="2013"/>
    <x v="0"/>
    <x v="0"/>
    <x v="0"/>
    <x v="0"/>
    <m/>
    <m/>
    <m/>
    <m/>
    <m/>
    <n v="2013"/>
    <n v="700000"/>
    <n v="498991"/>
    <n v="506403"/>
    <n v="498602"/>
    <n v="364260"/>
    <n v="40"/>
    <n v="35"/>
    <n v="40"/>
    <n v="35"/>
    <n v="28"/>
    <s v="CP Panel"/>
    <x v="0"/>
    <x v="0"/>
    <x v="1"/>
    <x v="1"/>
    <m/>
    <m/>
    <m/>
    <n v="1"/>
    <m/>
    <m/>
    <m/>
    <s v="CP"/>
    <m/>
    <m/>
    <x v="2"/>
    <x v="1"/>
    <m/>
    <x v="16"/>
  </r>
  <r>
    <n v="1753"/>
    <x v="224"/>
    <x v="224"/>
    <x v="212"/>
    <x v="5"/>
    <s v="JOHN YAN"/>
    <n v="1710"/>
    <s v="Contract: General Contract"/>
    <s v="Supplier"/>
    <m/>
    <x v="441"/>
    <s v="Tianbo_Supply Agreement_31Mar2012.pdf"/>
    <s v=".pdf"/>
    <d v="2014-04-08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8"/>
  </r>
  <r>
    <n v="1796"/>
    <x v="224"/>
    <x v="224"/>
    <x v="212"/>
    <x v="5"/>
    <s v="JOHN YAN"/>
    <n v="1753"/>
    <s v="Contract: Quality Appendix"/>
    <m/>
    <m/>
    <x v="53"/>
    <s v="Tianbo_Supply Agreement_31Mar2012.pdf"/>
    <s v=".pdf"/>
    <d v="2014-04-09T00:00:00"/>
    <s v="as\afok"/>
    <m/>
    <s v="V4"/>
    <x v="0"/>
    <x v="0"/>
    <x v="0"/>
    <x v="9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8"/>
  </r>
  <r>
    <n v="1797"/>
    <x v="224"/>
    <x v="224"/>
    <x v="212"/>
    <x v="5"/>
    <s v="JOHN YAN"/>
    <n v="1754"/>
    <s v="Contract: Supply Chain Appendix"/>
    <m/>
    <m/>
    <x v="53"/>
    <s v="Tianbo_Supply Agreement_31Mar2012.pdf"/>
    <s v=".pdf"/>
    <d v="2014-04-09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8"/>
  </r>
  <r>
    <n v="1798"/>
    <x v="224"/>
    <x v="224"/>
    <x v="212"/>
    <x v="5"/>
    <s v="JOHN YAN"/>
    <n v="1755"/>
    <s v="Declaration letter of group organization"/>
    <m/>
    <m/>
    <x v="540"/>
    <s v="Tianbo_Supply Agreement_31Mar2012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x v="2"/>
    <x v="1"/>
    <m/>
    <x v="8"/>
  </r>
  <r>
    <n v="1749"/>
    <x v="224"/>
    <x v="224"/>
    <x v="212"/>
    <x v="5"/>
    <s v="JOHN YAN"/>
    <n v="1706"/>
    <s v="Environmental Declaration"/>
    <s v="Supplier"/>
    <m/>
    <x v="794"/>
    <s v="TIAN BO_Env_Declaration_20110531.xls"/>
    <s v=".xls"/>
    <d v="2014-04-08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8"/>
  </r>
  <r>
    <n v="1795"/>
    <x v="224"/>
    <x v="224"/>
    <x v="212"/>
    <x v="5"/>
    <s v="JOHN YAN"/>
    <n v="1752"/>
    <s v="ISO 14001"/>
    <s v="Supplier"/>
    <d v="2014-12-07T00:00:00"/>
    <x v="795"/>
    <s v="Tianbo_Supply Agreement_31Mar2012.pdf"/>
    <s v=".pdf"/>
    <d v="2014-04-09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8"/>
  </r>
  <r>
    <n v="1750"/>
    <x v="224"/>
    <x v="224"/>
    <x v="212"/>
    <x v="5"/>
    <s v="JOHN YAN"/>
    <n v="1707"/>
    <s v="LOC (Letter of Confidentiality)"/>
    <s v="Supplier"/>
    <m/>
    <x v="796"/>
    <s v="LOC_Ningbo_Tianbo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8"/>
  </r>
  <r>
    <n v="1752"/>
    <x v="224"/>
    <x v="224"/>
    <x v="212"/>
    <x v="5"/>
    <s v="JOHN YAN"/>
    <n v="1709"/>
    <s v="Responsible Purchasing Charter"/>
    <s v="Supplier"/>
    <m/>
    <x v="8"/>
    <s v="Tianbo_Responsible Purchaser Charter_9Aug2012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8"/>
  </r>
  <r>
    <n v="1751"/>
    <x v="224"/>
    <x v="224"/>
    <x v="212"/>
    <x v="5"/>
    <s v="JOHN YAN"/>
    <n v="1708"/>
    <s v="SEF"/>
    <s v="Supplier"/>
    <m/>
    <x v="440"/>
    <s v="Tianbo_SEF_Jun2012.xlsx"/>
    <s v=".xlsx"/>
    <d v="2014-04-08T00:00:00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8"/>
  </r>
  <r>
    <n v="1793"/>
    <x v="224"/>
    <x v="224"/>
    <x v="212"/>
    <x v="5"/>
    <s v="JOHN YAN"/>
    <n v="1750"/>
    <s v="SIF"/>
    <s v="Supplier"/>
    <m/>
    <x v="199"/>
    <s v="Tianbo_SIF_17Apr2012.xls"/>
    <s v=".xls"/>
    <d v="2014-04-09T00:00:00"/>
    <s v="as\afok"/>
    <m/>
    <s v="2012"/>
    <x v="0"/>
    <x v="0"/>
    <x v="0"/>
    <x v="0"/>
    <m/>
    <m/>
    <m/>
    <m/>
    <m/>
    <n v="2012"/>
    <n v="41000000"/>
    <n v="38000000"/>
    <n v="35000000"/>
    <n v="30000000"/>
    <n v="25000000"/>
    <n v="0.01"/>
    <n v="8.9999999999999993E-3"/>
    <n v="8.0000000000000002E-3"/>
    <n v="6.0000000000000001E-3"/>
    <n v="5.0000000000000001E-3"/>
    <s v="CP Panel"/>
    <x v="0"/>
    <x v="0"/>
    <x v="1"/>
    <x v="3"/>
    <m/>
    <m/>
    <m/>
    <n v="1"/>
    <m/>
    <m/>
    <m/>
    <s v="CP"/>
    <m/>
    <m/>
    <x v="2"/>
    <x v="1"/>
    <m/>
    <x v="8"/>
  </r>
  <r>
    <n v="1747"/>
    <x v="224"/>
    <x v="224"/>
    <x v="212"/>
    <x v="5"/>
    <s v="JOHN YAN"/>
    <n v="1704"/>
    <s v="SIF"/>
    <s v="Supplier"/>
    <m/>
    <x v="114"/>
    <s v="TIANBO_SIF_20140218.xlsx"/>
    <s v=".xlsx"/>
    <d v="2014-04-08T00:00:00"/>
    <s v="as\afok"/>
    <m/>
    <s v="2014"/>
    <x v="0"/>
    <x v="0"/>
    <x v="0"/>
    <x v="0"/>
    <m/>
    <m/>
    <m/>
    <m/>
    <m/>
    <n v="2014"/>
    <n v="49000000"/>
    <n v="42000000"/>
    <n v="38000000"/>
    <n v="35000000"/>
    <n v="30000000"/>
    <n v="1"/>
    <n v="1"/>
    <n v="0.9"/>
    <n v="0.8"/>
    <n v="0.6"/>
    <s v="CP Panel"/>
    <x v="0"/>
    <x v="0"/>
    <x v="1"/>
    <x v="3"/>
    <m/>
    <m/>
    <m/>
    <n v="1"/>
    <m/>
    <m/>
    <m/>
    <s v="CP"/>
    <m/>
    <m/>
    <x v="2"/>
    <x v="1"/>
    <m/>
    <x v="8"/>
  </r>
  <r>
    <n v="1794"/>
    <x v="224"/>
    <x v="224"/>
    <x v="212"/>
    <x v="5"/>
    <s v="JOHN YAN"/>
    <n v="1751"/>
    <s v="SPR"/>
    <s v="Supplier"/>
    <m/>
    <x v="137"/>
    <s v="Tianbo_SPR_2012May.pptx"/>
    <s v=".pptx"/>
    <d v="2014-04-09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8"/>
  </r>
  <r>
    <n v="1748"/>
    <x v="224"/>
    <x v="224"/>
    <x v="212"/>
    <x v="5"/>
    <s v="JOHN YAN"/>
    <n v="1705"/>
    <s v="SPR"/>
    <s v="Supplier"/>
    <m/>
    <x v="117"/>
    <s v="Tianbo_SPR_2013.ppt"/>
    <s v=".ppt"/>
    <d v="2014-04-08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8"/>
  </r>
  <r>
    <n v="1145"/>
    <x v="225"/>
    <x v="225"/>
    <x v="213"/>
    <x v="0"/>
    <s v="FELICITY YU"/>
    <n v="1121"/>
    <s v="Contract: General Contract"/>
    <s v="Supplier"/>
    <m/>
    <x v="29"/>
    <s v="Tiffany_General Agreement_17Jul12.pdf"/>
    <s v=".pdf"/>
    <d v="2014-03-25T00:00:00"/>
    <s v="as\afok"/>
    <m/>
    <s v="FHA 00 016 ind.09"/>
    <x v="4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n v="1"/>
    <m/>
    <m/>
    <n v="1"/>
    <m/>
    <m/>
    <s v="FP"/>
    <m/>
    <m/>
    <s v="MOULD"/>
    <x v="13"/>
    <x v="1"/>
    <m/>
    <x v="0"/>
  </r>
  <r>
    <n v="1148"/>
    <x v="225"/>
    <x v="225"/>
    <x v="213"/>
    <x v="0"/>
    <s v="FELICITY YU"/>
    <n v="1124"/>
    <s v="Contract: Quality Appendix"/>
    <s v="Supplier"/>
    <m/>
    <x v="29"/>
    <s v="Tiffany_General Agreement_17Jul12.pdf"/>
    <s v=".pdf"/>
    <d v="2014-03-25T00:00:00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4"/>
    <x v="0"/>
    <x v="0"/>
    <m/>
    <n v="1"/>
    <m/>
    <n v="1"/>
    <m/>
    <m/>
    <s v="FP"/>
    <m/>
    <m/>
    <s v="MOULD"/>
    <x v="13"/>
    <x v="1"/>
    <m/>
    <x v="0"/>
  </r>
  <r>
    <n v="1147"/>
    <x v="225"/>
    <x v="225"/>
    <x v="213"/>
    <x v="0"/>
    <s v="FELICITY YU"/>
    <n v="1123"/>
    <s v="Contract: Supply Chain Appendix"/>
    <s v="Supplier"/>
    <m/>
    <x v="29"/>
    <s v="Tiffany_General Agreement_17Jul12.pdf"/>
    <s v=".pdf"/>
    <d v="2014-03-25T00:00:00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4"/>
    <x v="0"/>
    <x v="0"/>
    <m/>
    <m/>
    <n v="1"/>
    <n v="1"/>
    <m/>
    <m/>
    <s v="FP"/>
    <m/>
    <m/>
    <s v="MOULD"/>
    <x v="13"/>
    <x v="1"/>
    <m/>
    <x v="0"/>
  </r>
  <r>
    <n v="1149"/>
    <x v="225"/>
    <x v="225"/>
    <x v="213"/>
    <x v="0"/>
    <s v="FELICITY YU"/>
    <n v="1125"/>
    <s v="Declaration letter of group organization"/>
    <s v="Supplier"/>
    <m/>
    <x v="112"/>
    <s v="Tiffany_General Agreement_17Jul12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m/>
    <s v="MOULD"/>
    <x v="13"/>
    <x v="1"/>
    <m/>
    <x v="0"/>
  </r>
  <r>
    <n v="1146"/>
    <x v="225"/>
    <x v="225"/>
    <x v="213"/>
    <x v="0"/>
    <s v="FELICITY YU"/>
    <n v="1122"/>
    <s v="Environmental Declaration"/>
    <s v="Supplier"/>
    <m/>
    <x v="29"/>
    <s v="Tiffany_General Agreement_17Jul12.pdf"/>
    <s v=".pdf"/>
    <d v="2014-03-25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m/>
    <s v="MOULD"/>
    <x v="13"/>
    <x v="1"/>
    <m/>
    <x v="0"/>
  </r>
  <r>
    <n v="1143"/>
    <x v="225"/>
    <x v="225"/>
    <x v="213"/>
    <x v="0"/>
    <s v="FELICITY YU"/>
    <n v="1119"/>
    <s v="ISO 14001"/>
    <s v="Supplier"/>
    <d v="2013-10-13T00:00:00"/>
    <x v="336"/>
    <s v="Tiffany_ISO14001_2010-2013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m/>
    <s v="MOULD"/>
    <x v="13"/>
    <x v="1"/>
    <m/>
    <x v="0"/>
  </r>
  <r>
    <n v="1142"/>
    <x v="225"/>
    <x v="225"/>
    <x v="213"/>
    <x v="0"/>
    <s v="FELICITY YU"/>
    <n v="1118"/>
    <s v="LOC (Letter of Confidentiality)"/>
    <s v="Supplier"/>
    <m/>
    <x v="797"/>
    <s v="Tiffany_LOC_7Jul11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m/>
    <s v="MOULD"/>
    <x v="13"/>
    <x v="1"/>
    <m/>
    <x v="0"/>
  </r>
  <r>
    <n v="1152"/>
    <x v="225"/>
    <x v="225"/>
    <x v="213"/>
    <x v="0"/>
    <s v="FELICITY YU"/>
    <n v="1128"/>
    <s v="Responsible Purchasing Charter"/>
    <s v="Supplier"/>
    <m/>
    <x v="524"/>
    <s v="Tiffany_Responsible Purchasing Charter_2Aug12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n v="1"/>
    <m/>
    <s v="FP"/>
    <m/>
    <m/>
    <s v="MOULD"/>
    <x v="13"/>
    <x v="1"/>
    <m/>
    <x v="0"/>
  </r>
  <r>
    <n v="1144"/>
    <x v="225"/>
    <x v="225"/>
    <x v="213"/>
    <x v="0"/>
    <s v="FELICITY YU"/>
    <n v="1120"/>
    <s v="SEF"/>
    <s v="Supplier"/>
    <m/>
    <x v="245"/>
    <s v="SEF 2012 - Tiffany 20120820.xlsx"/>
    <s v=".xlsx"/>
    <d v="2014-03-25T00:00:00"/>
    <s v="as\afok"/>
    <m/>
    <s v="2012"/>
    <x v="0"/>
    <x v="0"/>
    <x v="0"/>
    <x v="0"/>
    <m/>
    <m/>
    <m/>
    <m/>
    <n v="78"/>
    <m/>
    <m/>
    <m/>
    <m/>
    <m/>
    <m/>
    <m/>
    <m/>
    <m/>
    <m/>
    <m/>
    <s v="FP panel"/>
    <x v="1"/>
    <x v="4"/>
    <x v="0"/>
    <x v="0"/>
    <m/>
    <m/>
    <m/>
    <n v="1"/>
    <m/>
    <m/>
    <s v="FP"/>
    <m/>
    <m/>
    <s v="MOULD"/>
    <x v="13"/>
    <x v="1"/>
    <m/>
    <x v="0"/>
  </r>
  <r>
    <n v="1150"/>
    <x v="225"/>
    <x v="225"/>
    <x v="213"/>
    <x v="0"/>
    <s v="FELICITY YU"/>
    <n v="1126"/>
    <s v="SIF"/>
    <s v="Supplier"/>
    <m/>
    <x v="151"/>
    <s v="Tiffany_SIF2012_20120223.xls"/>
    <s v=".xls"/>
    <d v="2014-03-25T00:00:00"/>
    <s v="as\afok"/>
    <m/>
    <s v="2012"/>
    <x v="0"/>
    <x v="0"/>
    <x v="0"/>
    <x v="0"/>
    <m/>
    <m/>
    <m/>
    <m/>
    <m/>
    <n v="2012"/>
    <n v="26500000"/>
    <n v="25000000"/>
    <n v="23000000"/>
    <n v="21000000"/>
    <n v="19500000"/>
    <m/>
    <n v="0.12"/>
    <m/>
    <m/>
    <m/>
    <s v="FP panel"/>
    <x v="1"/>
    <x v="4"/>
    <x v="0"/>
    <x v="0"/>
    <m/>
    <m/>
    <m/>
    <n v="1"/>
    <m/>
    <m/>
    <s v="FP"/>
    <m/>
    <m/>
    <s v="MOULD"/>
    <x v="13"/>
    <x v="1"/>
    <m/>
    <x v="0"/>
  </r>
  <r>
    <n v="1151"/>
    <x v="225"/>
    <x v="225"/>
    <x v="213"/>
    <x v="0"/>
    <s v="FELICITY YU"/>
    <n v="1127"/>
    <s v="SIF"/>
    <s v="Supplier"/>
    <m/>
    <x v="271"/>
    <s v="Tiffany_SIF2013.XLSX"/>
    <s v=".xlsx"/>
    <d v="2014-03-25T00:00:00"/>
    <s v="as\afok"/>
    <m/>
    <s v="2013"/>
    <x v="0"/>
    <x v="0"/>
    <x v="0"/>
    <x v="0"/>
    <m/>
    <m/>
    <m/>
    <m/>
    <m/>
    <n v="2013"/>
    <n v="28500000"/>
    <n v="27000000"/>
    <n v="25000000"/>
    <n v="23000000"/>
    <n v="21000000"/>
    <m/>
    <n v="1.61"/>
    <n v="0.12"/>
    <m/>
    <m/>
    <s v="FP panel"/>
    <x v="1"/>
    <x v="4"/>
    <x v="0"/>
    <x v="0"/>
    <m/>
    <m/>
    <m/>
    <n v="1"/>
    <m/>
    <m/>
    <s v="FP"/>
    <m/>
    <m/>
    <s v="MOULD"/>
    <x v="13"/>
    <x v="1"/>
    <m/>
    <x v="0"/>
  </r>
  <r>
    <n v="1141"/>
    <x v="225"/>
    <x v="225"/>
    <x v="213"/>
    <x v="0"/>
    <s v="FELICITY YU"/>
    <n v="1117"/>
    <s v="SIF"/>
    <s v="Supplier"/>
    <m/>
    <x v="798"/>
    <s v="Tiffany FHA6E502_EN - SIF 2014.XLSX"/>
    <s v=".xlsx"/>
    <d v="2014-03-25T00:00:00"/>
    <s v="as\afok"/>
    <m/>
    <s v="2014"/>
    <x v="0"/>
    <x v="0"/>
    <x v="0"/>
    <x v="0"/>
    <m/>
    <m/>
    <m/>
    <m/>
    <m/>
    <n v="2014"/>
    <n v="30000000"/>
    <n v="28500000"/>
    <n v="27000000"/>
    <n v="25000000"/>
    <n v="23000000"/>
    <m/>
    <n v="1.1200000000000001"/>
    <n v="1.61"/>
    <n v="0.12"/>
    <m/>
    <s v="FP panel"/>
    <x v="1"/>
    <x v="4"/>
    <x v="0"/>
    <x v="0"/>
    <m/>
    <m/>
    <m/>
    <n v="1"/>
    <m/>
    <m/>
    <s v="FP"/>
    <m/>
    <m/>
    <s v="MOULD"/>
    <x v="13"/>
    <x v="1"/>
    <m/>
    <x v="0"/>
  </r>
  <r>
    <n v="950"/>
    <x v="226"/>
    <x v="226"/>
    <x v="214"/>
    <x v="4"/>
    <s v="ERIC KWOK"/>
    <n v="928"/>
    <s v="Environmental Declaration"/>
    <s v="Supplier"/>
    <m/>
    <x v="554"/>
    <s v="TK_Mold_Env_Declaration_03Mar2010.xls"/>
    <s v=".xls"/>
    <d v="2014-03-24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955"/>
    <x v="226"/>
    <x v="226"/>
    <x v="214"/>
    <x v="4"/>
    <s v="ERIC KWOK"/>
    <n v="933"/>
    <s v="ISO 14001"/>
    <s v="Supplier"/>
    <d v="2009-06-27T00:00:00"/>
    <x v="799"/>
    <s v="TK_Mold_ISO14001_English_2009.jpg"/>
    <s v=".jpg"/>
    <d v="2014-03-24T00:00:00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953"/>
    <x v="226"/>
    <x v="226"/>
    <x v="214"/>
    <x v="4"/>
    <s v="ERIC KWOK"/>
    <n v="931"/>
    <s v="ISO 14001"/>
    <s v="Supplier"/>
    <d v="2012-06-25T00:00:00"/>
    <x v="42"/>
    <s v="TK_Mold_ISO14001_25Jun2012.jpg"/>
    <s v=".jpg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954"/>
    <x v="226"/>
    <x v="226"/>
    <x v="214"/>
    <x v="4"/>
    <s v="ERIC KWOK"/>
    <n v="932"/>
    <s v="ISO 14001"/>
    <s v="Supplier"/>
    <d v="2009-06-27T00:00:00"/>
    <x v="799"/>
    <s v="TK_Mold_ISO14001_Chinese_2009.jpg"/>
    <s v=".jpg"/>
    <d v="2014-03-24T00:00:00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951"/>
    <x v="226"/>
    <x v="226"/>
    <x v="214"/>
    <x v="4"/>
    <s v="ERIC KWOK"/>
    <n v="929"/>
    <s v="Responsible Purchasing Charter"/>
    <s v="Supplier"/>
    <m/>
    <x v="242"/>
    <s v="TK_Responsible_Purchasing_Charter_06Aug12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952"/>
    <x v="226"/>
    <x v="226"/>
    <x v="214"/>
    <x v="4"/>
    <s v="ERIC KWOK"/>
    <n v="930"/>
    <s v="SEF"/>
    <s v="Supplier"/>
    <m/>
    <x v="63"/>
    <s v="TK Mold_SEF_May2011_R1.xlsx"/>
    <s v=".xlsx"/>
    <d v="2014-03-24T00:00:00"/>
    <s v="as\afok"/>
    <m/>
    <s v="2011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949"/>
    <x v="226"/>
    <x v="226"/>
    <x v="214"/>
    <x v="4"/>
    <s v="ERIC KWOK"/>
    <n v="927"/>
    <s v="SIF"/>
    <s v="Supplier"/>
    <m/>
    <x v="77"/>
    <s v="TK_SIF2013.xlsx"/>
    <s v=".xlsx"/>
    <d v="2014-03-24T00:00:00"/>
    <s v="as\afok"/>
    <m/>
    <s v="2013"/>
    <x v="0"/>
    <x v="0"/>
    <x v="0"/>
    <x v="0"/>
    <m/>
    <m/>
    <m/>
    <m/>
    <m/>
    <n v="2013"/>
    <n v="67000000"/>
    <n v="55000000"/>
    <n v="47000000"/>
    <n v="33000000"/>
    <n v="30000000"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956"/>
    <x v="226"/>
    <x v="226"/>
    <x v="214"/>
    <x v="4"/>
    <s v="ERIC KWOK"/>
    <n v="934"/>
    <s v="SIF"/>
    <s v="Supplier"/>
    <m/>
    <x v="39"/>
    <s v="TK_SIF2012_20Jul12.xlsx"/>
    <s v=".xlsx"/>
    <d v="2014-03-24T00:00:00"/>
    <s v="as\afok"/>
    <m/>
    <s v="2012"/>
    <x v="0"/>
    <x v="0"/>
    <x v="0"/>
    <x v="0"/>
    <m/>
    <m/>
    <m/>
    <m/>
    <m/>
    <n v="2012"/>
    <n v="53000000"/>
    <n v="47000000"/>
    <n v="33000000"/>
    <n v="30000000"/>
    <n v="27000000"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957"/>
    <x v="226"/>
    <x v="226"/>
    <x v="214"/>
    <x v="4"/>
    <s v="ERIC KWOK"/>
    <n v="935"/>
    <s v="SPR"/>
    <s v="Supplier"/>
    <m/>
    <x v="66"/>
    <s v="SPR_TK Mold June 2011.ppt"/>
    <s v=".ppt"/>
    <d v="2014-03-24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m/>
    <m/>
    <s v="MOULD"/>
    <x v="8"/>
    <x v="1"/>
    <m/>
    <x v="3"/>
  </r>
  <r>
    <n v="658"/>
    <x v="227"/>
    <x v="227"/>
    <x v="215"/>
    <x v="1"/>
    <s v="DAVID LIM"/>
    <n v="641"/>
    <s v="Environmental Declaration"/>
    <s v="Supplier"/>
    <m/>
    <x v="800"/>
    <s v="Tower_Env_Declaration_11Jun2010.xlsx"/>
    <s v=".xlsx"/>
    <d v="2014-03-19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659"/>
    <x v="227"/>
    <x v="227"/>
    <x v="215"/>
    <x v="1"/>
    <s v="DAVID LIM"/>
    <n v="642"/>
    <s v="SEF"/>
    <s v="Supplier"/>
    <m/>
    <x v="594"/>
    <s v="SEF_Tower_2010_04.xlsx"/>
    <s v=".xlsx"/>
    <d v="2014-03-19T00:00:00"/>
    <s v="as\afok"/>
    <m/>
    <s v="2010"/>
    <x v="0"/>
    <x v="0"/>
    <x v="0"/>
    <x v="0"/>
    <m/>
    <m/>
    <m/>
    <m/>
    <n v="96"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657"/>
    <x v="227"/>
    <x v="227"/>
    <x v="215"/>
    <x v="1"/>
    <s v="DAVID LIM"/>
    <n v="640"/>
    <s v="SIF"/>
    <s v="Supplier"/>
    <m/>
    <x v="13"/>
    <s v="Tower_switches_SIF 2013.xls"/>
    <s v=".xls"/>
    <d v="2014-03-19T00:00:00"/>
    <s v="as\afok"/>
    <m/>
    <s v="2013"/>
    <x v="0"/>
    <x v="0"/>
    <x v="0"/>
    <x v="0"/>
    <m/>
    <m/>
    <m/>
    <m/>
    <m/>
    <n v="2013"/>
    <m/>
    <n v="43000000"/>
    <n v="50000000"/>
    <n v="50000000"/>
    <n v="42000000"/>
    <m/>
    <n v="0.66"/>
    <n v="0.28000000000000003"/>
    <n v="0.54"/>
    <n v="0.6"/>
    <m/>
    <x v="0"/>
    <x v="0"/>
    <x v="0"/>
    <x v="0"/>
    <m/>
    <m/>
    <m/>
    <n v="0"/>
    <m/>
    <m/>
    <m/>
    <s v="CP"/>
    <m/>
    <m/>
    <x v="2"/>
    <x v="1"/>
    <m/>
    <x v="8"/>
  </r>
  <r>
    <n v="1159"/>
    <x v="228"/>
    <x v="228"/>
    <x v="216"/>
    <x v="0"/>
    <s v="FELICITY YU"/>
    <n v="1135"/>
    <s v="Contract: General Contract"/>
    <s v="Supplier"/>
    <m/>
    <x v="25"/>
    <s v="Transtek_General Agreement_25Jan2013.pdf"/>
    <s v=".pdf"/>
    <d v="2014-03-26T00:00:00"/>
    <s v="as\afok"/>
    <m/>
    <s v="FHA 00 016 ind.11"/>
    <x v="2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n v="1"/>
    <m/>
    <m/>
    <n v="1"/>
    <m/>
    <m/>
    <s v="FP"/>
    <m/>
    <s v="SP"/>
    <s v="MOULD"/>
    <x v="4"/>
    <x v="1"/>
    <m/>
    <x v="10"/>
  </r>
  <r>
    <n v="1162"/>
    <x v="228"/>
    <x v="228"/>
    <x v="216"/>
    <x v="0"/>
    <s v="FELICITY YU"/>
    <n v="1138"/>
    <s v="Contract: Quality Appendix"/>
    <s v="Supplier"/>
    <m/>
    <x v="25"/>
    <s v="Transtek_General Agreement_25Jan2013.pdf"/>
    <s v=".pdf"/>
    <d v="2014-03-26T00:00:00"/>
    <s v="as\afok"/>
    <m/>
    <m/>
    <x v="0"/>
    <x v="0"/>
    <x v="0"/>
    <x v="5"/>
    <m/>
    <m/>
    <m/>
    <m/>
    <m/>
    <m/>
    <m/>
    <m/>
    <m/>
    <m/>
    <m/>
    <m/>
    <m/>
    <m/>
    <m/>
    <m/>
    <s v="FP panel"/>
    <x v="1"/>
    <x v="4"/>
    <x v="0"/>
    <x v="0"/>
    <m/>
    <n v="1"/>
    <m/>
    <n v="1"/>
    <m/>
    <m/>
    <s v="FP"/>
    <m/>
    <s v="SP"/>
    <s v="MOULD"/>
    <x v="4"/>
    <x v="1"/>
    <m/>
    <x v="10"/>
  </r>
  <r>
    <n v="1161"/>
    <x v="228"/>
    <x v="228"/>
    <x v="216"/>
    <x v="0"/>
    <s v="FELICITY YU"/>
    <n v="1137"/>
    <s v="Contract: Supply Chain Appendix"/>
    <s v="Supplier"/>
    <m/>
    <x v="25"/>
    <s v="Transtek_General Agreement_25Jan2013.pdf"/>
    <s v=".pdf"/>
    <d v="2014-03-26T00:00:00"/>
    <s v="as\afok"/>
    <m/>
    <m/>
    <x v="0"/>
    <x v="16"/>
    <x v="2"/>
    <x v="0"/>
    <m/>
    <m/>
    <m/>
    <m/>
    <m/>
    <m/>
    <m/>
    <m/>
    <m/>
    <m/>
    <m/>
    <m/>
    <m/>
    <m/>
    <m/>
    <m/>
    <s v="FP panel"/>
    <x v="1"/>
    <x v="4"/>
    <x v="0"/>
    <x v="0"/>
    <m/>
    <m/>
    <n v="1"/>
    <n v="1"/>
    <m/>
    <m/>
    <s v="FP"/>
    <m/>
    <s v="SP"/>
    <s v="MOULD"/>
    <x v="4"/>
    <x v="1"/>
    <m/>
    <x v="10"/>
  </r>
  <r>
    <n v="1163"/>
    <x v="228"/>
    <x v="228"/>
    <x v="216"/>
    <x v="0"/>
    <s v="FELICITY YU"/>
    <n v="1139"/>
    <s v="Declaration letter of group organization"/>
    <s v="Supplier"/>
    <m/>
    <x v="801"/>
    <s v="Transtek_General Agreement_25Jan2013.pdf"/>
    <s v=".pdf"/>
    <d v="2014-03-26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s v="MOULD"/>
    <x v="4"/>
    <x v="1"/>
    <m/>
    <x v="10"/>
  </r>
  <r>
    <n v="1160"/>
    <x v="228"/>
    <x v="228"/>
    <x v="216"/>
    <x v="0"/>
    <s v="FELICITY YU"/>
    <n v="1136"/>
    <s v="Environmental Declaration"/>
    <s v="Supplier"/>
    <m/>
    <x v="484"/>
    <s v="Transtek_General Agreement_25Jan2013.pdf"/>
    <s v=".pdf"/>
    <d v="2014-03-26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s v="MOULD"/>
    <x v="4"/>
    <x v="1"/>
    <m/>
    <x v="10"/>
  </r>
  <r>
    <n v="1164"/>
    <x v="228"/>
    <x v="228"/>
    <x v="216"/>
    <x v="0"/>
    <s v="FELICITY YU"/>
    <n v="1140"/>
    <s v="Exclusivity (EA)"/>
    <s v="Supplier"/>
    <m/>
    <x v="260"/>
    <s v="Exclusivity Summary for Transtek.xlsx"/>
    <s v=".xlsx"/>
    <d v="2014-03-26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s v="MOULD"/>
    <x v="4"/>
    <x v="1"/>
    <m/>
    <x v="10"/>
  </r>
  <r>
    <n v="1157"/>
    <x v="228"/>
    <x v="228"/>
    <x v="216"/>
    <x v="0"/>
    <s v="FELICITY YU"/>
    <n v="1133"/>
    <s v="Exclusivity (EA)"/>
    <s v="Product / Project"/>
    <m/>
    <x v="802"/>
    <s v="Transtek_Exclusivity - Bathroom Scale 5268_14Nov12.pdf"/>
    <s v=".pdf"/>
    <d v="2014-03-26T00:00:00"/>
    <s v="as\afok"/>
    <m/>
    <m/>
    <x v="0"/>
    <x v="0"/>
    <x v="0"/>
    <x v="0"/>
    <s v="Bathroom Scale 5268"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s v="MOULD"/>
    <x v="4"/>
    <x v="1"/>
    <m/>
    <x v="10"/>
  </r>
  <r>
    <n v="1158"/>
    <x v="228"/>
    <x v="228"/>
    <x v="216"/>
    <x v="0"/>
    <s v="FELICITY YU"/>
    <n v="1134"/>
    <s v="Exclusivity (EA)"/>
    <s v="Product / Project"/>
    <m/>
    <x v="556"/>
    <s v="Transtek_Exclusivity - Kitchen Scale 5262_6Feb13.pdf"/>
    <s v=".pdf"/>
    <d v="2014-03-26T00:00:00"/>
    <s v="as\afok"/>
    <m/>
    <m/>
    <x v="0"/>
    <x v="0"/>
    <x v="0"/>
    <x v="0"/>
    <s v="Kitchen Scale 5262"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s v="MOULD"/>
    <x v="4"/>
    <x v="1"/>
    <m/>
    <x v="10"/>
  </r>
  <r>
    <n v="1156"/>
    <x v="228"/>
    <x v="228"/>
    <x v="216"/>
    <x v="0"/>
    <s v="FELICITY YU"/>
    <n v="1132"/>
    <s v="IP (Intellectual Property)"/>
    <s v="Product / Project"/>
    <m/>
    <x v="556"/>
    <s v="Transtek_Exclusivity - Kitchen Scale 5262_6Feb13.pdf"/>
    <s v=".pdf"/>
    <d v="2014-03-26T00:00:00"/>
    <s v="as\afok"/>
    <m/>
    <m/>
    <x v="0"/>
    <x v="0"/>
    <x v="0"/>
    <x v="0"/>
    <s v="Kitchen Scale 5262"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s v="MOULD"/>
    <x v="4"/>
    <x v="1"/>
    <m/>
    <x v="10"/>
  </r>
  <r>
    <n v="1155"/>
    <x v="228"/>
    <x v="228"/>
    <x v="216"/>
    <x v="0"/>
    <s v="FELICITY YU"/>
    <n v="1131"/>
    <s v="IP (Intellectual Property)"/>
    <s v="Product / Project"/>
    <m/>
    <x v="802"/>
    <s v="Transtek_IP - Bathroom Scale 5268_14Nov12.pdf"/>
    <s v=".pdf"/>
    <d v="2014-03-26T00:00:00"/>
    <s v="as\afok"/>
    <m/>
    <m/>
    <x v="0"/>
    <x v="0"/>
    <x v="0"/>
    <x v="0"/>
    <s v="Bathroom Scale 5268"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s v="MOULD"/>
    <x v="4"/>
    <x v="1"/>
    <m/>
    <x v="10"/>
  </r>
  <r>
    <n v="1167"/>
    <x v="228"/>
    <x v="228"/>
    <x v="216"/>
    <x v="0"/>
    <s v="FELICITY YU"/>
    <n v="1143"/>
    <s v="ISO 14001"/>
    <s v="Supplier"/>
    <d v="2013-07-20T00:00:00"/>
    <x v="803"/>
    <s v="Transtek_ISO 14001_20Jul2013.JPG"/>
    <s v=".jpg"/>
    <d v="2014-03-26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s v="MOULD"/>
    <x v="4"/>
    <x v="1"/>
    <m/>
    <x v="10"/>
  </r>
  <r>
    <n v="1165"/>
    <x v="228"/>
    <x v="228"/>
    <x v="216"/>
    <x v="0"/>
    <s v="FELICITY YU"/>
    <n v="1141"/>
    <s v="ISO 9001"/>
    <s v="Supplier"/>
    <d v="2013-12-07T00:00:00"/>
    <x v="804"/>
    <s v="Transtek_ISO9001_7Dec2013.JPG"/>
    <s v=".jpg"/>
    <d v="2014-03-26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s v="MOULD"/>
    <x v="4"/>
    <x v="1"/>
    <m/>
    <x v="10"/>
  </r>
  <r>
    <n v="1168"/>
    <x v="228"/>
    <x v="228"/>
    <x v="216"/>
    <x v="0"/>
    <s v="FELICITY YU"/>
    <n v="1144"/>
    <s v="NDA (Non Disclosure Agreement)"/>
    <s v="Supplier"/>
    <m/>
    <x v="805"/>
    <s v="Transtek_Non Disclosure Agreement_21Sep12.pdf"/>
    <s v=".pdf"/>
    <d v="2014-03-26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s v="MOULD"/>
    <x v="4"/>
    <x v="1"/>
    <m/>
    <x v="10"/>
  </r>
  <r>
    <n v="1166"/>
    <x v="228"/>
    <x v="228"/>
    <x v="216"/>
    <x v="0"/>
    <s v="FELICITY YU"/>
    <n v="1142"/>
    <s v="Other business certifications (ex : FSC for Packaging)"/>
    <s v="Supplier"/>
    <d v="2013-02-21T00:00:00"/>
    <x v="806"/>
    <s v="Transtek_ISO 13485_21Feb2013.pdf"/>
    <s v=".pdf"/>
    <d v="2014-03-26T00:00:00"/>
    <s v="as\afok"/>
    <s v="ISO 13485"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s v="MOULD"/>
    <x v="4"/>
    <x v="1"/>
    <m/>
    <x v="10"/>
  </r>
  <r>
    <n v="1170"/>
    <x v="228"/>
    <x v="228"/>
    <x v="216"/>
    <x v="0"/>
    <s v="FELICITY YU"/>
    <n v="1146"/>
    <s v="Responsible Purchasing Charter"/>
    <s v="Supplier"/>
    <m/>
    <x v="595"/>
    <s v="Transtek_Responsible Purchasing Charter_16Oct12.pdf"/>
    <s v=".pdf"/>
    <d v="2014-03-26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n v="1"/>
    <m/>
    <s v="FP"/>
    <m/>
    <s v="SP"/>
    <s v="MOULD"/>
    <x v="4"/>
    <x v="1"/>
    <m/>
    <x v="10"/>
  </r>
  <r>
    <n v="1154"/>
    <x v="228"/>
    <x v="228"/>
    <x v="216"/>
    <x v="0"/>
    <s v="FELICITY YU"/>
    <n v="1130"/>
    <s v="SEF"/>
    <s v="Supplier"/>
    <m/>
    <x v="234"/>
    <s v="SEF Transtek 20130812.xlsx"/>
    <s v=".xlsx"/>
    <d v="2014-03-26T00:00:00"/>
    <s v="as\afok"/>
    <m/>
    <s v="2013"/>
    <x v="0"/>
    <x v="0"/>
    <x v="0"/>
    <x v="0"/>
    <m/>
    <m/>
    <m/>
    <m/>
    <n v="83"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s v="MOULD"/>
    <x v="4"/>
    <x v="1"/>
    <m/>
    <x v="10"/>
  </r>
  <r>
    <n v="1153"/>
    <x v="228"/>
    <x v="228"/>
    <x v="216"/>
    <x v="0"/>
    <s v="FELICITY YU"/>
    <n v="1129"/>
    <s v="SIF"/>
    <s v="Supplier"/>
    <m/>
    <x v="807"/>
    <s v="Transtek SIF 2013 0916.xls"/>
    <s v=".xls"/>
    <d v="2014-03-26T00:00:00"/>
    <s v="as\afok"/>
    <m/>
    <s v="2013"/>
    <x v="0"/>
    <x v="0"/>
    <x v="0"/>
    <x v="0"/>
    <m/>
    <m/>
    <m/>
    <m/>
    <m/>
    <n v="2013"/>
    <n v="63000000"/>
    <n v="51000000"/>
    <n v="44000000"/>
    <m/>
    <m/>
    <m/>
    <n v="0"/>
    <m/>
    <m/>
    <m/>
    <s v="FP panel"/>
    <x v="1"/>
    <x v="4"/>
    <x v="0"/>
    <x v="0"/>
    <m/>
    <m/>
    <m/>
    <n v="1"/>
    <m/>
    <m/>
    <s v="FP"/>
    <m/>
    <s v="SP"/>
    <s v="MOULD"/>
    <x v="4"/>
    <x v="1"/>
    <m/>
    <x v="10"/>
  </r>
  <r>
    <n v="1169"/>
    <x v="228"/>
    <x v="228"/>
    <x v="216"/>
    <x v="0"/>
    <s v="FELICITY YU"/>
    <n v="1145"/>
    <s v="SIF"/>
    <s v="Supplier"/>
    <m/>
    <x v="499"/>
    <s v="Transtek_SIF_2012 0926.xls"/>
    <s v=".xls"/>
    <d v="2014-03-26T00:00:00"/>
    <s v="as\afok"/>
    <m/>
    <s v="2012"/>
    <x v="0"/>
    <x v="0"/>
    <x v="0"/>
    <x v="0"/>
    <m/>
    <m/>
    <m/>
    <m/>
    <m/>
    <n v="2012"/>
    <n v="51000000"/>
    <n v="44000000"/>
    <n v="33800000"/>
    <n v="24600000"/>
    <n v="19100000"/>
    <m/>
    <n v="0"/>
    <n v="0"/>
    <n v="0"/>
    <n v="0"/>
    <s v="FP panel"/>
    <x v="1"/>
    <x v="4"/>
    <x v="0"/>
    <x v="0"/>
    <m/>
    <m/>
    <m/>
    <n v="1"/>
    <m/>
    <m/>
    <s v="FP"/>
    <m/>
    <s v="SP"/>
    <s v="MOULD"/>
    <x v="4"/>
    <x v="1"/>
    <m/>
    <x v="10"/>
  </r>
  <r>
    <n v="1188"/>
    <x v="229"/>
    <x v="229"/>
    <x v="217"/>
    <x v="0"/>
    <s v="FELICITY YU"/>
    <n v="1164"/>
    <s v="Contract: General Contract"/>
    <s v="Supplier"/>
    <m/>
    <x v="808"/>
    <s v="TSANN KUEN-DEVELOPMENT AND SUPPLY AGREEMENT 20042009.PDF"/>
    <s v=".pdf"/>
    <d v="2014-03-26T00:00:00"/>
    <s v="as\afok"/>
    <m/>
    <s v="FHA 00 016 ind.09"/>
    <x v="7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s v="CP"/>
    <s v="SP"/>
    <s v="MOULD"/>
    <x v="3"/>
    <x v="1"/>
    <m/>
    <x v="52"/>
  </r>
  <r>
    <n v="1178"/>
    <x v="229"/>
    <x v="229"/>
    <x v="217"/>
    <x v="0"/>
    <s v="FELICITY YU"/>
    <n v="1154"/>
    <s v="Contract: General Contract"/>
    <s v="Supplier"/>
    <m/>
    <x v="109"/>
    <s v="Tsann Kuen_General Agreement_22Dec12.pdf"/>
    <s v=".pdf"/>
    <d v="2014-03-26T00:00:00"/>
    <s v="as\afok"/>
    <m/>
    <s v="FHA 00 016 ind.10"/>
    <x v="7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s v="CP"/>
    <s v="SP"/>
    <s v="MOULD"/>
    <x v="3"/>
    <x v="1"/>
    <m/>
    <x v="52"/>
  </r>
  <r>
    <n v="1181"/>
    <x v="229"/>
    <x v="229"/>
    <x v="217"/>
    <x v="0"/>
    <s v="FELICITY YU"/>
    <n v="1157"/>
    <s v="Contract: Quality Appendix"/>
    <s v="Supplier"/>
    <m/>
    <x v="109"/>
    <s v="Tsann Kuen_General Agreement_22Dec12.pdf"/>
    <s v=".pdf"/>
    <d v="2014-03-26T00:00:00"/>
    <s v="as\afok"/>
    <m/>
    <m/>
    <x v="0"/>
    <x v="0"/>
    <x v="0"/>
    <x v="10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s v="CP"/>
    <s v="SP"/>
    <s v="MOULD"/>
    <x v="3"/>
    <x v="1"/>
    <m/>
    <x v="52"/>
  </r>
  <r>
    <n v="1180"/>
    <x v="229"/>
    <x v="229"/>
    <x v="217"/>
    <x v="0"/>
    <s v="FELICITY YU"/>
    <n v="1156"/>
    <s v="Contract: Supply Chain Appendix"/>
    <s v="Supplier"/>
    <m/>
    <x v="109"/>
    <s v="Tsann Kuen_General Agreement_22Dec12.pdf"/>
    <s v=".pdf"/>
    <d v="2014-03-26T00:00:00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s v="CP"/>
    <s v="SP"/>
    <s v="MOULD"/>
    <x v="3"/>
    <x v="1"/>
    <m/>
    <x v="52"/>
  </r>
  <r>
    <n v="1182"/>
    <x v="229"/>
    <x v="229"/>
    <x v="217"/>
    <x v="0"/>
    <s v="FELICITY YU"/>
    <n v="1158"/>
    <s v="Declaration letter of group organization"/>
    <s v="Supplier"/>
    <m/>
    <x v="809"/>
    <s v="Tsann Kuen_General Agreement_22Dec12.pdf"/>
    <s v=".pdf"/>
    <d v="2014-03-26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s v="SP"/>
    <s v="MOULD"/>
    <x v="3"/>
    <x v="1"/>
    <m/>
    <x v="52"/>
  </r>
  <r>
    <n v="1179"/>
    <x v="229"/>
    <x v="229"/>
    <x v="217"/>
    <x v="0"/>
    <s v="FELICITY YU"/>
    <n v="1155"/>
    <s v="Environmental Declaration"/>
    <s v="Supplier"/>
    <m/>
    <x v="706"/>
    <s v="Tsann Kuen_General Agreement_22Dec12.pdf"/>
    <s v=".pdf"/>
    <d v="2014-03-26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s v="SP"/>
    <s v="MOULD"/>
    <x v="3"/>
    <x v="1"/>
    <m/>
    <x v="52"/>
  </r>
  <r>
    <n v="1186"/>
    <x v="229"/>
    <x v="229"/>
    <x v="217"/>
    <x v="0"/>
    <s v="FELICITY YU"/>
    <n v="1162"/>
    <s v="Exclusivity (EA)"/>
    <s v="Product / Project"/>
    <m/>
    <x v="810"/>
    <s v="Tsann Kuen_Exclusivity Agreement_TSK-H115 Double Curve Grill_14Dec11.pdf"/>
    <s v=".pdf"/>
    <d v="2014-03-26T00:00:00"/>
    <s v="as\afok"/>
    <m/>
    <m/>
    <x v="0"/>
    <x v="0"/>
    <x v="0"/>
    <x v="0"/>
    <s v="TSK-H115 Double Curve Grill"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s v="SP"/>
    <s v="MOULD"/>
    <x v="3"/>
    <x v="1"/>
    <m/>
    <x v="52"/>
  </r>
  <r>
    <n v="1177"/>
    <x v="229"/>
    <x v="229"/>
    <x v="217"/>
    <x v="0"/>
    <s v="FELICITY YU"/>
    <n v="1153"/>
    <s v="Exclusivity (EA)"/>
    <s v="Product / Project"/>
    <m/>
    <x v="476"/>
    <s v="Tsann Kuen_Exclusivity Agreement_TSK-H102 Single Curved Grill_26Feb13.pdf"/>
    <s v=".pdf"/>
    <d v="2014-03-26T00:00:00"/>
    <s v="as\afok"/>
    <m/>
    <m/>
    <x v="0"/>
    <x v="0"/>
    <x v="0"/>
    <x v="0"/>
    <s v="TSK-H102 Single Curved Grill"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s v="SP"/>
    <s v="MOULD"/>
    <x v="3"/>
    <x v="1"/>
    <m/>
    <x v="52"/>
  </r>
  <r>
    <n v="1173"/>
    <x v="229"/>
    <x v="229"/>
    <x v="217"/>
    <x v="0"/>
    <s v="FELICITY YU"/>
    <n v="1149"/>
    <s v="Exclusivity (EA)"/>
    <s v="Supplier"/>
    <m/>
    <x v="546"/>
    <s v="EA and IP for H132 and 134.pdf"/>
    <s v=".pdf"/>
    <d v="2014-03-26T00:00:00"/>
    <s v="as\afok"/>
    <s v="H132 and 134_x000d__x000a_"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s v="SP"/>
    <s v="MOULD"/>
    <x v="3"/>
    <x v="1"/>
    <m/>
    <x v="52"/>
  </r>
  <r>
    <n v="1191"/>
    <x v="229"/>
    <x v="229"/>
    <x v="217"/>
    <x v="0"/>
    <s v="FELICITY YU"/>
    <n v="1167"/>
    <s v="Exclusivity (EA)"/>
    <s v="Supplier"/>
    <m/>
    <x v="683"/>
    <s v="Exclusivity Summary TK.xlsx"/>
    <s v=".xlsx"/>
    <d v="2014-03-26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n v="1"/>
    <m/>
    <s v="FP"/>
    <s v="CP"/>
    <s v="SP"/>
    <s v="MOULD"/>
    <x v="3"/>
    <x v="1"/>
    <m/>
    <x v="52"/>
  </r>
  <r>
    <n v="1185"/>
    <x v="229"/>
    <x v="229"/>
    <x v="217"/>
    <x v="0"/>
    <s v="FELICITY YU"/>
    <n v="1161"/>
    <s v="IP (Intellectual Property)"/>
    <s v="Product / Project"/>
    <m/>
    <x v="810"/>
    <s v="Tsann Kuen_IP_TSK-H115 Double Curve Grill_14Dec11.pdf"/>
    <s v=".pdf"/>
    <d v="2014-03-26T00:00:00"/>
    <s v="as\afok"/>
    <m/>
    <m/>
    <x v="0"/>
    <x v="0"/>
    <x v="0"/>
    <x v="0"/>
    <s v="TSK-H115 Double Curve Grill"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s v="SP"/>
    <s v="MOULD"/>
    <x v="3"/>
    <x v="1"/>
    <m/>
    <x v="52"/>
  </r>
  <r>
    <n v="1172"/>
    <x v="229"/>
    <x v="229"/>
    <x v="217"/>
    <x v="0"/>
    <s v="FELICITY YU"/>
    <n v="1148"/>
    <s v="IP (Intellectual Property)"/>
    <s v="Product / Project"/>
    <m/>
    <x v="546"/>
    <s v="EA and IP for H132 and 134.pdf"/>
    <s v=".pdf"/>
    <d v="2014-03-26T00:00:00"/>
    <s v="as\afok"/>
    <m/>
    <m/>
    <x v="0"/>
    <x v="0"/>
    <x v="0"/>
    <x v="0"/>
    <s v="H132 and 134"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s v="SP"/>
    <s v="MOULD"/>
    <x v="3"/>
    <x v="1"/>
    <m/>
    <x v="52"/>
  </r>
  <r>
    <n v="1176"/>
    <x v="229"/>
    <x v="229"/>
    <x v="217"/>
    <x v="0"/>
    <s v="FELICITY YU"/>
    <n v="1152"/>
    <s v="IP (Intellectual Property)"/>
    <s v="Product / Project"/>
    <m/>
    <x v="476"/>
    <s v="Tsann Kuen_IP_TSK-H102 Single Curved Grill_26Feb13.pdf"/>
    <s v=".pdf"/>
    <d v="2014-03-26T00:00:00"/>
    <s v="as\afok"/>
    <m/>
    <m/>
    <x v="0"/>
    <x v="0"/>
    <x v="0"/>
    <x v="0"/>
    <s v="TSK-H102 Single Curved Grill"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s v="SP"/>
    <s v="MOULD"/>
    <x v="3"/>
    <x v="1"/>
    <m/>
    <x v="52"/>
  </r>
  <r>
    <n v="1189"/>
    <x v="229"/>
    <x v="229"/>
    <x v="217"/>
    <x v="0"/>
    <s v="FELICITY YU"/>
    <n v="1165"/>
    <s v="ISO 14001"/>
    <s v="Supplier"/>
    <d v="2011-12-18T00:00:00"/>
    <x v="811"/>
    <s v="Tsann_Kuen_ISO14001_2010.pdf"/>
    <s v=".pdf"/>
    <d v="2014-03-26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s v="SP"/>
    <s v="MOULD"/>
    <x v="3"/>
    <x v="1"/>
    <m/>
    <x v="52"/>
  </r>
  <r>
    <n v="1183"/>
    <x v="229"/>
    <x v="229"/>
    <x v="217"/>
    <x v="0"/>
    <s v="FELICITY YU"/>
    <n v="1159"/>
    <s v="ISO 9001"/>
    <s v="Supplier"/>
    <d v="2011-08-25T00:00:00"/>
    <x v="812"/>
    <s v="Tsann  Kuen_ISO9001_ 26Aug2008.jpg"/>
    <s v=".jpg"/>
    <d v="2014-03-26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s v="SP"/>
    <s v="MOULD"/>
    <x v="3"/>
    <x v="1"/>
    <m/>
    <x v="52"/>
  </r>
  <r>
    <n v="1184"/>
    <x v="229"/>
    <x v="229"/>
    <x v="217"/>
    <x v="0"/>
    <s v="FELICITY YU"/>
    <n v="1160"/>
    <s v="SEF"/>
    <s v="Supplier"/>
    <m/>
    <x v="257"/>
    <s v="SEF_Tsann Kuen_20120830.xlsx"/>
    <s v=".xlsx"/>
    <d v="2014-03-26T00:00:00"/>
    <s v="as\afok"/>
    <m/>
    <s v="2012"/>
    <x v="0"/>
    <x v="0"/>
    <x v="0"/>
    <x v="0"/>
    <m/>
    <m/>
    <m/>
    <m/>
    <n v="63"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s v="SP"/>
    <s v="MOULD"/>
    <x v="3"/>
    <x v="1"/>
    <m/>
    <x v="52"/>
  </r>
  <r>
    <n v="1171"/>
    <x v="229"/>
    <x v="229"/>
    <x v="217"/>
    <x v="0"/>
    <s v="FELICITY YU"/>
    <n v="1147"/>
    <s v="SEF"/>
    <s v="Supplier"/>
    <m/>
    <x v="202"/>
    <s v="SEF Tsann Kuen 20130809.xlsx"/>
    <s v=".xlsx"/>
    <d v="2014-03-26T00:00:00"/>
    <s v="as\afok"/>
    <m/>
    <s v="2013"/>
    <x v="0"/>
    <x v="0"/>
    <x v="0"/>
    <x v="0"/>
    <m/>
    <m/>
    <m/>
    <m/>
    <n v="67"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s v="SP"/>
    <s v="MOULD"/>
    <x v="3"/>
    <x v="1"/>
    <m/>
    <x v="52"/>
  </r>
  <r>
    <n v="1190"/>
    <x v="229"/>
    <x v="229"/>
    <x v="217"/>
    <x v="0"/>
    <s v="FELICITY YU"/>
    <n v="1166"/>
    <s v="SIF"/>
    <s v="Supplier"/>
    <m/>
    <x v="555"/>
    <s v="Tsann_Kuen_SIF2012 _19Jul12.xls"/>
    <s v=".xls"/>
    <d v="2014-03-26T00:00:00"/>
    <s v="as\afok"/>
    <m/>
    <s v="2012"/>
    <x v="0"/>
    <x v="0"/>
    <x v="0"/>
    <x v="0"/>
    <m/>
    <m/>
    <m/>
    <m/>
    <m/>
    <n v="2012"/>
    <n v="5650000000"/>
    <n v="4435279900"/>
    <n v="3334396248"/>
    <n v="2749406200"/>
    <n v="4043631270"/>
    <n v="4"/>
    <n v="5"/>
    <n v="6"/>
    <n v="5.5"/>
    <n v="12"/>
    <s v="FP panel"/>
    <x v="1"/>
    <x v="3"/>
    <x v="0"/>
    <x v="0"/>
    <m/>
    <m/>
    <m/>
    <n v="1"/>
    <m/>
    <m/>
    <s v="FP"/>
    <s v="CP"/>
    <s v="SP"/>
    <s v="MOULD"/>
    <x v="3"/>
    <x v="1"/>
    <m/>
    <x v="52"/>
  </r>
  <r>
    <n v="1175"/>
    <x v="229"/>
    <x v="229"/>
    <x v="217"/>
    <x v="0"/>
    <s v="FELICITY YU"/>
    <n v="1151"/>
    <s v="SIF"/>
    <s v="Supplier"/>
    <m/>
    <x v="375"/>
    <s v="Tsann_Kuen_SIF2013.xls"/>
    <s v=".xls"/>
    <d v="2014-03-26T00:00:00"/>
    <s v="as\afok"/>
    <m/>
    <s v="2013"/>
    <x v="0"/>
    <x v="0"/>
    <x v="0"/>
    <x v="0"/>
    <m/>
    <m/>
    <m/>
    <m/>
    <m/>
    <n v="2013"/>
    <n v="5000000000"/>
    <n v="4520000000"/>
    <n v="4335279900"/>
    <n v="3334396248"/>
    <n v="2749406200"/>
    <n v="5"/>
    <n v="4"/>
    <n v="5"/>
    <n v="6"/>
    <n v="5.5"/>
    <s v="FP panel"/>
    <x v="1"/>
    <x v="3"/>
    <x v="0"/>
    <x v="0"/>
    <m/>
    <m/>
    <m/>
    <n v="1"/>
    <m/>
    <m/>
    <s v="FP"/>
    <s v="CP"/>
    <s v="SP"/>
    <s v="MOULD"/>
    <x v="3"/>
    <x v="1"/>
    <m/>
    <x v="52"/>
  </r>
  <r>
    <n v="1187"/>
    <x v="229"/>
    <x v="229"/>
    <x v="217"/>
    <x v="0"/>
    <s v="FELICITY YU"/>
    <n v="1163"/>
    <s v="SPR"/>
    <s v="Supplier"/>
    <m/>
    <x v="96"/>
    <s v="Tsann Kuen_SPR_20121207.pptx"/>
    <s v=".pptx"/>
    <d v="2014-03-26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s v="SP"/>
    <s v="MOULD"/>
    <x v="3"/>
    <x v="1"/>
    <m/>
    <x v="52"/>
  </r>
  <r>
    <n v="1174"/>
    <x v="230"/>
    <x v="230"/>
    <x v="218"/>
    <x v="0"/>
    <s v="FELICITY YU"/>
    <n v="1150"/>
    <s v="SIF"/>
    <s v="Supplier"/>
    <m/>
    <x v="617"/>
    <s v="Tsann_Kuen (Indonesia)_SIF2013.xls"/>
    <s v=".xls"/>
    <d v="2014-03-26T00:00:00"/>
    <s v="as\afok"/>
    <m/>
    <s v="2013"/>
    <x v="0"/>
    <x v="0"/>
    <x v="0"/>
    <x v="0"/>
    <m/>
    <m/>
    <m/>
    <m/>
    <m/>
    <n v="2013"/>
    <n v="50000000"/>
    <n v="15000000"/>
    <n v="12000000"/>
    <n v="8000000"/>
    <m/>
    <n v="5"/>
    <n v="4"/>
    <n v="3"/>
    <n v="0"/>
    <m/>
    <s v="FP panel"/>
    <x v="1"/>
    <x v="4"/>
    <x v="0"/>
    <x v="0"/>
    <m/>
    <m/>
    <m/>
    <n v="0"/>
    <m/>
    <n v="1"/>
    <s v="FP"/>
    <m/>
    <s v="SP"/>
    <m/>
    <x v="9"/>
    <x v="1"/>
    <m/>
    <x v="28"/>
  </r>
  <r>
    <n v="961"/>
    <x v="231"/>
    <x v="231"/>
    <x v="219"/>
    <x v="4"/>
    <s v="ERIC KWOK"/>
    <n v="939"/>
    <s v="Environmental Declaration"/>
    <s v="Supplier"/>
    <m/>
    <x v="813"/>
    <s v="Tsun_Ngai_Env_Declaration_01Jun2010.xls"/>
    <s v=".xls"/>
    <d v="2014-03-24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960"/>
    <x v="231"/>
    <x v="231"/>
    <x v="219"/>
    <x v="4"/>
    <s v="ERIC KWOK"/>
    <n v="938"/>
    <s v="Responsible Purchasing Charter"/>
    <s v="Supplier"/>
    <m/>
    <x v="19"/>
    <s v="TsunNgai_Responsible_Purchasing_Charter_07Aug12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959"/>
    <x v="231"/>
    <x v="231"/>
    <x v="219"/>
    <x v="4"/>
    <s v="ERIC KWOK"/>
    <n v="937"/>
    <s v="SEF"/>
    <s v="Supplier"/>
    <m/>
    <x v="300"/>
    <s v="Tsun_Ngai_SEF_2012_R1.xlsx"/>
    <s v=".xlsx"/>
    <d v="2014-03-24T00:00:00"/>
    <s v="as\afok"/>
    <m/>
    <s v="2012"/>
    <x v="0"/>
    <x v="0"/>
    <x v="0"/>
    <x v="0"/>
    <m/>
    <m/>
    <m/>
    <m/>
    <n v="78"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962"/>
    <x v="231"/>
    <x v="231"/>
    <x v="219"/>
    <x v="4"/>
    <s v="ERIC KWOK"/>
    <n v="940"/>
    <s v="SIF"/>
    <s v="Supplier"/>
    <m/>
    <x v="546"/>
    <s v="Tsun Ngai_SIF2013.xlsx"/>
    <s v=".xlsx"/>
    <d v="2014-03-24T00:00:00"/>
    <s v="as\afok"/>
    <m/>
    <s v="2013"/>
    <x v="0"/>
    <x v="0"/>
    <x v="0"/>
    <x v="0"/>
    <m/>
    <m/>
    <m/>
    <m/>
    <m/>
    <n v="2013"/>
    <n v="12000000"/>
    <n v="11300000"/>
    <n v="6450000"/>
    <n v="4839000"/>
    <n v="5640000"/>
    <n v="8"/>
    <n v="2"/>
    <n v="7.5"/>
    <n v="5"/>
    <n v="5.5"/>
    <m/>
    <x v="0"/>
    <x v="0"/>
    <x v="0"/>
    <x v="0"/>
    <m/>
    <m/>
    <m/>
    <n v="0"/>
    <m/>
    <n v="1"/>
    <m/>
    <m/>
    <m/>
    <s v="MOULD"/>
    <x v="8"/>
    <x v="1"/>
    <m/>
    <x v="3"/>
  </r>
  <r>
    <n v="958"/>
    <x v="231"/>
    <x v="231"/>
    <x v="219"/>
    <x v="4"/>
    <s v="ERIC KWOK"/>
    <n v="936"/>
    <s v="SPR"/>
    <s v="Supplier"/>
    <m/>
    <x v="123"/>
    <s v="SPR_Tsun_Ngai_May2012.ppt"/>
    <s v=".ppt"/>
    <d v="2014-03-24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x v="8"/>
    <x v="1"/>
    <m/>
    <x v="3"/>
  </r>
  <r>
    <n v="1195"/>
    <x v="232"/>
    <x v="232"/>
    <x v="220"/>
    <x v="0"/>
    <s v="FELICITY YU"/>
    <n v="1171"/>
    <s v="LOC (Letter of Confidentiality)"/>
    <s v="Supplier"/>
    <m/>
    <x v="245"/>
    <s v="TYS_LOC_10Aug12.pdf"/>
    <s v=".pdf"/>
    <d v="2014-03-2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s v="MOULD"/>
    <x v="13"/>
    <x v="1"/>
    <m/>
    <x v="0"/>
  </r>
  <r>
    <n v="1194"/>
    <x v="232"/>
    <x v="232"/>
    <x v="220"/>
    <x v="0"/>
    <s v="FELICITY YU"/>
    <n v="1170"/>
    <s v="Responsible Purchasing Charter"/>
    <s v="Supplier"/>
    <m/>
    <x v="297"/>
    <s v="TYS_Responsible Purchasing Charter_13Sep12.pdf"/>
    <s v=".pdf"/>
    <d v="2014-03-2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s v="MOULD"/>
    <x v="13"/>
    <x v="1"/>
    <m/>
    <x v="0"/>
  </r>
  <r>
    <n v="1192"/>
    <x v="232"/>
    <x v="232"/>
    <x v="220"/>
    <x v="0"/>
    <s v="FELICITY YU"/>
    <n v="1168"/>
    <s v="SIF"/>
    <s v="Supplier"/>
    <m/>
    <x v="183"/>
    <s v="TYS SIF2012.XLSX"/>
    <s v=".xlsx"/>
    <d v="2014-03-26T00:00:00"/>
    <s v="as\afok"/>
    <m/>
    <s v="2012"/>
    <x v="0"/>
    <x v="0"/>
    <x v="0"/>
    <x v="0"/>
    <m/>
    <m/>
    <m/>
    <m/>
    <m/>
    <n v="2012"/>
    <n v="2500000"/>
    <m/>
    <m/>
    <m/>
    <m/>
    <m/>
    <m/>
    <m/>
    <m/>
    <m/>
    <m/>
    <x v="0"/>
    <x v="0"/>
    <x v="0"/>
    <x v="0"/>
    <m/>
    <m/>
    <m/>
    <n v="0"/>
    <m/>
    <m/>
    <s v="FP"/>
    <m/>
    <m/>
    <s v="MOULD"/>
    <x v="13"/>
    <x v="1"/>
    <m/>
    <x v="0"/>
  </r>
  <r>
    <n v="1196"/>
    <x v="232"/>
    <x v="232"/>
    <x v="220"/>
    <x v="0"/>
    <s v="FELICITY YU"/>
    <n v="1172"/>
    <s v="SIF"/>
    <s v="Supplier"/>
    <m/>
    <x v="578"/>
    <s v="TYS_SIF 2013.xls"/>
    <s v=".xls"/>
    <d v="2014-03-26T00:00:00"/>
    <s v="as\afok"/>
    <m/>
    <s v="2013"/>
    <x v="0"/>
    <x v="0"/>
    <x v="0"/>
    <x v="0"/>
    <m/>
    <m/>
    <m/>
    <m/>
    <m/>
    <n v="2013"/>
    <n v="10000000"/>
    <n v="5000000"/>
    <m/>
    <m/>
    <m/>
    <m/>
    <m/>
    <m/>
    <m/>
    <m/>
    <m/>
    <x v="0"/>
    <x v="0"/>
    <x v="0"/>
    <x v="0"/>
    <m/>
    <m/>
    <m/>
    <n v="0"/>
    <m/>
    <n v="1"/>
    <s v="FP"/>
    <m/>
    <m/>
    <s v="MOULD"/>
    <x v="13"/>
    <x v="1"/>
    <m/>
    <x v="0"/>
  </r>
  <r>
    <n v="1193"/>
    <x v="232"/>
    <x v="232"/>
    <x v="220"/>
    <x v="0"/>
    <s v="FELICITY YU"/>
    <n v="1169"/>
    <s v="SIF"/>
    <s v="Supplier"/>
    <m/>
    <x v="690"/>
    <s v="TYS FHA6E502_EN - SIF2014.XLSX"/>
    <s v=".xlsx"/>
    <d v="2014-03-26T00:00:00"/>
    <s v="as\afok"/>
    <m/>
    <s v="2014"/>
    <x v="0"/>
    <x v="0"/>
    <x v="0"/>
    <x v="0"/>
    <m/>
    <m/>
    <m/>
    <m/>
    <m/>
    <n v="2014"/>
    <n v="15000000"/>
    <m/>
    <m/>
    <m/>
    <m/>
    <m/>
    <m/>
    <m/>
    <m/>
    <m/>
    <m/>
    <x v="0"/>
    <x v="0"/>
    <x v="0"/>
    <x v="0"/>
    <m/>
    <m/>
    <m/>
    <n v="0"/>
    <m/>
    <m/>
    <s v="FP"/>
    <m/>
    <m/>
    <s v="MOULD"/>
    <x v="13"/>
    <x v="1"/>
    <m/>
    <x v="0"/>
  </r>
  <r>
    <n v="12"/>
    <x v="233"/>
    <x v="233"/>
    <x v="221"/>
    <x v="3"/>
    <s v="WENDY HO"/>
    <n v="9"/>
    <s v="Contract: General Contract"/>
    <s v="Supplier"/>
    <d v="2015-12-31T00:00:00"/>
    <x v="337"/>
    <s v="USP_General Agreement_FHA00016 ind.11_20120723.pdf"/>
    <s v=".pdf"/>
    <d v="2014-03-04T00:00:00"/>
    <s v="as\afok"/>
    <m/>
    <s v="FHA00016 ind.11"/>
    <x v="6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0"/>
    <m/>
    <m/>
    <s v="FP"/>
    <s v="CP"/>
    <s v="SP"/>
    <s v="MOULD"/>
    <x v="3"/>
    <x v="1"/>
    <m/>
    <x v="7"/>
  </r>
  <r>
    <n v="576"/>
    <x v="233"/>
    <x v="233"/>
    <x v="221"/>
    <x v="3"/>
    <s v="WENDY HO"/>
    <n v="559"/>
    <s v="Declaration letter of group organization"/>
    <s v="Supplier"/>
    <m/>
    <x v="337"/>
    <s v="USP_General Agreement_FHA00016 ind.11_20120723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n v="1"/>
    <s v="FP"/>
    <s v="CP"/>
    <s v="SP"/>
    <s v="MOULD"/>
    <x v="3"/>
    <x v="1"/>
    <m/>
    <x v="7"/>
  </r>
  <r>
    <n v="273"/>
    <x v="233"/>
    <x v="233"/>
    <x v="221"/>
    <x v="3"/>
    <s v="WENDY HO"/>
    <n v="261"/>
    <s v="Exclusivity (EA)"/>
    <s v="Product / Project"/>
    <m/>
    <x v="69"/>
    <s v="USP_EA_Espresso steam combi_2012-08-09.pdf"/>
    <s v=".pdf"/>
    <d v="2014-03-13T00:00:00"/>
    <s v="as\afok"/>
    <s v="_x000d__x000a_"/>
    <m/>
    <x v="0"/>
    <x v="0"/>
    <x v="0"/>
    <x v="0"/>
    <s v="Espresso steam combi"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x v="3"/>
    <x v="1"/>
    <m/>
    <x v="7"/>
  </r>
  <r>
    <n v="274"/>
    <x v="233"/>
    <x v="233"/>
    <x v="221"/>
    <x v="3"/>
    <s v="WENDY HO"/>
    <n v="262"/>
    <s v="Exclusivity (EA)"/>
    <s v="Product / Project"/>
    <m/>
    <x v="337"/>
    <s v="USP_IP_Espresso steam solo_2012-07-23.pdf"/>
    <s v=".pdf"/>
    <d v="2014-03-13T00:00:00"/>
    <s v="as\afok"/>
    <s v="_x000d__x000a_"/>
    <m/>
    <x v="0"/>
    <x v="0"/>
    <x v="0"/>
    <x v="0"/>
    <s v="Espresso steam solo"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x v="3"/>
    <x v="1"/>
    <m/>
    <x v="7"/>
  </r>
  <r>
    <n v="268"/>
    <x v="233"/>
    <x v="233"/>
    <x v="221"/>
    <x v="3"/>
    <s v="WENDY HO"/>
    <n v="256"/>
    <s v="Exclusivity (EA)"/>
    <s v="Supplier"/>
    <m/>
    <x v="370"/>
    <s v="USP exclusivity agreement-25Jan2013.xlsx"/>
    <s v=".xlsx"/>
    <d v="2014-03-13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x v="3"/>
    <x v="1"/>
    <m/>
    <x v="7"/>
  </r>
  <r>
    <n v="280"/>
    <x v="233"/>
    <x v="233"/>
    <x v="221"/>
    <x v="3"/>
    <s v="WENDY HO"/>
    <n v="268"/>
    <s v="Foodstuffs declaration"/>
    <s v="Supplier"/>
    <m/>
    <x v="31"/>
    <s v="USP - food contact - NK2_FRD00069.pdf"/>
    <s v=".pdf"/>
    <d v="2014-03-13T00:00:00"/>
    <s v="as\afok"/>
    <m/>
    <s v="FRD00069 ind.05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x v="3"/>
    <x v="1"/>
    <m/>
    <x v="7"/>
  </r>
  <r>
    <n v="270"/>
    <x v="233"/>
    <x v="233"/>
    <x v="221"/>
    <x v="3"/>
    <s v="WENDY HO"/>
    <n v="258"/>
    <s v="IP (Intellectual Property)"/>
    <s v="Product / Project"/>
    <m/>
    <x v="814"/>
    <s v="USP_IP Agreement_SW and WM_20110506.pdf"/>
    <s v=".pdf"/>
    <d v="2014-03-13T00:00:00"/>
    <s v="as\afok"/>
    <s v="_x000d__x000a_"/>
    <m/>
    <x v="0"/>
    <x v="0"/>
    <x v="0"/>
    <x v="0"/>
    <s v="SW and WM"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x v="3"/>
    <x v="1"/>
    <m/>
    <x v="7"/>
  </r>
  <r>
    <n v="271"/>
    <x v="233"/>
    <x v="233"/>
    <x v="221"/>
    <x v="3"/>
    <s v="WENDY HO"/>
    <n v="259"/>
    <s v="IP (Intellectual Property)"/>
    <s v="Product / Project"/>
    <m/>
    <x v="69"/>
    <s v="USP_EA_Espresso steam combi_2012-08-09.pdf"/>
    <s v=".pdf"/>
    <d v="2014-03-13T00:00:00"/>
    <s v="as\afok"/>
    <s v="_x000d__x000a_"/>
    <m/>
    <x v="0"/>
    <x v="0"/>
    <x v="0"/>
    <x v="0"/>
    <s v="Espresso steam combi"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x v="3"/>
    <x v="1"/>
    <m/>
    <x v="7"/>
  </r>
  <r>
    <n v="272"/>
    <x v="233"/>
    <x v="233"/>
    <x v="221"/>
    <x v="3"/>
    <s v="WENDY HO"/>
    <n v="260"/>
    <s v="IP (Intellectual Property)"/>
    <s v="Product / Project"/>
    <m/>
    <x v="337"/>
    <s v="USP_IP_Espresso steam solo_2012-07-23.pdf"/>
    <s v=".pdf"/>
    <d v="2014-03-13T00:00:00"/>
    <s v="as\afok"/>
    <s v="_x000d__x000a_"/>
    <m/>
    <x v="0"/>
    <x v="0"/>
    <x v="0"/>
    <x v="0"/>
    <s v="Espresso steam solo"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x v="3"/>
    <x v="1"/>
    <m/>
    <x v="7"/>
  </r>
  <r>
    <n v="269"/>
    <x v="233"/>
    <x v="233"/>
    <x v="221"/>
    <x v="3"/>
    <s v="WENDY HO"/>
    <n v="257"/>
    <s v="ISO 9001"/>
    <s v="Supplier"/>
    <d v="2013-01-03T00:00:00"/>
    <x v="815"/>
    <s v="USP_ISO9001_04Jan2010.JPG"/>
    <s v=".jpg"/>
    <d v="2014-03-13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x v="3"/>
    <x v="1"/>
    <m/>
    <x v="7"/>
  </r>
  <r>
    <n v="275"/>
    <x v="233"/>
    <x v="233"/>
    <x v="221"/>
    <x v="3"/>
    <s v="WENDY HO"/>
    <n v="263"/>
    <s v="Responsible Purchasing Charter"/>
    <s v="Supplier"/>
    <m/>
    <x v="167"/>
    <s v="USP - Responsible Purchasing Charter.pdf"/>
    <s v=".pdf"/>
    <d v="2014-03-13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x v="3"/>
    <x v="1"/>
    <m/>
    <x v="7"/>
  </r>
  <r>
    <n v="277"/>
    <x v="233"/>
    <x v="233"/>
    <x v="221"/>
    <x v="3"/>
    <s v="WENDY HO"/>
    <n v="265"/>
    <s v="SEF"/>
    <s v="Supplier"/>
    <m/>
    <x v="222"/>
    <s v="USP_SEF_Dec 2012.xlsx"/>
    <s v=".xlsx"/>
    <d v="2014-03-13T00:00:00"/>
    <s v="as\afok"/>
    <m/>
    <s v="2012"/>
    <x v="0"/>
    <x v="0"/>
    <x v="0"/>
    <x v="0"/>
    <m/>
    <m/>
    <m/>
    <m/>
    <n v="81"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x v="3"/>
    <x v="1"/>
    <m/>
    <x v="7"/>
  </r>
  <r>
    <n v="276"/>
    <x v="233"/>
    <x v="233"/>
    <x v="221"/>
    <x v="3"/>
    <s v="WENDY HO"/>
    <n v="264"/>
    <s v="SEF"/>
    <s v="Supplier"/>
    <m/>
    <x v="55"/>
    <s v="USP SEF 2012.xlsx"/>
    <s v=".xlsx"/>
    <d v="2014-03-13T00:00:00"/>
    <s v="as\afok"/>
    <m/>
    <s v="2012"/>
    <x v="0"/>
    <x v="0"/>
    <x v="0"/>
    <x v="0"/>
    <m/>
    <m/>
    <m/>
    <m/>
    <n v="78"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x v="3"/>
    <x v="1"/>
    <m/>
    <x v="7"/>
  </r>
  <r>
    <n v="278"/>
    <x v="233"/>
    <x v="233"/>
    <x v="221"/>
    <x v="3"/>
    <s v="WENDY HO"/>
    <n v="266"/>
    <s v="SIF"/>
    <s v="Supplier"/>
    <m/>
    <x v="304"/>
    <s v="USP_SIF_2013.xls"/>
    <s v=".xls"/>
    <d v="2014-03-13T00:00:00"/>
    <s v="as\afok"/>
    <m/>
    <s v="2013"/>
    <x v="0"/>
    <x v="0"/>
    <x v="0"/>
    <x v="0"/>
    <m/>
    <m/>
    <m/>
    <m/>
    <m/>
    <n v="2013"/>
    <n v="224000000"/>
    <n v="208000000"/>
    <n v="170000000"/>
    <n v="220000000"/>
    <n v="214000000"/>
    <n v="9"/>
    <n v="10"/>
    <n v="13"/>
    <n v="12"/>
    <n v="10"/>
    <s v="FP panel"/>
    <x v="1"/>
    <x v="3"/>
    <x v="0"/>
    <x v="0"/>
    <m/>
    <m/>
    <m/>
    <n v="0"/>
    <m/>
    <m/>
    <s v="FP"/>
    <s v="CP"/>
    <s v="SP"/>
    <s v="MOULD"/>
    <x v="3"/>
    <x v="1"/>
    <m/>
    <x v="7"/>
  </r>
  <r>
    <n v="279"/>
    <x v="233"/>
    <x v="233"/>
    <x v="221"/>
    <x v="3"/>
    <s v="WENDY HO"/>
    <n v="267"/>
    <s v="SIF"/>
    <s v="Supplier"/>
    <m/>
    <x v="37"/>
    <s v="USP_SIF 2012_1Mar12.xls"/>
    <s v=".xls"/>
    <d v="2014-03-13T00:00:00"/>
    <s v="as\afok"/>
    <m/>
    <s v="2012"/>
    <x v="0"/>
    <x v="0"/>
    <x v="0"/>
    <x v="0"/>
    <m/>
    <m/>
    <m/>
    <m/>
    <m/>
    <n v="2012"/>
    <m/>
    <n v="188000000"/>
    <n v="170000000"/>
    <n v="220000000"/>
    <n v="214000000"/>
    <m/>
    <n v="10"/>
    <n v="13"/>
    <n v="12"/>
    <n v="10"/>
    <s v="FP panel"/>
    <x v="1"/>
    <x v="3"/>
    <x v="0"/>
    <x v="0"/>
    <m/>
    <m/>
    <m/>
    <n v="0"/>
    <m/>
    <m/>
    <s v="FP"/>
    <s v="CP"/>
    <s v="SP"/>
    <s v="MOULD"/>
    <x v="3"/>
    <x v="1"/>
    <m/>
    <x v="7"/>
  </r>
  <r>
    <n v="2374"/>
    <x v="234"/>
    <x v="234"/>
    <x v="222"/>
    <x v="1"/>
    <s v="MAY LEE"/>
    <n v="2315"/>
    <s v="Contract: General Contract"/>
    <s v="Supplier"/>
    <m/>
    <x v="816"/>
    <s v="United Rubber_General Agreement_V7.pdf"/>
    <s v=".pdf"/>
    <d v="2014-04-17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x v="2"/>
    <x v="1"/>
    <m/>
    <x v="55"/>
  </r>
  <r>
    <n v="2377"/>
    <x v="234"/>
    <x v="234"/>
    <x v="222"/>
    <x v="1"/>
    <s v="MAY LEE"/>
    <n v="2318"/>
    <s v="Contract: Quality Appendix"/>
    <s v="Supplier"/>
    <m/>
    <x v="184"/>
    <s v="United Rubber_General Agreement_V7.pdf"/>
    <s v=".pdf"/>
    <d v="2014-04-17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x v="2"/>
    <x v="1"/>
    <m/>
    <x v="55"/>
  </r>
  <r>
    <n v="2376"/>
    <x v="234"/>
    <x v="234"/>
    <x v="222"/>
    <x v="1"/>
    <s v="MAY LEE"/>
    <n v="2317"/>
    <s v="Contract: Supply Chain Appendix"/>
    <s v="Supplier"/>
    <m/>
    <x v="816"/>
    <s v="United Rubber_General Agreement_V7.pdf"/>
    <s v=".pdf"/>
    <d v="2014-04-17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x v="2"/>
    <x v="1"/>
    <m/>
    <x v="55"/>
  </r>
  <r>
    <n v="2378"/>
    <x v="234"/>
    <x v="234"/>
    <x v="222"/>
    <x v="1"/>
    <s v="MAY LEE"/>
    <n v="2319"/>
    <s v="Declaration letter of group organization"/>
    <s v="Supplier"/>
    <m/>
    <x v="48"/>
    <s v="United Rubber_General Agreement_V7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55"/>
  </r>
  <r>
    <n v="2375"/>
    <x v="234"/>
    <x v="234"/>
    <x v="222"/>
    <x v="1"/>
    <s v="MAY LEE"/>
    <n v="2316"/>
    <s v="Environmental Declaration"/>
    <s v="Supplier"/>
    <m/>
    <x v="816"/>
    <s v="United Rubber_General Agreement_V7.pdf"/>
    <s v=".pdf"/>
    <d v="2014-04-17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55"/>
  </r>
  <r>
    <n v="2369"/>
    <x v="234"/>
    <x v="234"/>
    <x v="222"/>
    <x v="1"/>
    <s v="MAY LEE"/>
    <n v="2310"/>
    <s v="ISO 9001"/>
    <s v="Supplier"/>
    <d v="2012-10-20T00:00:00"/>
    <x v="549"/>
    <s v="United Rubber_ISO9001_21Oct2009.jpg"/>
    <s v=".jpg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55"/>
  </r>
  <r>
    <n v="2380"/>
    <x v="234"/>
    <x v="234"/>
    <x v="222"/>
    <x v="1"/>
    <s v="MAY LEE"/>
    <n v="2321"/>
    <s v="LOC (Letter of Confidentiality)"/>
    <s v="Supplier"/>
    <m/>
    <x v="817"/>
    <s v="Letter of Confidentiality - United Rubber_7Sep2011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x v="2"/>
    <x v="1"/>
    <m/>
    <x v="55"/>
  </r>
  <r>
    <n v="2370"/>
    <x v="234"/>
    <x v="234"/>
    <x v="222"/>
    <x v="1"/>
    <s v="MAY LEE"/>
    <n v="2311"/>
    <s v="Other business certifications (ex : FSC for Packaging)"/>
    <s v="Supplier"/>
    <d v="2012-10-20T00:00:00"/>
    <x v="549"/>
    <s v="United Rubber_ISOTS16949_21Oct2009.jpg"/>
    <s v=".jpg"/>
    <d v="2014-04-17T00:00:00"/>
    <s v="as\afok"/>
    <s v="ISOTS16949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55"/>
  </r>
  <r>
    <n v="2368"/>
    <x v="234"/>
    <x v="234"/>
    <x v="222"/>
    <x v="1"/>
    <s v="MAY LEE"/>
    <n v="2309"/>
    <s v="Responsible Purchasing Charter"/>
    <s v="Supplier"/>
    <m/>
    <x v="154"/>
    <s v="United_rubber_Responsible_Purchasing_Charter_03Aug12.pdf"/>
    <s v=".pdf"/>
    <d v="2014-04-17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55"/>
  </r>
  <r>
    <n v="2373"/>
    <x v="234"/>
    <x v="234"/>
    <x v="222"/>
    <x v="1"/>
    <s v="MAY LEE"/>
    <n v="2314"/>
    <s v="SEF"/>
    <s v="Supplier"/>
    <m/>
    <x v="183"/>
    <s v="SEF - Uniited Rubber_2012.xlsx"/>
    <s v=".xlsx"/>
    <d v="2014-04-17T00:00:00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55"/>
  </r>
  <r>
    <n v="2371"/>
    <x v="234"/>
    <x v="234"/>
    <x v="222"/>
    <x v="1"/>
    <s v="MAY LEE"/>
    <n v="2312"/>
    <s v="SEF"/>
    <s v="Supplier"/>
    <m/>
    <x v="481"/>
    <s v="United Rubber_SEF_2012-2.xlsx"/>
    <s v=".xlsx"/>
    <d v="2014-04-17T00:00:00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55"/>
  </r>
  <r>
    <n v="2367"/>
    <x v="234"/>
    <x v="234"/>
    <x v="222"/>
    <x v="1"/>
    <s v="MAY LEE"/>
    <n v="2308"/>
    <s v="SIF"/>
    <s v="Supplier"/>
    <m/>
    <x v="11"/>
    <s v="United_Rubber_SIF 2013.xlsx"/>
    <s v=".xlsx"/>
    <d v="2014-04-17T00:00:00"/>
    <s v="as\afok"/>
    <m/>
    <s v="2013"/>
    <x v="0"/>
    <x v="0"/>
    <x v="0"/>
    <x v="0"/>
    <m/>
    <m/>
    <m/>
    <m/>
    <m/>
    <n v="2013"/>
    <n v="10500000"/>
    <n v="10000000"/>
    <n v="10000000"/>
    <n v="10000000"/>
    <n v="9800000"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55"/>
  </r>
  <r>
    <n v="2379"/>
    <x v="234"/>
    <x v="234"/>
    <x v="222"/>
    <x v="1"/>
    <s v="MAY LEE"/>
    <n v="2320"/>
    <s v="SIF"/>
    <s v="Supplier"/>
    <m/>
    <x v="20"/>
    <s v="United Rubber_SIF2012_22Mar12.xlsx"/>
    <s v=".xlsx"/>
    <d v="2014-04-17T00:00:00"/>
    <s v="as\afok"/>
    <m/>
    <s v="2012"/>
    <x v="0"/>
    <x v="0"/>
    <x v="0"/>
    <x v="0"/>
    <m/>
    <m/>
    <m/>
    <m/>
    <m/>
    <n v="2012"/>
    <n v="10500000"/>
    <n v="10500000"/>
    <n v="10000000"/>
    <n v="10000000"/>
    <n v="10000000"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55"/>
  </r>
  <r>
    <n v="2366"/>
    <x v="234"/>
    <x v="234"/>
    <x v="222"/>
    <x v="1"/>
    <s v="MAY LEE"/>
    <n v="2307"/>
    <s v="SIF"/>
    <s v="Supplier"/>
    <m/>
    <x v="46"/>
    <s v="United_Rubber_SIF_2014.xlsx"/>
    <s v=".xlsx"/>
    <d v="2014-04-17T00:00:00"/>
    <s v="as\afok"/>
    <m/>
    <s v="2014"/>
    <x v="0"/>
    <x v="0"/>
    <x v="0"/>
    <x v="0"/>
    <m/>
    <m/>
    <m/>
    <m/>
    <m/>
    <n v="2014"/>
    <n v="10500000"/>
    <n v="10000000"/>
    <n v="10000000"/>
    <n v="10000000"/>
    <n v="9800000"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55"/>
  </r>
  <r>
    <n v="2372"/>
    <x v="234"/>
    <x v="234"/>
    <x v="222"/>
    <x v="1"/>
    <s v="MAY LEE"/>
    <n v="2313"/>
    <s v="SPR"/>
    <s v="Supplier"/>
    <m/>
    <x v="115"/>
    <s v="United Rubber 2012 SPR.pptx"/>
    <s v=".pptx"/>
    <d v="2014-04-17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x v="2"/>
    <x v="1"/>
    <m/>
    <x v="55"/>
  </r>
  <r>
    <n v="1114"/>
    <x v="235"/>
    <x v="235"/>
    <x v="223"/>
    <x v="1"/>
    <s v="EVA LAI"/>
    <n v="1090"/>
    <s v="Responsible Purchasing Charter"/>
    <s v="Supplier"/>
    <m/>
    <x v="640"/>
    <s v="Uniwell_Responsible Purchasing Charter_20mar2013.pdf"/>
    <s v=".pdf"/>
    <d v="2014-03-25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1115"/>
    <x v="235"/>
    <x v="235"/>
    <x v="223"/>
    <x v="1"/>
    <s v="EVA LAI"/>
    <n v="1091"/>
    <s v="SIF"/>
    <s v="Supplier"/>
    <m/>
    <x v="640"/>
    <s v="Uniwell_SIF 2013.XLSX"/>
    <s v=".xlsx"/>
    <d v="2014-03-25T00:00:00"/>
    <s v="as\afok"/>
    <m/>
    <s v="2013"/>
    <x v="0"/>
    <x v="0"/>
    <x v="0"/>
    <x v="0"/>
    <m/>
    <m/>
    <m/>
    <m/>
    <m/>
    <n v="2013"/>
    <n v="65000000"/>
    <n v="51000000"/>
    <n v="31000000"/>
    <n v="28000000"/>
    <n v="26000000"/>
    <m/>
    <m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923"/>
    <x v="236"/>
    <x v="236"/>
    <x v="224"/>
    <x v="1"/>
    <s v="DOUGLAS LAM"/>
    <n v="901"/>
    <s v="Contract: Quality Appendix"/>
    <s v="Supplier"/>
    <m/>
    <x v="818"/>
    <s v="V_motor_Quality Policy_20121116.pdf"/>
    <s v=".pdf"/>
    <d v="2014-03-24T00:00:0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0"/>
    <m/>
    <m/>
    <m/>
    <s v="CP"/>
    <m/>
    <m/>
    <x v="2"/>
    <x v="1"/>
    <m/>
    <x v="6"/>
  </r>
  <r>
    <n v="925"/>
    <x v="236"/>
    <x v="236"/>
    <x v="224"/>
    <x v="1"/>
    <s v="DOUGLAS LAM"/>
    <n v="903"/>
    <s v="Environmental Declaration"/>
    <s v="Supplier"/>
    <m/>
    <x v="186"/>
    <s v="V_Motor_Env_Declaration_07Jun2010.pdf"/>
    <s v=".pdf"/>
    <d v="2014-03-24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6"/>
  </r>
  <r>
    <n v="924"/>
    <x v="236"/>
    <x v="236"/>
    <x v="224"/>
    <x v="1"/>
    <s v="DOUGLAS LAM"/>
    <n v="902"/>
    <s v="Responsible Purchasing Charter"/>
    <s v="Supplier"/>
    <m/>
    <x v="621"/>
    <s v="V_motor_Responsible Purchasing Charter_06sept2012.PDF"/>
    <s v=".pdf"/>
    <d v="2014-03-2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6"/>
  </r>
  <r>
    <n v="920"/>
    <x v="236"/>
    <x v="236"/>
    <x v="224"/>
    <x v="1"/>
    <s v="DOUGLAS LAM"/>
    <n v="898"/>
    <s v="SEF"/>
    <s v="Supplier"/>
    <m/>
    <x v="819"/>
    <s v="VM SEF 2013-Manufacturer-20130601-89.xlsx"/>
    <s v=".xlsx"/>
    <d v="2014-03-21T00:00:00"/>
    <s v="as\afok"/>
    <m/>
    <s v="2013"/>
    <x v="0"/>
    <x v="0"/>
    <x v="0"/>
    <x v="0"/>
    <m/>
    <m/>
    <m/>
    <m/>
    <n v="89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6"/>
  </r>
  <r>
    <n v="926"/>
    <x v="236"/>
    <x v="236"/>
    <x v="224"/>
    <x v="1"/>
    <s v="DOUGLAS LAM"/>
    <n v="904"/>
    <s v="SEF"/>
    <s v="Supplier"/>
    <m/>
    <x v="10"/>
    <s v="V Motor_SEF_2012.xlsx"/>
    <s v=".xlsx"/>
    <d v="2014-03-24T00:00:00"/>
    <s v="as\afok"/>
    <m/>
    <s v="2012"/>
    <x v="0"/>
    <x v="0"/>
    <x v="0"/>
    <x v="0"/>
    <m/>
    <m/>
    <m/>
    <m/>
    <n v="79"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6"/>
  </r>
  <r>
    <n v="922"/>
    <x v="236"/>
    <x v="236"/>
    <x v="224"/>
    <x v="1"/>
    <s v="DOUGLAS LAM"/>
    <n v="900"/>
    <s v="SIF"/>
    <s v="Supplier"/>
    <m/>
    <x v="640"/>
    <s v="V motor_SIF 2013.xls"/>
    <s v=".xls"/>
    <d v="2014-03-24T00:00:00"/>
    <s v="as\afok"/>
    <m/>
    <s v="2013"/>
    <x v="0"/>
    <x v="0"/>
    <x v="0"/>
    <x v="0"/>
    <m/>
    <m/>
    <m/>
    <m/>
    <m/>
    <n v="2013"/>
    <n v="100000000"/>
    <n v="75000000"/>
    <n v="65000000"/>
    <n v="61000000"/>
    <n v="52000000"/>
    <n v="6"/>
    <n v="5.2"/>
    <n v="3.8"/>
    <n v="3"/>
    <n v="4"/>
    <m/>
    <x v="0"/>
    <x v="0"/>
    <x v="0"/>
    <x v="0"/>
    <m/>
    <m/>
    <m/>
    <n v="0"/>
    <m/>
    <m/>
    <m/>
    <s v="CP"/>
    <m/>
    <m/>
    <x v="2"/>
    <x v="1"/>
    <m/>
    <x v="6"/>
  </r>
  <r>
    <n v="921"/>
    <x v="236"/>
    <x v="236"/>
    <x v="224"/>
    <x v="1"/>
    <s v="DOUGLAS LAM"/>
    <n v="899"/>
    <s v="Social Audit"/>
    <s v="Supplier"/>
    <m/>
    <x v="284"/>
    <s v="V_Motor_Social Audit_warning letter_Jul2013.pdf"/>
    <s v=".pdf"/>
    <d v="2014-03-24T00:00:00"/>
    <s v="as\afok"/>
    <s v="Social Audit_warning letter"/>
    <m/>
    <x v="0"/>
    <x v="0"/>
    <x v="0"/>
    <x v="0"/>
    <m/>
    <s v="SEB Asia"/>
    <s v="Initial"/>
    <s v="Major"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6"/>
  </r>
  <r>
    <n v="2119"/>
    <x v="237"/>
    <x v="237"/>
    <x v="225"/>
    <x v="4"/>
    <s v="RICKY LAM"/>
    <n v="2062"/>
    <s v="Contract: General Contract"/>
    <s v="Supplier"/>
    <m/>
    <x v="820"/>
    <s v="Vigor_Purchasing_Agreement_11Jun2010.pdf"/>
    <s v=".pdf"/>
    <d v="2014-04-14T00:00:00"/>
    <s v="as\afok"/>
    <m/>
    <s v="V5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m/>
    <x v="2"/>
    <x v="1"/>
    <m/>
    <x v="56"/>
  </r>
  <r>
    <n v="2114"/>
    <x v="237"/>
    <x v="237"/>
    <x v="225"/>
    <x v="4"/>
    <s v="RICKY LAM"/>
    <n v="2057"/>
    <s v="Contract: General Contract"/>
    <s v="Supplier"/>
    <m/>
    <x v="821"/>
    <s v="Vigor_SupplyAgreement_Dec2013.pdf"/>
    <s v=".pdf"/>
    <d v="2014-04-14T00:00:00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m/>
    <x v="2"/>
    <x v="1"/>
    <m/>
    <x v="56"/>
  </r>
  <r>
    <n v="2120"/>
    <x v="237"/>
    <x v="237"/>
    <x v="225"/>
    <x v="4"/>
    <s v="RICKY LAM"/>
    <n v="2063"/>
    <s v="Contract: Quality Appendix"/>
    <s v="Supplier"/>
    <m/>
    <x v="822"/>
    <s v="Vigor_Purchasing_Agreement_11Jun2010.pdf"/>
    <s v=".pdf"/>
    <d v="2014-04-14T00:00:00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7"/>
    <m/>
    <n v="1"/>
    <m/>
    <n v="1"/>
    <m/>
    <m/>
    <m/>
    <s v="CP"/>
    <m/>
    <m/>
    <x v="2"/>
    <x v="1"/>
    <m/>
    <x v="56"/>
  </r>
  <r>
    <n v="2115"/>
    <x v="237"/>
    <x v="237"/>
    <x v="225"/>
    <x v="4"/>
    <s v="RICKY LAM"/>
    <n v="2058"/>
    <s v="Contract: Supply Chain Appendix"/>
    <s v="Supplier"/>
    <m/>
    <x v="472"/>
    <s v="supply_chain_appendix_REVISED_Vigor_21Aug2012.pdf"/>
    <s v=".pdf"/>
    <d v="2014-04-14T00:00:00"/>
    <s v="as\afok"/>
    <m/>
    <m/>
    <x v="0"/>
    <x v="2"/>
    <x v="2"/>
    <x v="0"/>
    <m/>
    <m/>
    <m/>
    <m/>
    <m/>
    <m/>
    <m/>
    <m/>
    <m/>
    <m/>
    <m/>
    <m/>
    <m/>
    <m/>
    <m/>
    <m/>
    <s v="CP Panel"/>
    <x v="0"/>
    <x v="0"/>
    <x v="1"/>
    <x v="7"/>
    <m/>
    <m/>
    <n v="1"/>
    <n v="1"/>
    <m/>
    <m/>
    <m/>
    <s v="CP"/>
    <m/>
    <m/>
    <x v="2"/>
    <x v="1"/>
    <m/>
    <x v="56"/>
  </r>
  <r>
    <n v="2118"/>
    <x v="237"/>
    <x v="237"/>
    <x v="225"/>
    <x v="4"/>
    <s v="RICKY LAM"/>
    <n v="2061"/>
    <s v="Environmental Declaration"/>
    <s v="Supplier"/>
    <m/>
    <x v="62"/>
    <s v="Vigor_Env_declaration_23Mar2010.pdf"/>
    <s v=".pdf"/>
    <d v="2014-04-14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56"/>
  </r>
  <r>
    <n v="2123"/>
    <x v="237"/>
    <x v="237"/>
    <x v="225"/>
    <x v="4"/>
    <s v="RICKY LAM"/>
    <n v="2066"/>
    <s v="LOC (Letter of Confidentiality)"/>
    <s v="Product / Project"/>
    <m/>
    <x v="823"/>
    <s v="LOC_Vigor_(Tokyo,Motor+Gear_Project).pdf"/>
    <s v=".pdf"/>
    <d v="2014-04-14T00:00:00"/>
    <s v="as\afok"/>
    <m/>
    <m/>
    <x v="0"/>
    <x v="0"/>
    <x v="0"/>
    <x v="0"/>
    <s v="Tokyo,Motor+Gear"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56"/>
  </r>
  <r>
    <n v="2122"/>
    <x v="237"/>
    <x v="237"/>
    <x v="225"/>
    <x v="4"/>
    <s v="RICKY LAM"/>
    <n v="2065"/>
    <s v="LOC (Letter of Confidentiality)"/>
    <s v="Product / Project"/>
    <m/>
    <x v="32"/>
    <s v="LOC_Vigor_Rome_Project.pdf"/>
    <s v=".pdf"/>
    <d v="2014-04-14T00:00:00"/>
    <s v="as\afok"/>
    <m/>
    <m/>
    <x v="0"/>
    <x v="0"/>
    <x v="0"/>
    <x v="0"/>
    <s v="Rome"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56"/>
  </r>
  <r>
    <n v="2121"/>
    <x v="237"/>
    <x v="237"/>
    <x v="225"/>
    <x v="4"/>
    <s v="RICKY LAM"/>
    <n v="2064"/>
    <s v="LOC (Letter of Confidentiality)"/>
    <s v="Product / Project"/>
    <m/>
    <x v="178"/>
    <s v="LOC_Vigor(Nara_Project).pdf"/>
    <s v=".pdf"/>
    <d v="2014-04-14T00:00:00"/>
    <s v="as\afok"/>
    <m/>
    <m/>
    <x v="0"/>
    <x v="0"/>
    <x v="0"/>
    <x v="0"/>
    <s v="Nara"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56"/>
  </r>
  <r>
    <n v="2117"/>
    <x v="237"/>
    <x v="237"/>
    <x v="225"/>
    <x v="4"/>
    <s v="RICKY LAM"/>
    <n v="2060"/>
    <s v="Responsible Purchasing Charter"/>
    <s v="Supplier"/>
    <m/>
    <x v="8"/>
    <s v="Vigor_Responsible_Purchasing_Charter_08Aug12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56"/>
  </r>
  <r>
    <n v="2124"/>
    <x v="237"/>
    <x v="237"/>
    <x v="225"/>
    <x v="4"/>
    <s v="RICKY LAM"/>
    <n v="2067"/>
    <s v="SEF"/>
    <s v="Supplier"/>
    <m/>
    <x v="246"/>
    <s v="Vigor_SEF_Dec2011_R2.xlsx"/>
    <s v=".xlsx"/>
    <d v="2014-04-14T00:00:00"/>
    <s v="as\afok"/>
    <m/>
    <s v="2011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x v="2"/>
    <x v="1"/>
    <m/>
    <x v="56"/>
  </r>
  <r>
    <n v="2116"/>
    <x v="237"/>
    <x v="237"/>
    <x v="225"/>
    <x v="4"/>
    <s v="RICKY LAM"/>
    <n v="2059"/>
    <s v="SIF"/>
    <s v="Supplier"/>
    <m/>
    <x v="431"/>
    <s v="Vigor_SIF2013.xls"/>
    <s v=".xls"/>
    <d v="2014-04-14T00:00:00"/>
    <s v="as\afok"/>
    <m/>
    <s v="2013"/>
    <x v="0"/>
    <x v="0"/>
    <x v="0"/>
    <x v="0"/>
    <m/>
    <m/>
    <m/>
    <m/>
    <m/>
    <n v="2013"/>
    <n v="50000000"/>
    <n v="50000000"/>
    <n v="50000000"/>
    <n v="50000000"/>
    <n v="45000000"/>
    <n v="0"/>
    <n v="0"/>
    <n v="0"/>
    <n v="0"/>
    <n v="0.65"/>
    <s v="CP Panel"/>
    <x v="0"/>
    <x v="0"/>
    <x v="1"/>
    <x v="7"/>
    <m/>
    <m/>
    <m/>
    <n v="1"/>
    <m/>
    <m/>
    <m/>
    <s v="CP"/>
    <m/>
    <m/>
    <x v="2"/>
    <x v="1"/>
    <m/>
    <x v="56"/>
  </r>
  <r>
    <n v="2125"/>
    <x v="237"/>
    <x v="237"/>
    <x v="225"/>
    <x v="4"/>
    <s v="RICKY LAM"/>
    <n v="2068"/>
    <s v="SPR"/>
    <s v="Supplier"/>
    <m/>
    <x v="66"/>
    <s v="SPR_Vigor_Jun2011_R1.pptx"/>
    <s v=".pptx"/>
    <d v="2014-04-14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n v="1"/>
    <m/>
    <m/>
    <s v="CP"/>
    <m/>
    <m/>
    <x v="2"/>
    <x v="1"/>
    <m/>
    <x v="56"/>
  </r>
  <r>
    <n v="2692"/>
    <x v="238"/>
    <x v="238"/>
    <x v="226"/>
    <x v="0"/>
    <s v="KITTY LAI"/>
    <n v="2535"/>
    <s v="SIF"/>
    <s v="Supplier"/>
    <m/>
    <x v="476"/>
    <s v="Volume_Tableware_SIF 2013.xls"/>
    <s v=".xls"/>
    <d v="2014-04-24T00:00:00"/>
    <s v="as\afok"/>
    <m/>
    <s v="2013"/>
    <x v="0"/>
    <x v="0"/>
    <x v="0"/>
    <x v="0"/>
    <m/>
    <m/>
    <m/>
    <m/>
    <m/>
    <n v="2013"/>
    <n v="11100000"/>
    <n v="10500000"/>
    <n v="9300000"/>
    <n v="8500000"/>
    <n v="7300000"/>
    <n v="0.01"/>
    <n v="0.02"/>
    <n v="0.01"/>
    <n v="2"/>
    <n v="1.4"/>
    <m/>
    <x v="0"/>
    <x v="0"/>
    <x v="0"/>
    <x v="0"/>
    <m/>
    <m/>
    <m/>
    <n v="0"/>
    <m/>
    <m/>
    <s v="FP"/>
    <m/>
    <m/>
    <m/>
    <x v="0"/>
    <x v="1"/>
    <m/>
    <x v="0"/>
  </r>
  <r>
    <n v="2693"/>
    <x v="238"/>
    <x v="238"/>
    <x v="226"/>
    <x v="0"/>
    <s v="KITTY LAI"/>
    <n v="2536"/>
    <s v="SIF"/>
    <s v="Supplier"/>
    <m/>
    <x v="531"/>
    <s v="Volume_Tableware_SIF2012_29Feb12.xls"/>
    <s v=".xls"/>
    <d v="2014-04-24T00:00:00"/>
    <s v="as\afok"/>
    <m/>
    <s v="2012"/>
    <x v="0"/>
    <x v="0"/>
    <x v="0"/>
    <x v="0"/>
    <m/>
    <m/>
    <m/>
    <m/>
    <m/>
    <n v="2012"/>
    <n v="10500000"/>
    <n v="9300000"/>
    <n v="8500000"/>
    <n v="7300000"/>
    <n v="6500000"/>
    <n v="0.02"/>
    <n v="0.01"/>
    <n v="2"/>
    <n v="1.4"/>
    <n v="2"/>
    <m/>
    <x v="0"/>
    <x v="0"/>
    <x v="0"/>
    <x v="0"/>
    <m/>
    <m/>
    <m/>
    <n v="0"/>
    <m/>
    <n v="1"/>
    <s v="FP"/>
    <m/>
    <m/>
    <m/>
    <x v="0"/>
    <x v="1"/>
    <m/>
    <x v="0"/>
  </r>
  <r>
    <n v="4"/>
    <x v="239"/>
    <x v="239"/>
    <x v="227"/>
    <x v="1"/>
    <s v="DAVID LIM"/>
    <n v="3"/>
    <s v="Contract: General Contract"/>
    <s v="Supplier"/>
    <d v="2015-12-31T00:00:00"/>
    <x v="824"/>
    <s v="VS_General Agreement(CP)_V7.pdf"/>
    <s v=".pdf"/>
    <d v="2014-03-03T00:00:00"/>
    <s v="as\afok"/>
    <m/>
    <s v="V7"/>
    <x v="7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1"/>
    <n v="1"/>
    <m/>
    <m/>
    <n v="0"/>
    <m/>
    <m/>
    <s v="FP"/>
    <s v="CP"/>
    <s v="SP"/>
    <s v="MOULD"/>
    <x v="3"/>
    <x v="1"/>
    <m/>
    <x v="57"/>
  </r>
  <r>
    <n v="6"/>
    <x v="239"/>
    <x v="239"/>
    <x v="227"/>
    <x v="1"/>
    <s v="DAVID LIM"/>
    <n v="4"/>
    <s v="Contract: General Contract"/>
    <s v="Supplier"/>
    <d v="2015-12-31T00:00:00"/>
    <x v="242"/>
    <s v="VS_General Agreement(FP)_V7.pdf"/>
    <s v=".pdf"/>
    <d v="2014-03-03T00:00:00"/>
    <s v="as\afok"/>
    <s v="CP"/>
    <s v="FHA00016 ind.11 "/>
    <x v="7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1"/>
    <n v="1"/>
    <m/>
    <m/>
    <n v="0"/>
    <m/>
    <m/>
    <s v="FP"/>
    <s v="CP"/>
    <s v="SP"/>
    <s v="MOULD"/>
    <x v="3"/>
    <x v="1"/>
    <m/>
    <x v="57"/>
  </r>
  <r>
    <n v="7"/>
    <x v="239"/>
    <x v="239"/>
    <x v="227"/>
    <x v="1"/>
    <s v="DAVID LIM"/>
    <n v="5"/>
    <s v="Contract: General Contract"/>
    <s v="Supplier"/>
    <d v="2015-12-31T00:00:00"/>
    <x v="242"/>
    <s v="VS_General Agreement(FP-KI)_V7.pdf"/>
    <s v=".pdf"/>
    <d v="2014-03-03T00:00:00"/>
    <s v="as\afok"/>
    <s v="FP"/>
    <s v="FHA00016 ind.11 "/>
    <x v="7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1"/>
    <n v="1"/>
    <m/>
    <m/>
    <n v="0"/>
    <m/>
    <m/>
    <s v="FP"/>
    <s v="CP"/>
    <s v="SP"/>
    <s v="MOULD"/>
    <x v="3"/>
    <x v="1"/>
    <m/>
    <x v="57"/>
  </r>
  <r>
    <n v="580"/>
    <x v="239"/>
    <x v="239"/>
    <x v="227"/>
    <x v="1"/>
    <s v="DAVID LIM"/>
    <n v="563"/>
    <s v="Declaration letter of group organization"/>
    <s v="Supplier"/>
    <m/>
    <x v="242"/>
    <s v="VS_General Agreement(CP)_V7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1"/>
    <m/>
    <m/>
    <m/>
    <n v="0"/>
    <m/>
    <m/>
    <s v="FP"/>
    <s v="CP"/>
    <s v="SP"/>
    <s v="MOULD"/>
    <x v="3"/>
    <x v="1"/>
    <m/>
    <x v="57"/>
  </r>
  <r>
    <n v="667"/>
    <x v="239"/>
    <x v="239"/>
    <x v="227"/>
    <x v="1"/>
    <s v="DAVID LIM"/>
    <n v="650"/>
    <s v="LOC (Letter of Confidentiality)"/>
    <s v="Product / Project"/>
    <m/>
    <x v="546"/>
    <s v="VS_Front panel subset_LOC.pdf"/>
    <s v=".pdf"/>
    <d v="2014-03-19T00:00:00"/>
    <s v="as\afok"/>
    <m/>
    <m/>
    <x v="0"/>
    <x v="0"/>
    <x v="0"/>
    <x v="0"/>
    <s v="Front panel subset"/>
    <m/>
    <m/>
    <m/>
    <m/>
    <m/>
    <m/>
    <m/>
    <m/>
    <m/>
    <m/>
    <m/>
    <m/>
    <m/>
    <m/>
    <m/>
    <s v="FP Panel and  CP Panel"/>
    <x v="1"/>
    <x v="2"/>
    <x v="1"/>
    <x v="1"/>
    <m/>
    <m/>
    <m/>
    <n v="0"/>
    <m/>
    <n v="1"/>
    <s v="FP"/>
    <s v="CP"/>
    <s v="SP"/>
    <s v="MOULD"/>
    <x v="3"/>
    <x v="1"/>
    <m/>
    <x v="57"/>
  </r>
  <r>
    <n v="666"/>
    <x v="239"/>
    <x v="239"/>
    <x v="227"/>
    <x v="1"/>
    <s v="DAVID LIM"/>
    <n v="649"/>
    <s v="Other business certifications (ex : FSC for Packaging)"/>
    <s v="Supplier"/>
    <m/>
    <x v="825"/>
    <s v="VS_Conformity declaration_23jul2013.pdf"/>
    <s v=".pdf"/>
    <d v="2014-03-19T00:00:00"/>
    <s v="as\afok"/>
    <s v="Conformity declaration"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1"/>
    <m/>
    <m/>
    <m/>
    <n v="0"/>
    <m/>
    <m/>
    <s v="FP"/>
    <s v="CP"/>
    <s v="SP"/>
    <s v="MOULD"/>
    <x v="3"/>
    <x v="1"/>
    <m/>
    <x v="57"/>
  </r>
  <r>
    <n v="663"/>
    <x v="239"/>
    <x v="239"/>
    <x v="227"/>
    <x v="1"/>
    <s v="DAVID LIM"/>
    <n v="646"/>
    <s v="Responsible Purchasing Charter"/>
    <s v="Supplier"/>
    <m/>
    <x v="51"/>
    <s v="VS_Responsible_Purchasing_Charter_03Aug12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1"/>
    <m/>
    <m/>
    <m/>
    <n v="0"/>
    <m/>
    <m/>
    <s v="FP"/>
    <s v="CP"/>
    <s v="SP"/>
    <s v="MOULD"/>
    <x v="3"/>
    <x v="1"/>
    <m/>
    <x v="57"/>
  </r>
  <r>
    <n v="665"/>
    <x v="239"/>
    <x v="239"/>
    <x v="227"/>
    <x v="1"/>
    <s v="DAVID LIM"/>
    <n v="648"/>
    <s v="SEF"/>
    <s v="Supplier"/>
    <m/>
    <x v="117"/>
    <s v="VSA_SEF_May2013.xlsx"/>
    <s v=".xlsx"/>
    <d v="2014-03-19T00:00:00"/>
    <s v="as\afok"/>
    <m/>
    <s v="2013"/>
    <x v="0"/>
    <x v="0"/>
    <x v="0"/>
    <x v="0"/>
    <m/>
    <m/>
    <m/>
    <m/>
    <n v="77"/>
    <m/>
    <m/>
    <m/>
    <m/>
    <m/>
    <m/>
    <m/>
    <m/>
    <m/>
    <m/>
    <m/>
    <s v="FP Panel and  CP Panel"/>
    <x v="1"/>
    <x v="2"/>
    <x v="1"/>
    <x v="1"/>
    <m/>
    <m/>
    <m/>
    <n v="0"/>
    <m/>
    <m/>
    <s v="FP"/>
    <s v="CP"/>
    <s v="SP"/>
    <s v="MOULD"/>
    <x v="3"/>
    <x v="1"/>
    <m/>
    <x v="57"/>
  </r>
  <r>
    <n v="661"/>
    <x v="239"/>
    <x v="239"/>
    <x v="227"/>
    <x v="1"/>
    <s v="DAVID LIM"/>
    <n v="644"/>
    <s v="SEF"/>
    <s v="Supplier"/>
    <m/>
    <x v="107"/>
    <s v="VS_SEF 2012 Nov.xlsx"/>
    <s v=".xlsx"/>
    <d v="2014-03-19T00:00:00"/>
    <s v="as\afok"/>
    <m/>
    <s v="2012"/>
    <x v="0"/>
    <x v="0"/>
    <x v="0"/>
    <x v="0"/>
    <m/>
    <m/>
    <m/>
    <m/>
    <n v="76"/>
    <m/>
    <m/>
    <m/>
    <m/>
    <m/>
    <m/>
    <m/>
    <m/>
    <m/>
    <m/>
    <m/>
    <s v="FP Panel and  CP Panel"/>
    <x v="1"/>
    <x v="2"/>
    <x v="1"/>
    <x v="1"/>
    <m/>
    <m/>
    <m/>
    <n v="0"/>
    <m/>
    <m/>
    <s v="FP"/>
    <s v="CP"/>
    <s v="SP"/>
    <s v="MOULD"/>
    <x v="3"/>
    <x v="1"/>
    <m/>
    <x v="57"/>
  </r>
  <r>
    <n v="664"/>
    <x v="239"/>
    <x v="239"/>
    <x v="227"/>
    <x v="1"/>
    <s v="DAVID LIM"/>
    <n v="647"/>
    <s v="SIF"/>
    <s v="Supplier"/>
    <m/>
    <x v="640"/>
    <s v="VSA_SIF 2013.xls"/>
    <s v=".xls"/>
    <d v="2014-03-19T00:00:00"/>
    <s v="as\afok"/>
    <m/>
    <s v="2013"/>
    <x v="0"/>
    <x v="0"/>
    <x v="0"/>
    <x v="0"/>
    <m/>
    <m/>
    <m/>
    <m/>
    <m/>
    <n v="2013"/>
    <n v="220000000"/>
    <n v="196506364"/>
    <n v="211627792"/>
    <n v="194401039"/>
    <n v="155691948"/>
    <n v="15"/>
    <n v="10"/>
    <n v="6"/>
    <n v="7"/>
    <n v="6"/>
    <s v="FP Panel and  CP Panel"/>
    <x v="1"/>
    <x v="2"/>
    <x v="1"/>
    <x v="1"/>
    <m/>
    <m/>
    <m/>
    <n v="0"/>
    <m/>
    <m/>
    <s v="FP"/>
    <s v="CP"/>
    <s v="SP"/>
    <s v="MOULD"/>
    <x v="3"/>
    <x v="1"/>
    <m/>
    <x v="57"/>
  </r>
  <r>
    <n v="660"/>
    <x v="239"/>
    <x v="239"/>
    <x v="227"/>
    <x v="1"/>
    <s v="DAVID LIM"/>
    <n v="643"/>
    <s v="SIF"/>
    <s v="Supplier"/>
    <m/>
    <x v="143"/>
    <s v="VS_SIF2012_2Mar12.xls"/>
    <s v=".xls"/>
    <d v="2014-03-19T00:00:00"/>
    <s v="as\afok"/>
    <m/>
    <s v="2012"/>
    <x v="0"/>
    <x v="0"/>
    <x v="0"/>
    <x v="0"/>
    <m/>
    <m/>
    <m/>
    <m/>
    <m/>
    <n v="2012"/>
    <m/>
    <m/>
    <n v="121000000"/>
    <n v="114000000"/>
    <n v="93000000"/>
    <m/>
    <m/>
    <m/>
    <m/>
    <m/>
    <s v="FP Panel and  CP Panel"/>
    <x v="1"/>
    <x v="2"/>
    <x v="1"/>
    <x v="1"/>
    <m/>
    <m/>
    <m/>
    <n v="0"/>
    <m/>
    <m/>
    <s v="FP"/>
    <s v="CP"/>
    <s v="SP"/>
    <s v="MOULD"/>
    <x v="3"/>
    <x v="1"/>
    <m/>
    <x v="57"/>
  </r>
  <r>
    <n v="662"/>
    <x v="239"/>
    <x v="239"/>
    <x v="227"/>
    <x v="1"/>
    <s v="DAVID LIM"/>
    <n v="645"/>
    <s v="SPR"/>
    <s v="Supplier"/>
    <m/>
    <x v="115"/>
    <s v="VS_SPR_Oct2012.pptx"/>
    <s v=".pptx"/>
    <d v="2014-03-19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1"/>
    <m/>
    <m/>
    <m/>
    <n v="0"/>
    <m/>
    <m/>
    <s v="FP"/>
    <s v="CP"/>
    <s v="SP"/>
    <s v="MOULD"/>
    <x v="3"/>
    <x v="1"/>
    <m/>
    <x v="57"/>
  </r>
  <r>
    <n v="1918"/>
    <x v="240"/>
    <x v="240"/>
    <x v="228"/>
    <x v="4"/>
    <s v="MAVERICK LAU"/>
    <n v="1871"/>
    <s v="Contract: General Contract"/>
    <s v="Supplier"/>
    <m/>
    <x v="670"/>
    <s v="Upwill_agreement_APR2012.pdf"/>
    <s v=".pdf"/>
    <d v="2014-04-10T00:00:00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x v="2"/>
    <x v="1"/>
    <m/>
    <x v="6"/>
  </r>
  <r>
    <n v="1923"/>
    <x v="240"/>
    <x v="240"/>
    <x v="228"/>
    <x v="4"/>
    <s v="MAVERICK LAU"/>
    <n v="1876"/>
    <s v="Contract: General Contract"/>
    <s v="Supplier"/>
    <m/>
    <x v="132"/>
    <s v="Upwill_agreement_Revised_Sep2012.pdf"/>
    <s v=".pdf"/>
    <d v="2014-04-10T00:00:00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x v="2"/>
    <x v="1"/>
    <m/>
    <x v="6"/>
  </r>
  <r>
    <n v="1924"/>
    <x v="241"/>
    <x v="241"/>
    <x v="228"/>
    <x v="4"/>
    <s v="MAVERICK LAU"/>
    <n v="1877"/>
    <s v="Contract: General Contract"/>
    <s v="Supplier"/>
    <m/>
    <x v="670"/>
    <s v="WaiShing_agreement_APR2012.pdf"/>
    <s v=".pdf"/>
    <d v="2014-04-10T00:00:00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x v="2"/>
    <x v="1"/>
    <m/>
    <x v="8"/>
  </r>
  <r>
    <n v="1931"/>
    <x v="241"/>
    <x v="241"/>
    <x v="228"/>
    <x v="4"/>
    <s v="MAVERICK LAU"/>
    <n v="1882"/>
    <s v="Contract: General Contract"/>
    <s v="Supplier"/>
    <m/>
    <x v="132"/>
    <s v="WaiShing_agreement_Revised_Sep2012.pdf"/>
    <s v=".pdf"/>
    <d v="2014-04-10T00:00:00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x v="2"/>
    <x v="1"/>
    <m/>
    <x v="8"/>
  </r>
  <r>
    <n v="1926"/>
    <x v="241"/>
    <x v="241"/>
    <x v="228"/>
    <x v="4"/>
    <s v="MAVERICK LAU"/>
    <n v="1879"/>
    <s v="Contract: Quality Appendix"/>
    <s v="Supplier"/>
    <m/>
    <x v="499"/>
    <s v="WaiShing_agreement_APR2012.pdf"/>
    <s v=".pdf"/>
    <d v="2014-04-10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x v="2"/>
    <x v="1"/>
    <m/>
    <x v="8"/>
  </r>
  <r>
    <n v="1920"/>
    <x v="240"/>
    <x v="240"/>
    <x v="228"/>
    <x v="4"/>
    <s v="MAVERICK LAU"/>
    <n v="1873"/>
    <s v="Contract: Quality Appendix"/>
    <s v="Supplier"/>
    <m/>
    <x v="499"/>
    <s v="Upwill_agreement_APR2012.pdf"/>
    <s v=".pdf"/>
    <d v="2014-04-10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x v="2"/>
    <x v="1"/>
    <m/>
    <x v="6"/>
  </r>
  <r>
    <n v="1927"/>
    <x v="241"/>
    <x v="241"/>
    <x v="228"/>
    <x v="4"/>
    <s v="MAVERICK LAU"/>
    <n v="1880"/>
    <s v="Contract: Supply Chain Appendix"/>
    <s v="Supplier"/>
    <m/>
    <x v="670"/>
    <s v="WaiShing_agreement_APR2012.pdf"/>
    <s v=".pdf"/>
    <d v="2014-04-10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x v="2"/>
    <x v="1"/>
    <m/>
    <x v="8"/>
  </r>
  <r>
    <n v="1921"/>
    <x v="240"/>
    <x v="240"/>
    <x v="228"/>
    <x v="4"/>
    <s v="MAVERICK LAU"/>
    <n v="1874"/>
    <s v="Contract: Supply Chain Appendix"/>
    <s v="Supplier"/>
    <m/>
    <x v="826"/>
    <s v="WaiShing_agreement_APR2012.pdf"/>
    <s v=".pdf"/>
    <d v="2014-04-10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x v="2"/>
    <x v="1"/>
    <m/>
    <x v="6"/>
  </r>
  <r>
    <n v="1922"/>
    <x v="240"/>
    <x v="240"/>
    <x v="228"/>
    <x v="4"/>
    <s v="MAVERICK LAU"/>
    <n v="1875"/>
    <s v="Declaration letter of group organization"/>
    <s v="Supplier"/>
    <m/>
    <x v="670"/>
    <s v="Upwill_agreement_APR2012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6"/>
  </r>
  <r>
    <n v="1928"/>
    <x v="241"/>
    <x v="241"/>
    <x v="228"/>
    <x v="4"/>
    <s v="MAVERICK LAU"/>
    <n v="1881"/>
    <s v="Declaration letter of group organization"/>
    <s v="Supplier"/>
    <m/>
    <x v="730"/>
    <s v="WaiShing_agreement_APR2012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8"/>
  </r>
  <r>
    <n v="1925"/>
    <x v="241"/>
    <x v="241"/>
    <x v="228"/>
    <x v="4"/>
    <s v="MAVERICK LAU"/>
    <n v="1878"/>
    <s v="Environmental Declaration"/>
    <s v="Supplier"/>
    <m/>
    <x v="670"/>
    <s v="WaiShing_agreement_APR2012.pdf"/>
    <s v=".pdf"/>
    <d v="2014-04-10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8"/>
  </r>
  <r>
    <n v="1930"/>
    <x v="240"/>
    <x v="240"/>
    <x v="228"/>
    <x v="4"/>
    <s v="MAVERICK LAU"/>
    <n v="1872"/>
    <s v="Environmental Declaration"/>
    <s v="Supplier"/>
    <m/>
    <x v="826"/>
    <s v="Upwill_agreement_APR2012.pdf"/>
    <s v=".pdf"/>
    <d v="2014-04-10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6"/>
  </r>
  <r>
    <n v="1929"/>
    <x v="241"/>
    <x v="241"/>
    <x v="228"/>
    <x v="4"/>
    <s v="MAVERICK LAU"/>
    <n v="1872"/>
    <s v="Environmental Declaration"/>
    <s v="Supplier"/>
    <m/>
    <x v="826"/>
    <s v="Upwill_agreement_APR2012.pdf"/>
    <s v=".pdf"/>
    <d v="2014-04-10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8"/>
  </r>
  <r>
    <n v="1912"/>
    <x v="240"/>
    <x v="240"/>
    <x v="228"/>
    <x v="4"/>
    <s v="MAVERICK LAU"/>
    <n v="1867"/>
    <s v="Responsible Purchasing Charter"/>
    <s v="Supplier"/>
    <m/>
    <x v="245"/>
    <s v="UPWILL_Responsible_Purchasing_Charter_03Aug12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6"/>
  </r>
  <r>
    <n v="1913"/>
    <x v="241"/>
    <x v="241"/>
    <x v="228"/>
    <x v="4"/>
    <s v="MAVERICK LAU"/>
    <n v="1868"/>
    <s v="Responsible Purchasing Charter"/>
    <s v="Supplier"/>
    <m/>
    <x v="51"/>
    <s v="WAI_SHING_Responsible_Purchasing_Charter_03Aug12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8"/>
  </r>
  <r>
    <n v="1914"/>
    <x v="241"/>
    <x v="241"/>
    <x v="228"/>
    <x v="4"/>
    <s v="MAVERICK LAU"/>
    <n v="1869"/>
    <s v="SEF"/>
    <s v="Supplier"/>
    <m/>
    <x v="270"/>
    <s v="SEF-Wai Shing-28AUG12-77.xlsx"/>
    <s v=".xlsx"/>
    <d v="2014-04-10T00:00:00"/>
    <s v="as\afok"/>
    <m/>
    <s v="2012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8"/>
  </r>
  <r>
    <n v="1911"/>
    <x v="240"/>
    <x v="240"/>
    <x v="228"/>
    <x v="4"/>
    <s v="MAVERICK LAU"/>
    <n v="1866"/>
    <s v="SEF"/>
    <s v="Supplier"/>
    <m/>
    <x v="557"/>
    <s v="SEF-Wai Shing-20121126-77.xlsx"/>
    <s v=".xlsx"/>
    <d v="2014-04-10T00:00:00"/>
    <s v="as\afok"/>
    <m/>
    <s v="2012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6"/>
  </r>
  <r>
    <n v="1915"/>
    <x v="240"/>
    <x v="240"/>
    <x v="228"/>
    <x v="4"/>
    <s v="MAVERICK LAU"/>
    <n v="1869"/>
    <s v="SEF"/>
    <s v="Supplier"/>
    <m/>
    <x v="270"/>
    <s v="SEF-Wai Shing-28AUG12-77.xlsx"/>
    <s v=".xlsx"/>
    <d v="2014-04-10T00:00:00"/>
    <s v="as\afok"/>
    <m/>
    <s v="2012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6"/>
  </r>
  <r>
    <n v="1910"/>
    <x v="241"/>
    <x v="241"/>
    <x v="228"/>
    <x v="4"/>
    <s v="MAVERICK LAU"/>
    <n v="1866"/>
    <s v="SEF"/>
    <s v="Supplier"/>
    <m/>
    <x v="557"/>
    <s v="SEF-Wai Shing-20121126-77.xlsx"/>
    <s v=".xlsx"/>
    <d v="2014-04-10T00:00:00"/>
    <s v="as\afok"/>
    <m/>
    <s v="2012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8"/>
  </r>
  <r>
    <n v="1909"/>
    <x v="241"/>
    <x v="241"/>
    <x v="228"/>
    <x v="4"/>
    <s v="MAVERICK LAU"/>
    <n v="1865"/>
    <s v="SIF"/>
    <s v="Supplier"/>
    <m/>
    <x v="347"/>
    <s v="Wai Shing_SIF 2013.xls"/>
    <s v=".xls"/>
    <d v="2014-04-10T00:00:00"/>
    <s v="as\afok"/>
    <m/>
    <s v="2013"/>
    <x v="0"/>
    <x v="0"/>
    <x v="0"/>
    <x v="0"/>
    <m/>
    <m/>
    <m/>
    <m/>
    <m/>
    <n v="2013"/>
    <m/>
    <n v="7400000"/>
    <n v="7400000"/>
    <n v="7400000"/>
    <n v="6660000"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8"/>
  </r>
  <r>
    <n v="1932"/>
    <x v="241"/>
    <x v="241"/>
    <x v="228"/>
    <x v="4"/>
    <s v="MAVERICK LAU"/>
    <n v="1883"/>
    <s v="SIF"/>
    <s v="Supplier"/>
    <m/>
    <x v="180"/>
    <s v="Wai_Shing_SIF2012_.xls"/>
    <s v=".xls"/>
    <d v="2014-04-10T00:00:00"/>
    <s v="as\afok"/>
    <m/>
    <s v="2012"/>
    <x v="0"/>
    <x v="0"/>
    <x v="0"/>
    <x v="0"/>
    <m/>
    <m/>
    <m/>
    <m/>
    <m/>
    <n v="2012"/>
    <m/>
    <n v="7400000"/>
    <n v="7400000"/>
    <n v="6660000"/>
    <n v="7720000"/>
    <m/>
    <m/>
    <m/>
    <m/>
    <m/>
    <s v="CP Panel"/>
    <x v="0"/>
    <x v="0"/>
    <x v="1"/>
    <x v="1"/>
    <m/>
    <m/>
    <m/>
    <n v="1"/>
    <n v="1"/>
    <m/>
    <m/>
    <s v="CP"/>
    <m/>
    <m/>
    <x v="2"/>
    <x v="1"/>
    <m/>
    <x v="8"/>
  </r>
  <r>
    <n v="1917"/>
    <x v="240"/>
    <x v="240"/>
    <x v="228"/>
    <x v="4"/>
    <s v="MAVERICK LAU"/>
    <n v="1870"/>
    <s v="SPR"/>
    <s v="Supplier"/>
    <m/>
    <x v="353"/>
    <s v="_SPR-Wai Shing-20111222.pptx"/>
    <s v=".pptx"/>
    <d v="2014-04-10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6"/>
  </r>
  <r>
    <n v="1916"/>
    <x v="241"/>
    <x v="241"/>
    <x v="228"/>
    <x v="4"/>
    <s v="MAVERICK LAU"/>
    <n v="1870"/>
    <s v="SPR"/>
    <s v="Supplier"/>
    <m/>
    <x v="353"/>
    <s v="_SPR-Wai Shing-20111222.pptx"/>
    <s v=".pptx"/>
    <d v="2014-04-10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x v="2"/>
    <x v="1"/>
    <m/>
    <x v="8"/>
  </r>
  <r>
    <n v="1690"/>
    <x v="242"/>
    <x v="242"/>
    <x v="229"/>
    <x v="5"/>
    <s v="JOHN YAN"/>
    <n v="1649"/>
    <s v="Contract: General Contract"/>
    <s v="Supplier"/>
    <m/>
    <x v="827"/>
    <s v="WANGUAN_SUPPLY AGREEMENT_16Aug2012.pdf"/>
    <s v=".pdf"/>
    <d v="2014-04-07T00:00:00"/>
    <s v="as\afok"/>
    <m/>
    <s v="2014"/>
    <x v="4"/>
    <x v="0"/>
    <x v="0"/>
    <x v="0"/>
    <m/>
    <m/>
    <m/>
    <m/>
    <m/>
    <n v="2014"/>
    <n v="27000000"/>
    <n v="22500000"/>
    <n v="20000000"/>
    <n v="35000000"/>
    <n v="22800000"/>
    <m/>
    <n v="12"/>
    <n v="10"/>
    <n v="1.8"/>
    <n v="0"/>
    <m/>
    <x v="0"/>
    <x v="0"/>
    <x v="0"/>
    <x v="0"/>
    <n v="1"/>
    <m/>
    <m/>
    <n v="1"/>
    <m/>
    <m/>
    <m/>
    <m/>
    <m/>
    <m/>
    <x v="11"/>
    <x v="1"/>
    <m/>
    <x v="3"/>
  </r>
  <r>
    <n v="1701"/>
    <x v="242"/>
    <x v="242"/>
    <x v="229"/>
    <x v="5"/>
    <s v="JOHN YAN"/>
    <n v="1655"/>
    <s v="Contract: General Contract"/>
    <s v="Supplier"/>
    <m/>
    <x v="103"/>
    <s v="WANGUAN_SUPPLY AGREEMENT_16Aug2012.pdf"/>
    <s v=".pdf"/>
    <d v="2014-04-07T00:00:00"/>
    <s v="as\afok"/>
    <m/>
    <s v="V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m/>
    <m/>
    <m/>
    <x v="11"/>
    <x v="1"/>
    <m/>
    <x v="3"/>
  </r>
  <r>
    <n v="1691"/>
    <x v="242"/>
    <x v="242"/>
    <x v="229"/>
    <x v="5"/>
    <s v="JOHN YAN"/>
    <n v="1650"/>
    <s v="Contract: Quality Appendix"/>
    <s v="Supplier"/>
    <m/>
    <x v="590"/>
    <s v="WANGUAN_Quality Appendix_16Aug2012.pdf"/>
    <s v=".pdf"/>
    <d v="2014-04-07T00:00:00"/>
    <s v="as\afok"/>
    <m/>
    <s v="2013"/>
    <x v="0"/>
    <x v="0"/>
    <x v="0"/>
    <x v="2"/>
    <m/>
    <m/>
    <m/>
    <m/>
    <m/>
    <n v="2013"/>
    <n v="22000000"/>
    <n v="20000000"/>
    <n v="35000000"/>
    <n v="22800000"/>
    <n v="22100000"/>
    <m/>
    <m/>
    <m/>
    <m/>
    <m/>
    <m/>
    <x v="0"/>
    <x v="0"/>
    <x v="0"/>
    <x v="0"/>
    <m/>
    <n v="1"/>
    <m/>
    <n v="1"/>
    <m/>
    <m/>
    <m/>
    <m/>
    <m/>
    <m/>
    <x v="11"/>
    <x v="1"/>
    <m/>
    <x v="3"/>
  </r>
  <r>
    <n v="1694"/>
    <x v="242"/>
    <x v="242"/>
    <x v="229"/>
    <x v="5"/>
    <s v="JOHN YAN"/>
    <n v="1653"/>
    <s v="Contract: Quality Appendix"/>
    <s v="Supplier"/>
    <m/>
    <x v="281"/>
    <s v="WANGUAN_Quality Appendix_16Aug2012.pdf"/>
    <s v=".pdf"/>
    <d v="2014-04-07T00:00:0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m/>
    <m/>
    <m/>
    <x v="11"/>
    <x v="1"/>
    <m/>
    <x v="3"/>
  </r>
  <r>
    <n v="1692"/>
    <x v="242"/>
    <x v="242"/>
    <x v="229"/>
    <x v="5"/>
    <s v="JOHN YAN"/>
    <n v="1651"/>
    <s v="Contract: Supply Chain Appendix"/>
    <s v="Supplier"/>
    <m/>
    <x v="248"/>
    <s v="WANGUAN_Supply Chain(leadtime update)_22Jul2013.pdf"/>
    <s v=".pdf"/>
    <d v="2014-04-07T00:00:00"/>
    <s v="as\afok"/>
    <m/>
    <m/>
    <x v="0"/>
    <x v="7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m/>
    <m/>
    <m/>
    <x v="11"/>
    <x v="1"/>
    <m/>
    <x v="3"/>
  </r>
  <r>
    <n v="1693"/>
    <x v="242"/>
    <x v="242"/>
    <x v="229"/>
    <x v="5"/>
    <s v="JOHN YAN"/>
    <n v="1652"/>
    <s v="Contract: Supply Chain Appendix"/>
    <s v="Supplier"/>
    <m/>
    <x v="103"/>
    <s v="WANGUAN_Supply Chain Appendix_16Aug2012.pdf"/>
    <s v=".pdf"/>
    <d v="2014-04-07T00:00:00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m/>
    <m/>
    <m/>
    <x v="11"/>
    <x v="1"/>
    <m/>
    <x v="3"/>
  </r>
  <r>
    <n v="1699"/>
    <x v="242"/>
    <x v="242"/>
    <x v="229"/>
    <x v="5"/>
    <s v="JOHN YAN"/>
    <n v="1657"/>
    <s v="Declaration letter of group organization"/>
    <s v="Supplier"/>
    <m/>
    <x v="35"/>
    <s v="WANGUAN_SUPPLY AGREEMENT_16Aug2012.pdf"/>
    <s v=".pdf"/>
    <d v="2014-04-0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x v="11"/>
    <x v="1"/>
    <m/>
    <x v="3"/>
  </r>
  <r>
    <n v="1698"/>
    <x v="242"/>
    <x v="242"/>
    <x v="229"/>
    <x v="5"/>
    <s v="JOHN YAN"/>
    <n v="1656"/>
    <s v="Environmental Declaration"/>
    <s v="Supplier"/>
    <m/>
    <x v="103"/>
    <s v="WANGUAN_SUPPLY AGREEMENT_16Aug2012.pdf"/>
    <s v=".pdf"/>
    <d v="2014-04-07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x v="11"/>
    <x v="1"/>
    <m/>
    <x v="3"/>
  </r>
  <r>
    <n v="1695"/>
    <x v="242"/>
    <x v="242"/>
    <x v="229"/>
    <x v="5"/>
    <s v="JOHN YAN"/>
    <n v="1654"/>
    <s v="Environmental Declaration"/>
    <s v="Supplier"/>
    <m/>
    <x v="103"/>
    <s v="WANGUAN_Env Declaration_16Aug2012.pdf"/>
    <s v=".pdf"/>
    <d v="2014-04-07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x v="11"/>
    <x v="1"/>
    <m/>
    <x v="3"/>
  </r>
  <r>
    <n v="1702"/>
    <x v="242"/>
    <x v="242"/>
    <x v="229"/>
    <x v="5"/>
    <s v="JOHN YAN"/>
    <n v="1659"/>
    <s v="SPR"/>
    <s v="Supplier"/>
    <m/>
    <x v="196"/>
    <s v="SPR_Wanguan(Hengye)_20120724.pptx"/>
    <s v=".pptx"/>
    <d v="2014-04-07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m/>
    <m/>
    <m/>
    <m/>
    <x v="11"/>
    <x v="1"/>
    <m/>
    <x v="3"/>
  </r>
  <r>
    <n v="1755"/>
    <x v="243"/>
    <x v="243"/>
    <x v="230"/>
    <x v="5"/>
    <s v="JOHN YAN"/>
    <n v="1712"/>
    <s v="Environmental Declaration"/>
    <s v="Supplier"/>
    <m/>
    <x v="85"/>
    <s v="Wan_Sheng_Env_Declaration_15Jun2010.pdf"/>
    <s v=".pdf"/>
    <d v="2014-04-08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m/>
    <x v="1"/>
    <x v="1"/>
    <m/>
    <x v="12"/>
  </r>
  <r>
    <n v="1756"/>
    <x v="243"/>
    <x v="243"/>
    <x v="230"/>
    <x v="5"/>
    <s v="JOHN YAN"/>
    <n v="1713"/>
    <s v="Responsible Purchasing Charter"/>
    <s v="Supplier"/>
    <m/>
    <x v="228"/>
    <s v="Wansheng_Responsible Purchaser Charter_13Aug2012.pdf"/>
    <s v=".pdf"/>
    <d v="2014-04-08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m/>
    <x v="1"/>
    <x v="1"/>
    <m/>
    <x v="12"/>
  </r>
  <r>
    <n v="1757"/>
    <x v="243"/>
    <x v="243"/>
    <x v="230"/>
    <x v="5"/>
    <s v="JOHN YAN"/>
    <n v="1714"/>
    <s v="SEF"/>
    <s v="Supplier"/>
    <m/>
    <x v="385"/>
    <s v="Wansheng_SEF_201206.xlsx"/>
    <s v=".xlsx"/>
    <d v="2014-04-08T00:00:00"/>
    <s v="as\afok"/>
    <m/>
    <s v="2012"/>
    <x v="0"/>
    <x v="0"/>
    <x v="0"/>
    <x v="0"/>
    <m/>
    <m/>
    <m/>
    <m/>
    <n v="79"/>
    <m/>
    <m/>
    <m/>
    <m/>
    <m/>
    <m/>
    <m/>
    <m/>
    <m/>
    <m/>
    <m/>
    <m/>
    <x v="0"/>
    <x v="0"/>
    <x v="0"/>
    <x v="0"/>
    <m/>
    <m/>
    <m/>
    <n v="0"/>
    <m/>
    <m/>
    <s v="FP"/>
    <s v="CP"/>
    <m/>
    <m/>
    <x v="1"/>
    <x v="1"/>
    <m/>
    <x v="12"/>
  </r>
  <r>
    <n v="2411"/>
    <x v="243"/>
    <x v="243"/>
    <x v="230"/>
    <x v="5"/>
    <s v="JOHN YAN"/>
    <n v="2352"/>
    <s v="SIF"/>
    <s v="Supplier"/>
    <m/>
    <x v="828"/>
    <s v="WANSHENG_SIF_20140409.xls"/>
    <s v=".xls"/>
    <d v="2014-04-17T00:00:00"/>
    <s v="as\afok"/>
    <m/>
    <s v="2014"/>
    <x v="0"/>
    <x v="0"/>
    <x v="0"/>
    <x v="0"/>
    <m/>
    <m/>
    <m/>
    <m/>
    <m/>
    <n v="2014"/>
    <n v="35000000"/>
    <n v="30000000"/>
    <n v="27000000"/>
    <n v="24000000"/>
    <n v="24000000"/>
    <n v="1"/>
    <n v="1"/>
    <n v="1"/>
    <n v="1"/>
    <n v="1"/>
    <m/>
    <x v="0"/>
    <x v="0"/>
    <x v="0"/>
    <x v="0"/>
    <m/>
    <m/>
    <m/>
    <n v="0"/>
    <m/>
    <n v="1"/>
    <s v="FP"/>
    <s v="CP"/>
    <m/>
    <m/>
    <x v="1"/>
    <x v="1"/>
    <m/>
    <x v="12"/>
  </r>
  <r>
    <n v="2127"/>
    <x v="244"/>
    <x v="244"/>
    <x v="231"/>
    <x v="4"/>
    <s v="RICKY LAM"/>
    <n v="2070"/>
    <s v="Environmental Declaration"/>
    <s v="Supplier"/>
    <m/>
    <x v="62"/>
    <s v="Wang_CHUN_Env_Declaration_23Mar2010.xls"/>
    <s v=".xls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2126"/>
    <x v="244"/>
    <x v="244"/>
    <x v="231"/>
    <x v="4"/>
    <s v="RICKY LAM"/>
    <n v="2069"/>
    <s v="Responsible Purchasing Charter"/>
    <s v="Supplier"/>
    <m/>
    <x v="163"/>
    <s v="Wang_Chun_Responsible_Purchasing_Charter_27Feb13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2128"/>
    <x v="244"/>
    <x v="244"/>
    <x v="231"/>
    <x v="4"/>
    <s v="RICKY LAM"/>
    <n v="2071"/>
    <s v="SIF"/>
    <s v="Supplier"/>
    <m/>
    <x v="199"/>
    <s v="Wang Chun_SIF2012_17Apr12.xlsx"/>
    <s v=".xlsx"/>
    <d v="2014-04-14T00:00:00"/>
    <s v="as\afok"/>
    <m/>
    <s v="2012"/>
    <x v="0"/>
    <x v="0"/>
    <x v="0"/>
    <x v="0"/>
    <m/>
    <m/>
    <m/>
    <m/>
    <m/>
    <n v="2012"/>
    <n v="5000000"/>
    <n v="5000000"/>
    <n v="5000000"/>
    <n v="5000000"/>
    <n v="5000000"/>
    <n v="0"/>
    <n v="0"/>
    <n v="1"/>
    <n v="1"/>
    <n v="1"/>
    <m/>
    <x v="0"/>
    <x v="0"/>
    <x v="0"/>
    <x v="0"/>
    <m/>
    <m/>
    <m/>
    <n v="0"/>
    <m/>
    <n v="1"/>
    <m/>
    <s v="CP"/>
    <m/>
    <m/>
    <x v="2"/>
    <x v="1"/>
    <m/>
    <x v="8"/>
  </r>
  <r>
    <n v="2259"/>
    <x v="245"/>
    <x v="245"/>
    <x v="232"/>
    <x v="4"/>
    <s v="WILLIAM TSANG"/>
    <n v="2200"/>
    <s v="Responsible Purchasing Charter"/>
    <s v="Supplier"/>
    <m/>
    <x v="52"/>
    <s v="ZHEJIANG_XINGPENG_IMPORT_AND_EXPORT_Purchasing_Charter_10Oct12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0"/>
  </r>
  <r>
    <n v="2260"/>
    <x v="245"/>
    <x v="245"/>
    <x v="232"/>
    <x v="4"/>
    <s v="WILLIAM TSANG"/>
    <n v="2201"/>
    <s v="Responsible Purchasing Charter"/>
    <s v="Supplier"/>
    <m/>
    <x v="51"/>
    <s v="Wuhan_Weihua_Responsible_Purchasing_Charter_03Aug12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0"/>
  </r>
  <r>
    <n v="2261"/>
    <x v="245"/>
    <x v="245"/>
    <x v="232"/>
    <x v="4"/>
    <s v="WILLIAM TSANG"/>
    <n v="2202"/>
    <s v="SIF"/>
    <s v="Supplier"/>
    <m/>
    <x v="829"/>
    <s v="Wuhan Weihua_SIF2012 29Jun2012.xlsx"/>
    <s v=".xlsx"/>
    <d v="2014-04-16T00:00:00"/>
    <s v="as\afok"/>
    <m/>
    <s v="2012"/>
    <x v="0"/>
    <x v="0"/>
    <x v="0"/>
    <x v="0"/>
    <m/>
    <m/>
    <m/>
    <m/>
    <m/>
    <n v="2012"/>
    <n v="27000000"/>
    <n v="26000000"/>
    <n v="22000000"/>
    <n v="20000000"/>
    <n v="17000000"/>
    <m/>
    <m/>
    <m/>
    <m/>
    <m/>
    <m/>
    <x v="0"/>
    <x v="0"/>
    <x v="0"/>
    <x v="0"/>
    <m/>
    <m/>
    <m/>
    <n v="0"/>
    <m/>
    <n v="1"/>
    <m/>
    <s v="CP"/>
    <m/>
    <m/>
    <x v="2"/>
    <x v="1"/>
    <m/>
    <x v="0"/>
  </r>
  <r>
    <n v="1300"/>
    <x v="246"/>
    <x v="246"/>
    <x v="233"/>
    <x v="2"/>
    <s v="GODFREY LI"/>
    <n v="1270"/>
    <s v="Contract: General Contract"/>
    <s v="Supplier"/>
    <m/>
    <x v="499"/>
    <s v="Westa_General Agreement_7Feb12.pdf"/>
    <s v=".pdf"/>
    <d v="2014-03-28T00:00:00"/>
    <s v="as\afok"/>
    <m/>
    <s v="FHA 00 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11"/>
  </r>
  <r>
    <n v="1303"/>
    <x v="246"/>
    <x v="246"/>
    <x v="233"/>
    <x v="2"/>
    <s v="GODFREY LI"/>
    <n v="1273"/>
    <s v="Contract: Quality Appendix"/>
    <s v="Supplier"/>
    <m/>
    <x v="318"/>
    <s v="Westa_General Agreement_7Feb12.pdf"/>
    <s v=".pdf"/>
    <d v="2014-03-28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x v="9"/>
    <x v="1"/>
    <m/>
    <x v="11"/>
  </r>
  <r>
    <n v="1302"/>
    <x v="246"/>
    <x v="246"/>
    <x v="233"/>
    <x v="2"/>
    <s v="GODFREY LI"/>
    <n v="1272"/>
    <s v="Contract: Supply Chain Appendix"/>
    <s v="Supplier"/>
    <m/>
    <x v="830"/>
    <s v="Westa_General Agreement_7Feb12.pdf"/>
    <s v=".pdf"/>
    <d v="2014-03-28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x v="9"/>
    <x v="1"/>
    <m/>
    <x v="11"/>
  </r>
  <r>
    <n v="1304"/>
    <x v="246"/>
    <x v="246"/>
    <x v="233"/>
    <x v="2"/>
    <s v="GODFREY LI"/>
    <n v="1274"/>
    <s v="Declaration letter of group organization"/>
    <s v="Supplier"/>
    <m/>
    <x v="831"/>
    <s v="Westa_General Agreement_7Feb12.pdf"/>
    <s v=".pdf"/>
    <d v="2014-03-2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x v="9"/>
    <x v="1"/>
    <m/>
    <x v="11"/>
  </r>
  <r>
    <n v="1301"/>
    <x v="246"/>
    <x v="246"/>
    <x v="233"/>
    <x v="2"/>
    <s v="GODFREY LI"/>
    <n v="1271"/>
    <s v="Environmental Declaration"/>
    <s v="Supplier"/>
    <m/>
    <x v="499"/>
    <s v="Westa_General Agreement_7Feb12.pdf"/>
    <s v=".pdf"/>
    <d v="2014-03-28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1"/>
  </r>
  <r>
    <n v="1296"/>
    <x v="246"/>
    <x v="246"/>
    <x v="233"/>
    <x v="2"/>
    <s v="GODFREY LI"/>
    <n v="1266"/>
    <s v="Exclusivity (EA)"/>
    <s v="Supplier"/>
    <m/>
    <x v="780"/>
    <s v="Westa Exclusivity Summary 2012-01-18.xlsx"/>
    <s v=".xlsx"/>
    <d v="2014-03-28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1"/>
  </r>
  <r>
    <n v="1298"/>
    <x v="246"/>
    <x v="246"/>
    <x v="233"/>
    <x v="2"/>
    <s v="GODFREY LI"/>
    <n v="1268"/>
    <s v="Exclusivity (EA)"/>
    <s v="Product / Project"/>
    <m/>
    <x v="832"/>
    <s v="Westa_Oven_EA_7Feb12.pdf"/>
    <s v=".pdf"/>
    <d v="2014-03-28T00:00:00"/>
    <s v="as\afok"/>
    <m/>
    <s v="FRD 6E 030 ind.00"/>
    <x v="0"/>
    <x v="0"/>
    <x v="0"/>
    <x v="0"/>
    <s v="Ove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1"/>
  </r>
  <r>
    <n v="1299"/>
    <x v="246"/>
    <x v="246"/>
    <x v="233"/>
    <x v="2"/>
    <s v="GODFREY LI"/>
    <n v="1269"/>
    <s v="IP (Intellectual Property)"/>
    <s v="Product / Project"/>
    <m/>
    <x v="143"/>
    <s v="Westa_Oven_IP_20Feb12.pdf"/>
    <s v=".pdf"/>
    <d v="2014-03-28T00:00:00"/>
    <s v="as\afok"/>
    <m/>
    <m/>
    <x v="0"/>
    <x v="0"/>
    <x v="0"/>
    <x v="0"/>
    <s v="Ove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1"/>
  </r>
  <r>
    <n v="1297"/>
    <x v="246"/>
    <x v="246"/>
    <x v="233"/>
    <x v="2"/>
    <s v="GODFREY LI"/>
    <n v="1267"/>
    <s v="Responsible Purchasing Charter"/>
    <s v="Supplier"/>
    <m/>
    <x v="35"/>
    <s v="Westa - Responsible Purchasing Charter.pdf"/>
    <s v=".pdf"/>
    <d v="2014-03-2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11"/>
  </r>
  <r>
    <n v="1295"/>
    <x v="246"/>
    <x v="246"/>
    <x v="233"/>
    <x v="2"/>
    <s v="GODFREY LI"/>
    <n v="1265"/>
    <s v="SIF"/>
    <s v="Supplier"/>
    <m/>
    <x v="27"/>
    <s v="Westa - SIF 2013.xls"/>
    <s v=".xls"/>
    <d v="2014-03-28T00:00:00"/>
    <s v="as\afok"/>
    <m/>
    <s v="2013"/>
    <x v="0"/>
    <x v="0"/>
    <x v="0"/>
    <x v="0"/>
    <m/>
    <m/>
    <m/>
    <m/>
    <m/>
    <n v="2013"/>
    <n v="35000000"/>
    <n v="30000000"/>
    <n v="26000000"/>
    <n v="24200000"/>
    <n v="21300000"/>
    <n v="1"/>
    <n v="1"/>
    <n v="0"/>
    <n v="0"/>
    <n v="0"/>
    <m/>
    <x v="0"/>
    <x v="0"/>
    <x v="0"/>
    <x v="0"/>
    <m/>
    <m/>
    <m/>
    <n v="1"/>
    <m/>
    <m/>
    <s v="FP"/>
    <m/>
    <s v="SP"/>
    <m/>
    <x v="9"/>
    <x v="1"/>
    <m/>
    <x v="11"/>
  </r>
  <r>
    <n v="8"/>
    <x v="247"/>
    <x v="247"/>
    <x v="234"/>
    <x v="3"/>
    <s v="WENDY HO"/>
    <n v="6"/>
    <s v="Contract: General Contract"/>
    <s v="Supplier"/>
    <d v="2014-12-31T00:00:00"/>
    <x v="833"/>
    <s v="WIK_GENERAL CONTRACT FHA00016ind9_20090511.pdf"/>
    <s v=".pdf"/>
    <d v="2014-03-03T00:00:00"/>
    <s v="as\afok"/>
    <m/>
    <s v="FHA00016 ind.09 "/>
    <x v="1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m/>
    <s v="SP"/>
    <s v="MOULD"/>
    <x v="4"/>
    <x v="1"/>
    <n v="1"/>
    <x v="45"/>
  </r>
  <r>
    <n v="260"/>
    <x v="247"/>
    <x v="247"/>
    <x v="234"/>
    <x v="3"/>
    <s v="WENDY HO"/>
    <n v="248"/>
    <s v="Foodstuffs declaration"/>
    <s v="Supplier"/>
    <m/>
    <x v="834"/>
    <s v="WIK_Foodstuffs_9744.12(KP1006,1002,1009)_20100812.pdf"/>
    <s v=".pdf"/>
    <d v="2014-03-13T00:00:00"/>
    <s v="as\afok"/>
    <s v="9744.12(KP1006,1002,1009)_x000d__x000a_"/>
    <s v="FRD00069 ind.04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x v="4"/>
    <x v="1"/>
    <n v="1"/>
    <x v="45"/>
  </r>
  <r>
    <n v="259"/>
    <x v="247"/>
    <x v="247"/>
    <x v="234"/>
    <x v="3"/>
    <s v="WENDY HO"/>
    <n v="247"/>
    <s v="Foodstuffs declaration"/>
    <s v="Supplier"/>
    <m/>
    <x v="834"/>
    <s v="WIK_Foodstuffs_9743.12(KP3010)_2010812.pdf"/>
    <s v=".pdf"/>
    <d v="2014-03-13T00:00:00"/>
    <s v="as\afok"/>
    <s v="9743.12(KP3010)_x000d__x000a_"/>
    <s v="FRD00069 ind.04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x v="4"/>
    <x v="1"/>
    <n v="1"/>
    <x v="45"/>
  </r>
  <r>
    <n v="254"/>
    <x v="247"/>
    <x v="247"/>
    <x v="234"/>
    <x v="3"/>
    <s v="WENDY HO"/>
    <n v="243"/>
    <s v="ISO 14001"/>
    <s v="Supplier"/>
    <d v="2011-06-30T00:00:00"/>
    <x v="835"/>
    <s v="WIK_ISO14001_expired 20110613.pdf"/>
    <s v=".pdf"/>
    <d v="2014-03-13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x v="4"/>
    <x v="1"/>
    <n v="1"/>
    <x v="45"/>
  </r>
  <r>
    <n v="257"/>
    <x v="247"/>
    <x v="247"/>
    <x v="234"/>
    <x v="3"/>
    <s v="WENDY HO"/>
    <n v="245"/>
    <s v="LOC (Letter of Confidentiality)"/>
    <s v="Product / Project"/>
    <m/>
    <x v="700"/>
    <s v="WIK_LOC_Respectissim Lissand Curl_28Oct11.pdf"/>
    <s v=".pdf"/>
    <d v="2014-03-13T00:00:00"/>
    <s v="as\afok"/>
    <s v="_x000d__x000a_"/>
    <m/>
    <x v="0"/>
    <x v="0"/>
    <x v="0"/>
    <x v="0"/>
    <s v="Respectissim Lissand Curl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x v="4"/>
    <x v="1"/>
    <n v="1"/>
    <x v="45"/>
  </r>
  <r>
    <n v="258"/>
    <x v="247"/>
    <x v="247"/>
    <x v="234"/>
    <x v="3"/>
    <s v="WENDY HO"/>
    <n v="246"/>
    <s v="LOC (Letter of Confidentiality)"/>
    <s v="Product / Project"/>
    <m/>
    <x v="428"/>
    <s v="WIK_LOC_Air brush 1200W_12Dec11.pdf"/>
    <s v=".pdf"/>
    <d v="2014-03-13T00:00:00"/>
    <s v="as\afok"/>
    <s v="_x000d__x000a_"/>
    <m/>
    <x v="0"/>
    <x v="0"/>
    <x v="0"/>
    <x v="0"/>
    <s v="Air brush 1200W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x v="4"/>
    <x v="1"/>
    <n v="1"/>
    <x v="45"/>
  </r>
  <r>
    <n v="256"/>
    <x v="247"/>
    <x v="247"/>
    <x v="234"/>
    <x v="3"/>
    <s v="WENDY HO"/>
    <n v="244"/>
    <s v="LOC (Letter of Confidentiality)"/>
    <s v="Product / Project"/>
    <m/>
    <x v="379"/>
    <s v="WIK_LOC_New Rotary Brush 100W (0577)_20110923.pdf"/>
    <s v=".pdf"/>
    <d v="2014-03-13T00:00:00"/>
    <s v="as\afok"/>
    <s v="_x000d__x000a_"/>
    <m/>
    <x v="0"/>
    <x v="0"/>
    <x v="0"/>
    <x v="0"/>
    <s v="New Rotary Brush 100W (0577)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x v="4"/>
    <x v="1"/>
    <n v="1"/>
    <x v="45"/>
  </r>
  <r>
    <n v="261"/>
    <x v="247"/>
    <x v="247"/>
    <x v="234"/>
    <x v="3"/>
    <s v="WENDY HO"/>
    <n v="249"/>
    <s v="Responsible Purchasing Charter"/>
    <s v="Supplier"/>
    <m/>
    <x v="93"/>
    <s v="WIK - Responsible Purchasing Charter.pdf"/>
    <s v=".pdf"/>
    <d v="2014-03-13T00:00:0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x v="4"/>
    <x v="1"/>
    <n v="1"/>
    <x v="45"/>
  </r>
  <r>
    <n v="262"/>
    <x v="247"/>
    <x v="247"/>
    <x v="234"/>
    <x v="3"/>
    <s v="WENDY HO"/>
    <n v="250"/>
    <s v="SEF"/>
    <s v="Supplier"/>
    <m/>
    <x v="704"/>
    <s v="WIK_SEF_201212.xlsx"/>
    <s v=".xlsx"/>
    <d v="2014-03-13T00:00:00"/>
    <s v="as\afok"/>
    <m/>
    <s v="2012"/>
    <x v="0"/>
    <x v="0"/>
    <x v="0"/>
    <x v="0"/>
    <m/>
    <m/>
    <m/>
    <m/>
    <n v="74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x v="4"/>
    <x v="1"/>
    <n v="1"/>
    <x v="45"/>
  </r>
  <r>
    <n v="263"/>
    <x v="247"/>
    <x v="247"/>
    <x v="234"/>
    <x v="3"/>
    <s v="WENDY HO"/>
    <n v="251"/>
    <s v="SEF"/>
    <s v="Supplier"/>
    <m/>
    <x v="645"/>
    <s v="WIK_SEF_20130530 (Bev).xlsx"/>
    <s v=".xlsx"/>
    <d v="2014-03-13T00:00:00"/>
    <s v="as\afok"/>
    <s v="BEVERAGE_x000d__x000a_"/>
    <s v="2013"/>
    <x v="0"/>
    <x v="0"/>
    <x v="0"/>
    <x v="0"/>
    <m/>
    <m/>
    <m/>
    <m/>
    <n v="84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x v="4"/>
    <x v="1"/>
    <n v="1"/>
    <x v="45"/>
  </r>
  <r>
    <n v="264"/>
    <x v="247"/>
    <x v="247"/>
    <x v="234"/>
    <x v="3"/>
    <s v="WENDY HO"/>
    <n v="252"/>
    <s v="SEF"/>
    <s v="Supplier"/>
    <m/>
    <x v="118"/>
    <s v="WIK_SEF_20130530 (PC).xlsx"/>
    <s v=".xlsx"/>
    <d v="2014-03-13T00:00:00"/>
    <s v="as\afok"/>
    <s v="PC"/>
    <s v="2013"/>
    <x v="0"/>
    <x v="0"/>
    <x v="0"/>
    <x v="0"/>
    <m/>
    <m/>
    <m/>
    <m/>
    <n v="78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x v="4"/>
    <x v="1"/>
    <n v="1"/>
    <x v="45"/>
  </r>
  <r>
    <n v="266"/>
    <x v="247"/>
    <x v="247"/>
    <x v="234"/>
    <x v="3"/>
    <s v="WENDY HO"/>
    <n v="254"/>
    <s v="SIF"/>
    <s v="Supplier"/>
    <m/>
    <x v="158"/>
    <s v="SIF 2013_WIK BATAM 14May13.xls"/>
    <s v=".xls"/>
    <d v="2014-03-13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x v="4"/>
    <x v="1"/>
    <n v="1"/>
    <x v="45"/>
  </r>
  <r>
    <n v="265"/>
    <x v="247"/>
    <x v="247"/>
    <x v="234"/>
    <x v="3"/>
    <s v="WENDY HO"/>
    <n v="253"/>
    <s v="SIF"/>
    <s v="Supplier"/>
    <m/>
    <x v="95"/>
    <s v="SIF 2013 - WIK.xls"/>
    <s v=".xls"/>
    <d v="2014-03-13T00:00:00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x v="4"/>
    <x v="1"/>
    <n v="1"/>
    <x v="45"/>
  </r>
  <r>
    <n v="267"/>
    <x v="247"/>
    <x v="247"/>
    <x v="234"/>
    <x v="3"/>
    <s v="WENDY HO"/>
    <n v="255"/>
    <s v="SIF"/>
    <s v="Supplier"/>
    <m/>
    <x v="531"/>
    <s v="WIK_SIF 2012_29Feb12.xls"/>
    <s v=".xls"/>
    <d v="2014-03-13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n v="1"/>
    <s v="FP"/>
    <m/>
    <s v="SP"/>
    <s v="MOULD"/>
    <x v="4"/>
    <x v="1"/>
    <n v="1"/>
    <x v="45"/>
  </r>
  <r>
    <n v="1934"/>
    <x v="248"/>
    <x v="248"/>
    <x v="235"/>
    <x v="4"/>
    <s v="MAVERICK LAU"/>
    <n v="1885"/>
    <s v="Contract: General Contract"/>
    <s v="Supplier"/>
    <m/>
    <x v="836"/>
    <s v="Wing_Keung_Purchase_Agreement_2008.pdf"/>
    <s v=".pdf"/>
    <d v="2014-04-10T00:00:00"/>
    <s v="as\afok"/>
    <m/>
    <s v="V5"/>
    <x v="7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m/>
    <m/>
    <x v="1"/>
    <x v="1"/>
    <m/>
    <x v="52"/>
  </r>
  <r>
    <n v="1938"/>
    <x v="248"/>
    <x v="248"/>
    <x v="235"/>
    <x v="4"/>
    <s v="MAVERICK LAU"/>
    <n v="1889"/>
    <s v="Contract: General Contract"/>
    <s v="Supplier"/>
    <m/>
    <x v="463"/>
    <s v="Wing_Keung_agreement_MAY2012.pdf"/>
    <s v=".pdf"/>
    <d v="2014-04-10T00:00:00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m/>
    <m/>
    <x v="1"/>
    <x v="1"/>
    <m/>
    <x v="52"/>
  </r>
  <r>
    <n v="1935"/>
    <x v="248"/>
    <x v="248"/>
    <x v="235"/>
    <x v="4"/>
    <s v="MAVERICK LAU"/>
    <n v="1886"/>
    <s v="Contract: Quality Appendix"/>
    <s v="Supplier"/>
    <m/>
    <x v="837"/>
    <s v="Wing_Keung_Purchase_Agreement_2008.pdf"/>
    <s v=".pdf"/>
    <d v="2014-04-10T00:00:00"/>
    <s v="as\afok"/>
    <m/>
    <s v="FHA 00 014 ind.07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s v="FP"/>
    <s v="CP"/>
    <m/>
    <m/>
    <x v="1"/>
    <x v="1"/>
    <m/>
    <x v="52"/>
  </r>
  <r>
    <n v="1940"/>
    <x v="248"/>
    <x v="248"/>
    <x v="235"/>
    <x v="4"/>
    <s v="MAVERICK LAU"/>
    <n v="1891"/>
    <s v="Contract: Quality Appendix"/>
    <s v="Supplier"/>
    <m/>
    <x v="290"/>
    <s v="Wing_Keung_agreement_MAY2012.pdf"/>
    <s v=".pdf"/>
    <d v="2014-04-10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s v="FP"/>
    <s v="CP"/>
    <m/>
    <m/>
    <x v="1"/>
    <x v="1"/>
    <m/>
    <x v="52"/>
  </r>
  <r>
    <n v="1941"/>
    <x v="248"/>
    <x v="248"/>
    <x v="235"/>
    <x v="4"/>
    <s v="MAVERICK LAU"/>
    <n v="1892"/>
    <s v="Contract: Supply Chain Appendix"/>
    <s v="Supplier"/>
    <m/>
    <x v="290"/>
    <s v="Wing_Keung_agreement_MAY2012.pdf"/>
    <s v=".pdf"/>
    <d v="2014-04-10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s v="FP"/>
    <s v="CP"/>
    <m/>
    <m/>
    <x v="1"/>
    <x v="1"/>
    <m/>
    <x v="52"/>
  </r>
  <r>
    <n v="1949"/>
    <x v="248"/>
    <x v="248"/>
    <x v="235"/>
    <x v="4"/>
    <s v="MAVERICK LAU"/>
    <n v="1900"/>
    <s v="Contract: Supply Chain Appendix"/>
    <s v="Supplier"/>
    <m/>
    <x v="508"/>
    <s v="Wing_Keung_SupplyChain_V10.pdf"/>
    <s v=".pdf"/>
    <d v="2014-04-10T00:00:00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n v="1"/>
    <m/>
    <s v="FP"/>
    <s v="CP"/>
    <m/>
    <m/>
    <x v="1"/>
    <x v="1"/>
    <m/>
    <x v="52"/>
  </r>
  <r>
    <n v="1933"/>
    <x v="248"/>
    <x v="248"/>
    <x v="235"/>
    <x v="4"/>
    <s v="MAVERICK LAU"/>
    <n v="1884"/>
    <s v="Environmental Declaration"/>
    <s v="Supplier"/>
    <m/>
    <x v="80"/>
    <s v="WING_KEUNG_Env_Declaration_29Mar2010.xls"/>
    <s v=".xls"/>
    <d v="2014-04-10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52"/>
  </r>
  <r>
    <n v="1939"/>
    <x v="248"/>
    <x v="248"/>
    <x v="235"/>
    <x v="4"/>
    <s v="MAVERICK LAU"/>
    <n v="1890"/>
    <s v="Environmental Declaration"/>
    <s v="Supplier"/>
    <m/>
    <x v="299"/>
    <s v="Wing_Keung_agreement_MAY2012.pdf"/>
    <s v=".pdf"/>
    <d v="2014-04-10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52"/>
  </r>
  <r>
    <n v="1942"/>
    <x v="248"/>
    <x v="248"/>
    <x v="235"/>
    <x v="4"/>
    <s v="MAVERICK LAU"/>
    <n v="1893"/>
    <s v="ISO 9001"/>
    <s v="Supplier"/>
    <d v="2012-05-14T00:00:00"/>
    <x v="838"/>
    <s v="Wing_Keung_ISO 9001_2008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52"/>
  </r>
  <r>
    <n v="1943"/>
    <x v="248"/>
    <x v="248"/>
    <x v="235"/>
    <x v="4"/>
    <s v="MAVERICK LAU"/>
    <n v="1894"/>
    <s v="Responsible Purchasing Charter"/>
    <s v="Supplier"/>
    <m/>
    <x v="818"/>
    <s v="Wing_Keung_Responsible_Purchasing_Charter_16Nov12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52"/>
  </r>
  <r>
    <n v="1944"/>
    <x v="248"/>
    <x v="248"/>
    <x v="235"/>
    <x v="4"/>
    <s v="MAVERICK LAU"/>
    <n v="1895"/>
    <s v="SEF"/>
    <s v="Supplier"/>
    <m/>
    <x v="557"/>
    <s v="SEF-Wing Keung-20121126-85.XLSX"/>
    <s v=".xlsx"/>
    <d v="2014-04-10T00:00:00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52"/>
  </r>
  <r>
    <n v="1947"/>
    <x v="248"/>
    <x v="248"/>
    <x v="235"/>
    <x v="4"/>
    <s v="MAVERICK LAU"/>
    <n v="1898"/>
    <s v="SEF"/>
    <s v="Supplier"/>
    <m/>
    <x v="252"/>
    <s v="SEF-Wing Keung-20130513-80.xlsx"/>
    <s v=".xlsx"/>
    <d v="2014-04-10T00:00:00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52"/>
  </r>
  <r>
    <n v="1937"/>
    <x v="248"/>
    <x v="248"/>
    <x v="235"/>
    <x v="4"/>
    <s v="MAVERICK LAU"/>
    <n v="1888"/>
    <s v="SEF"/>
    <s v="Supplier"/>
    <m/>
    <x v="270"/>
    <s v="SEF-Wing Keung-28AUG12-85.XLSX"/>
    <s v=".xlsx"/>
    <d v="2014-04-10T00:00:00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52"/>
  </r>
  <r>
    <n v="1936"/>
    <x v="248"/>
    <x v="248"/>
    <x v="235"/>
    <x v="4"/>
    <s v="MAVERICK LAU"/>
    <n v="1887"/>
    <s v="SIF"/>
    <s v="Supplier"/>
    <m/>
    <x v="31"/>
    <s v="Wing Keung_SIF2012_18Apr12.xlsx"/>
    <s v=".xlsx"/>
    <d v="2014-04-10T00:00:00"/>
    <s v="as\afok"/>
    <m/>
    <s v="2012"/>
    <x v="0"/>
    <x v="0"/>
    <x v="0"/>
    <x v="0"/>
    <m/>
    <m/>
    <m/>
    <m/>
    <m/>
    <n v="2012"/>
    <n v="40760000"/>
    <n v="38820000"/>
    <n v="31000000"/>
    <n v="25120000"/>
    <n v="28290000"/>
    <m/>
    <n v="21"/>
    <n v="10"/>
    <n v="4"/>
    <n v="7"/>
    <s v="CP Panel"/>
    <x v="0"/>
    <x v="0"/>
    <x v="1"/>
    <x v="1"/>
    <m/>
    <m/>
    <m/>
    <n v="1"/>
    <m/>
    <m/>
    <s v="FP"/>
    <s v="CP"/>
    <m/>
    <m/>
    <x v="1"/>
    <x v="1"/>
    <m/>
    <x v="52"/>
  </r>
  <r>
    <n v="1946"/>
    <x v="248"/>
    <x v="248"/>
    <x v="235"/>
    <x v="4"/>
    <s v="MAVERICK LAU"/>
    <n v="1897"/>
    <s v="SIF"/>
    <s v="Supplier"/>
    <m/>
    <x v="147"/>
    <s v="Wing Keung_SIF2013.xlsx"/>
    <s v=".xlsx"/>
    <d v="2014-04-10T00:00:00"/>
    <s v="as\afok"/>
    <m/>
    <s v="2013"/>
    <x v="0"/>
    <x v="0"/>
    <x v="0"/>
    <x v="0"/>
    <m/>
    <m/>
    <m/>
    <m/>
    <m/>
    <n v="2013"/>
    <n v="40000000"/>
    <n v="39200000"/>
    <n v="38820000"/>
    <n v="31000000"/>
    <n v="25120000"/>
    <m/>
    <n v="13.8"/>
    <n v="20.7"/>
    <n v="10"/>
    <n v="4"/>
    <s v="CP Panel"/>
    <x v="0"/>
    <x v="0"/>
    <x v="1"/>
    <x v="1"/>
    <m/>
    <m/>
    <m/>
    <n v="1"/>
    <m/>
    <m/>
    <s v="FP"/>
    <s v="CP"/>
    <m/>
    <m/>
    <x v="1"/>
    <x v="1"/>
    <m/>
    <x v="52"/>
  </r>
  <r>
    <n v="1948"/>
    <x v="248"/>
    <x v="248"/>
    <x v="235"/>
    <x v="4"/>
    <s v="MAVERICK LAU"/>
    <n v="1899"/>
    <s v="SPR"/>
    <s v="Supplier"/>
    <m/>
    <x v="394"/>
    <s v="_SPR-Wing Keung-20130603.pptx"/>
    <s v=".pptx"/>
    <d v="2014-04-10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52"/>
  </r>
  <r>
    <n v="1945"/>
    <x v="248"/>
    <x v="248"/>
    <x v="235"/>
    <x v="4"/>
    <s v="MAVERICK LAU"/>
    <n v="1896"/>
    <s v="SPR"/>
    <s v="Supplier"/>
    <m/>
    <x v="108"/>
    <s v="_SPR-Wing Keung-2012M10-1.pptx"/>
    <s v=".pptx"/>
    <d v="2014-04-10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x v="1"/>
    <x v="1"/>
    <m/>
    <x v="52"/>
  </r>
  <r>
    <n v="2706"/>
    <x v="249"/>
    <x v="249"/>
    <x v="236"/>
    <x v="0"/>
    <s v="KITTY LAI"/>
    <n v="2549"/>
    <s v="Contract: General Contract"/>
    <s v="Supplier"/>
    <m/>
    <x v="839"/>
    <s v="Winnington FHA000016 ind. 09 20090216.pdf"/>
    <s v=".pdf"/>
    <d v="2014-04-24T00:00:00"/>
    <s v="as\afok"/>
    <m/>
    <s v="FHA 00 016 ind.09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n v="1"/>
    <m/>
    <s v="FP"/>
    <s v="CP"/>
    <m/>
    <m/>
    <x v="1"/>
    <x v="1"/>
    <m/>
    <x v="15"/>
  </r>
  <r>
    <n v="2699"/>
    <x v="249"/>
    <x v="249"/>
    <x v="236"/>
    <x v="0"/>
    <s v="KITTY LAI"/>
    <n v="2542"/>
    <s v="Contract: General Contract"/>
    <s v="Supplier"/>
    <m/>
    <x v="840"/>
    <s v="Winnington_General Agreement_5Dec2011.pdf"/>
    <s v=".pdf"/>
    <d v="2014-04-24T00:00:00"/>
    <s v="as\afok"/>
    <m/>
    <s v="FHA 00 016 ind.10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s v="CP"/>
    <m/>
    <m/>
    <x v="1"/>
    <x v="1"/>
    <m/>
    <x v="15"/>
  </r>
  <r>
    <n v="2702"/>
    <x v="249"/>
    <x v="249"/>
    <x v="236"/>
    <x v="0"/>
    <s v="KITTY LAI"/>
    <n v="2545"/>
    <s v="Contract: Quality Appendix"/>
    <s v="Supplier"/>
    <m/>
    <x v="479"/>
    <s v="Winnington_General Agreement_5Dec2011.pdf"/>
    <s v=".pdf"/>
    <d v="2014-04-24T00:00:00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m/>
    <m/>
    <s v="FP"/>
    <s v="CP"/>
    <m/>
    <m/>
    <x v="1"/>
    <x v="1"/>
    <m/>
    <x v="15"/>
  </r>
  <r>
    <n v="2701"/>
    <x v="249"/>
    <x v="249"/>
    <x v="236"/>
    <x v="0"/>
    <s v="KITTY LAI"/>
    <n v="2544"/>
    <s v="Contract: Supply Chain Appendix"/>
    <s v="Supplier"/>
    <m/>
    <x v="841"/>
    <s v="Winnington_General Agreement_5Dec2011.pdf"/>
    <s v=".pdf"/>
    <d v="2014-04-24T00:00:00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2"/>
    <x v="0"/>
    <x v="0"/>
    <m/>
    <m/>
    <n v="1"/>
    <n v="1"/>
    <m/>
    <m/>
    <s v="FP"/>
    <s v="CP"/>
    <m/>
    <m/>
    <x v="1"/>
    <x v="1"/>
    <m/>
    <x v="15"/>
  </r>
  <r>
    <n v="2703"/>
    <x v="249"/>
    <x v="249"/>
    <x v="236"/>
    <x v="0"/>
    <s v="KITTY LAI"/>
    <n v="2546"/>
    <s v="Declaration letter of group organization"/>
    <s v="Supplier"/>
    <m/>
    <x v="810"/>
    <s v="Winnington_General Agreement_5Dec2011.pdf"/>
    <s v=".pdf"/>
    <d v="2014-04-2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m/>
    <x v="1"/>
    <x v="1"/>
    <m/>
    <x v="15"/>
  </r>
  <r>
    <n v="2700"/>
    <x v="249"/>
    <x v="249"/>
    <x v="236"/>
    <x v="0"/>
    <s v="KITTY LAI"/>
    <n v="2543"/>
    <s v="Environmental Declaration"/>
    <s v="Supplier"/>
    <m/>
    <x v="479"/>
    <s v="Winnington_General Agreement_5Dec2011.pdf"/>
    <s v=".pdf"/>
    <d v="2014-04-24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m/>
    <x v="1"/>
    <x v="1"/>
    <m/>
    <x v="15"/>
  </r>
  <r>
    <n v="2698"/>
    <x v="249"/>
    <x v="249"/>
    <x v="236"/>
    <x v="0"/>
    <s v="KITTY LAI"/>
    <n v="2541"/>
    <s v="NDA (Non Disclosure Agreement)"/>
    <s v="Supplier"/>
    <m/>
    <x v="518"/>
    <s v="Winnington_Non-Disclosure_Statement_2010.pdf"/>
    <s v=".pdf"/>
    <d v="2014-04-2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m/>
    <x v="1"/>
    <x v="1"/>
    <m/>
    <x v="15"/>
  </r>
  <r>
    <n v="2695"/>
    <x v="249"/>
    <x v="249"/>
    <x v="236"/>
    <x v="0"/>
    <s v="KITTY LAI"/>
    <n v="2538"/>
    <s v="Responsible Purchasing Charter"/>
    <s v="Supplier"/>
    <m/>
    <x v="658"/>
    <s v="Purchasing Charter 2013.pdf"/>
    <s v=".pdf"/>
    <d v="2014-04-24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m/>
    <x v="1"/>
    <x v="1"/>
    <m/>
    <x v="15"/>
  </r>
  <r>
    <n v="2704"/>
    <x v="249"/>
    <x v="249"/>
    <x v="236"/>
    <x v="0"/>
    <s v="KITTY LAI"/>
    <n v="2547"/>
    <s v="SEF"/>
    <s v="Supplier"/>
    <m/>
    <x v="337"/>
    <s v="SEF 2012 - Winnington.xlsx"/>
    <s v=".xlsx"/>
    <d v="2014-04-24T00:00:00"/>
    <s v="as\afok"/>
    <m/>
    <s v="2012"/>
    <x v="0"/>
    <x v="0"/>
    <x v="0"/>
    <x v="0"/>
    <m/>
    <m/>
    <m/>
    <m/>
    <n v="88"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m/>
    <x v="1"/>
    <x v="1"/>
    <m/>
    <x v="15"/>
  </r>
  <r>
    <n v="2694"/>
    <x v="249"/>
    <x v="249"/>
    <x v="236"/>
    <x v="0"/>
    <s v="KITTY LAI"/>
    <n v="2537"/>
    <s v="SEF"/>
    <s v="Supplier"/>
    <m/>
    <x v="248"/>
    <s v="SEF - Winnington 2013.xlsx"/>
    <s v=".xlsx"/>
    <d v="2014-04-24T00:00:00"/>
    <s v="as\afok"/>
    <m/>
    <s v="2013"/>
    <x v="0"/>
    <x v="0"/>
    <x v="0"/>
    <x v="0"/>
    <m/>
    <m/>
    <m/>
    <m/>
    <n v="84"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m/>
    <x v="1"/>
    <x v="1"/>
    <m/>
    <x v="15"/>
  </r>
  <r>
    <n v="2696"/>
    <x v="249"/>
    <x v="249"/>
    <x v="236"/>
    <x v="0"/>
    <s v="KITTY LAI"/>
    <n v="2539"/>
    <s v="SIF"/>
    <s v="Supplier"/>
    <m/>
    <x v="203"/>
    <s v="Winnington_SIF 2013.xls"/>
    <s v=".xls"/>
    <d v="2014-04-24T00:00:00"/>
    <s v="as\afok"/>
    <m/>
    <s v="2013"/>
    <x v="0"/>
    <x v="0"/>
    <x v="0"/>
    <x v="0"/>
    <m/>
    <m/>
    <m/>
    <m/>
    <m/>
    <n v="2013"/>
    <n v="77000000"/>
    <n v="76000000"/>
    <n v="73000000"/>
    <n v="70000000"/>
    <n v="60000000"/>
    <n v="3"/>
    <n v="3"/>
    <n v="3"/>
    <n v="3.43"/>
    <n v="3.67"/>
    <s v="FP panel"/>
    <x v="1"/>
    <x v="2"/>
    <x v="0"/>
    <x v="0"/>
    <m/>
    <m/>
    <m/>
    <n v="1"/>
    <m/>
    <m/>
    <s v="FP"/>
    <s v="CP"/>
    <m/>
    <m/>
    <x v="1"/>
    <x v="1"/>
    <m/>
    <x v="15"/>
  </r>
  <r>
    <n v="2697"/>
    <x v="249"/>
    <x v="249"/>
    <x v="236"/>
    <x v="0"/>
    <s v="KITTY LAI"/>
    <n v="2540"/>
    <s v="SIF"/>
    <s v="Supplier"/>
    <m/>
    <x v="475"/>
    <s v="Winnington_SIF2012_21Feb12.xls"/>
    <s v=".xls"/>
    <d v="2014-04-24T00:00:00"/>
    <s v="as\afok"/>
    <m/>
    <s v="2012"/>
    <x v="0"/>
    <x v="0"/>
    <x v="0"/>
    <x v="0"/>
    <m/>
    <m/>
    <m/>
    <m/>
    <m/>
    <n v="2012"/>
    <n v="78000000"/>
    <n v="73000000"/>
    <n v="70000000"/>
    <n v="60000000"/>
    <m/>
    <n v="3"/>
    <n v="3"/>
    <n v="3.43"/>
    <n v="3.67"/>
    <m/>
    <s v="FP panel"/>
    <x v="1"/>
    <x v="2"/>
    <x v="0"/>
    <x v="0"/>
    <m/>
    <m/>
    <m/>
    <n v="1"/>
    <m/>
    <m/>
    <s v="FP"/>
    <s v="CP"/>
    <m/>
    <m/>
    <x v="1"/>
    <x v="1"/>
    <m/>
    <x v="15"/>
  </r>
  <r>
    <n v="2705"/>
    <x v="249"/>
    <x v="249"/>
    <x v="236"/>
    <x v="0"/>
    <s v="KITTY LAI"/>
    <n v="2548"/>
    <s v="SPR"/>
    <s v="Supplier"/>
    <m/>
    <x v="721"/>
    <s v="SPR - Winnington 2012 12-06-19.ppt"/>
    <s v=".ppt"/>
    <d v="2014-04-24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m/>
    <x v="1"/>
    <x v="1"/>
    <m/>
    <x v="15"/>
  </r>
  <r>
    <n v="2568"/>
    <x v="250"/>
    <x v="250"/>
    <x v="237"/>
    <x v="0"/>
    <s v="FELICITY YU"/>
    <n v="2417"/>
    <s v="Contract: General Contract"/>
    <s v="Supplier"/>
    <m/>
    <x v="842"/>
    <s v="Wisefame_Purchase Agreement (ODM)_4May11.pdf"/>
    <s v=".pdf"/>
    <d v="2014-04-23T00:00:00"/>
    <s v="as\afok"/>
    <m/>
    <s v="FHA6E022"/>
    <x v="1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n v="1"/>
    <m/>
    <m/>
    <n v="1"/>
    <m/>
    <m/>
    <s v="FP"/>
    <m/>
    <s v="SP"/>
    <s v="MOULD"/>
    <x v="4"/>
    <x v="1"/>
    <m/>
    <x v="10"/>
  </r>
  <r>
    <n v="2569"/>
    <x v="250"/>
    <x v="250"/>
    <x v="237"/>
    <x v="0"/>
    <s v="FELICITY YU"/>
    <n v="2418"/>
    <s v="Contract: Quality Appendix"/>
    <s v="Supplier"/>
    <m/>
    <x v="842"/>
    <s v="Wisefame_Purchase Agreement (ODM)_4May11.pdf"/>
    <s v=".pdf"/>
    <d v="2014-04-23T00:00:00"/>
    <s v="as\afok"/>
    <m/>
    <s v="FHA 00 014"/>
    <x v="0"/>
    <x v="0"/>
    <x v="0"/>
    <x v="4"/>
    <m/>
    <m/>
    <m/>
    <m/>
    <m/>
    <m/>
    <m/>
    <m/>
    <m/>
    <m/>
    <m/>
    <m/>
    <m/>
    <m/>
    <m/>
    <m/>
    <s v="FP panel"/>
    <x v="1"/>
    <x v="4"/>
    <x v="0"/>
    <x v="0"/>
    <m/>
    <n v="1"/>
    <m/>
    <n v="1"/>
    <m/>
    <m/>
    <s v="FP"/>
    <m/>
    <s v="SP"/>
    <s v="MOULD"/>
    <x v="4"/>
    <x v="1"/>
    <m/>
    <x v="10"/>
  </r>
  <r>
    <n v="2570"/>
    <x v="250"/>
    <x v="250"/>
    <x v="237"/>
    <x v="0"/>
    <s v="FELICITY YU"/>
    <n v="2419"/>
    <s v="Contract: Supply Chain Appendix"/>
    <s v="Supplier"/>
    <m/>
    <x v="843"/>
    <s v="Wisefame_Purchase Agreement (ODM)_4May11.pdf"/>
    <s v=".pdf"/>
    <d v="2014-04-23T00:00:00"/>
    <s v="as\afok"/>
    <m/>
    <m/>
    <x v="0"/>
    <x v="2"/>
    <x v="1"/>
    <x v="0"/>
    <m/>
    <m/>
    <m/>
    <m/>
    <m/>
    <m/>
    <m/>
    <m/>
    <m/>
    <m/>
    <m/>
    <m/>
    <m/>
    <m/>
    <m/>
    <m/>
    <s v="FP panel"/>
    <x v="1"/>
    <x v="4"/>
    <x v="0"/>
    <x v="0"/>
    <m/>
    <m/>
    <n v="1"/>
    <n v="1"/>
    <m/>
    <m/>
    <s v="FP"/>
    <m/>
    <s v="SP"/>
    <s v="MOULD"/>
    <x v="4"/>
    <x v="1"/>
    <m/>
    <x v="10"/>
  </r>
  <r>
    <n v="2572"/>
    <x v="250"/>
    <x v="250"/>
    <x v="237"/>
    <x v="0"/>
    <s v="FELICITY YU"/>
    <n v="2421"/>
    <s v="Exclusivity (EA)"/>
    <s v="Supplier"/>
    <m/>
    <x v="844"/>
    <s v="Wisefame_Exclusivity_4May11.pdf"/>
    <s v=".pdf"/>
    <d v="2014-04-23T00:00:00"/>
    <s v="as\afok"/>
    <m/>
    <s v="FRD 6E 030 ind00"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s v="MOULD"/>
    <x v="4"/>
    <x v="1"/>
    <m/>
    <x v="10"/>
  </r>
  <r>
    <n v="2571"/>
    <x v="250"/>
    <x v="250"/>
    <x v="237"/>
    <x v="0"/>
    <s v="FELICITY YU"/>
    <n v="2420"/>
    <s v="IP (Intellectual Property)"/>
    <s v="Supplier"/>
    <m/>
    <x v="845"/>
    <s v="Wisefame_IP_4May11.pdf"/>
    <s v=".pdf"/>
    <d v="2014-04-23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s v="MOULD"/>
    <x v="4"/>
    <x v="1"/>
    <m/>
    <x v="10"/>
  </r>
  <r>
    <n v="2566"/>
    <x v="250"/>
    <x v="250"/>
    <x v="237"/>
    <x v="0"/>
    <s v="FELICITY YU"/>
    <n v="2415"/>
    <s v="SEF"/>
    <s v="Supplier"/>
    <m/>
    <x v="202"/>
    <s v="SEF Wisefame 20130809.xlsx"/>
    <s v=".xlsx"/>
    <d v="2014-04-23T00:00:00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s v="MOULD"/>
    <x v="4"/>
    <x v="1"/>
    <m/>
    <x v="10"/>
  </r>
  <r>
    <n v="2573"/>
    <x v="250"/>
    <x v="250"/>
    <x v="237"/>
    <x v="0"/>
    <s v="FELICITY YU"/>
    <n v="2422"/>
    <s v="SEF"/>
    <s v="Supplier"/>
    <m/>
    <x v="47"/>
    <s v="SEF - Wisefame 2012.xlsx"/>
    <s v=".xlsx"/>
    <d v="2014-04-23T00:00:00"/>
    <s v="as\afok"/>
    <m/>
    <s v="2012"/>
    <x v="0"/>
    <x v="0"/>
    <x v="0"/>
    <x v="0"/>
    <m/>
    <m/>
    <m/>
    <m/>
    <n v="58"/>
    <m/>
    <m/>
    <m/>
    <m/>
    <m/>
    <m/>
    <m/>
    <m/>
    <m/>
    <m/>
    <m/>
    <s v="FP panel"/>
    <x v="1"/>
    <x v="4"/>
    <x v="0"/>
    <x v="0"/>
    <m/>
    <m/>
    <m/>
    <n v="1"/>
    <n v="1"/>
    <m/>
    <s v="FP"/>
    <m/>
    <s v="SP"/>
    <s v="MOULD"/>
    <x v="4"/>
    <x v="1"/>
    <m/>
    <x v="10"/>
  </r>
  <r>
    <n v="2567"/>
    <x v="250"/>
    <x v="250"/>
    <x v="237"/>
    <x v="0"/>
    <s v="FELICITY YU"/>
    <n v="2416"/>
    <s v="SIF"/>
    <s v="Supplier"/>
    <m/>
    <x v="203"/>
    <s v="Wisefame _SIF2013.xls"/>
    <s v=".xls"/>
    <d v="2014-04-23T00:00:00"/>
    <s v="as\afok"/>
    <m/>
    <s v="2013"/>
    <x v="0"/>
    <x v="0"/>
    <x v="0"/>
    <x v="0"/>
    <m/>
    <m/>
    <m/>
    <m/>
    <m/>
    <n v="2013"/>
    <n v="20000000"/>
    <n v="15000000"/>
    <n v="35000000"/>
    <n v="30000000"/>
    <n v="18000000"/>
    <n v="11"/>
    <n v="10"/>
    <n v="3.43"/>
    <n v="0"/>
    <n v="0"/>
    <s v="FP panel"/>
    <x v="1"/>
    <x v="4"/>
    <x v="0"/>
    <x v="0"/>
    <m/>
    <m/>
    <m/>
    <n v="1"/>
    <m/>
    <m/>
    <s v="FP"/>
    <m/>
    <s v="SP"/>
    <s v="MOULD"/>
    <x v="4"/>
    <x v="1"/>
    <m/>
    <x v="10"/>
  </r>
  <r>
    <n v="1969"/>
    <x v="251"/>
    <x v="251"/>
    <x v="238"/>
    <x v="4"/>
    <s v="MAVERICK LAU"/>
    <n v="1920"/>
    <s v="Contract: General Contract"/>
    <s v="Supplier"/>
    <m/>
    <x v="846"/>
    <s v="Woo_Fung_Purchase_Agreement_2008.pdf"/>
    <s v=".pdf"/>
    <d v="2014-04-10T00:00:00"/>
    <s v="as\afok"/>
    <m/>
    <s v="V5"/>
    <x v="7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s v="SP"/>
    <s v="MOULD"/>
    <x v="3"/>
    <x v="1"/>
    <m/>
    <x v="7"/>
  </r>
  <r>
    <n v="1957"/>
    <x v="251"/>
    <x v="251"/>
    <x v="238"/>
    <x v="4"/>
    <s v="MAVERICK LAU"/>
    <n v="1908"/>
    <s v="Contract: General Contract"/>
    <s v="Supplier"/>
    <m/>
    <x v="229"/>
    <s v="Agreement_WooFung_OCT12.pdf"/>
    <s v=".pdf"/>
    <d v="2014-04-10T00:00:00"/>
    <s v="as\afok"/>
    <m/>
    <s v="V7"/>
    <x v="11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s v="SP"/>
    <s v="MOULD"/>
    <x v="3"/>
    <x v="1"/>
    <m/>
    <x v="7"/>
  </r>
  <r>
    <n v="1958"/>
    <x v="251"/>
    <x v="251"/>
    <x v="238"/>
    <x v="4"/>
    <s v="MAVERICK LAU"/>
    <n v="1909"/>
    <s v="Contract: Quality Appendix"/>
    <s v="Supplier"/>
    <m/>
    <x v="847"/>
    <s v="Agreement_WooFung_OCT12.pdf"/>
    <s v=".pdf"/>
    <d v="2014-04-10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s v="FP"/>
    <s v="CP"/>
    <s v="SP"/>
    <s v="MOULD"/>
    <x v="3"/>
    <x v="1"/>
    <m/>
    <x v="7"/>
  </r>
  <r>
    <n v="1970"/>
    <x v="251"/>
    <x v="251"/>
    <x v="238"/>
    <x v="4"/>
    <s v="MAVERICK LAU"/>
    <n v="1921"/>
    <s v="Contract: Quality Appendix"/>
    <s v="Supplier"/>
    <m/>
    <x v="846"/>
    <s v="Woo_Fung_Purchase_Agreement_2008.pdf"/>
    <s v=".pdf"/>
    <d v="2014-04-10T00:00:00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n v="1"/>
    <m/>
    <s v="FP"/>
    <s v="CP"/>
    <s v="SP"/>
    <s v="MOULD"/>
    <x v="3"/>
    <x v="1"/>
    <m/>
    <x v="7"/>
  </r>
  <r>
    <n v="1959"/>
    <x v="251"/>
    <x v="251"/>
    <x v="238"/>
    <x v="4"/>
    <s v="MAVERICK LAU"/>
    <n v="1910"/>
    <s v="Contract: Supply Chain Appendix"/>
    <s v="Supplier"/>
    <m/>
    <x v="847"/>
    <s v="Agreement_WooFung_OCT12.pdf"/>
    <s v=".pdf"/>
    <d v="2014-04-10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s v="FP"/>
    <s v="CP"/>
    <s v="SP"/>
    <s v="MOULD"/>
    <x v="3"/>
    <x v="1"/>
    <m/>
    <x v="7"/>
  </r>
  <r>
    <n v="1960"/>
    <x v="251"/>
    <x v="251"/>
    <x v="238"/>
    <x v="4"/>
    <s v="MAVERICK LAU"/>
    <n v="1911"/>
    <s v="Declaration letter of group organization"/>
    <s v="Supplier"/>
    <m/>
    <x v="848"/>
    <s v="Agreement_WooFung_OCT12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s v="SP"/>
    <s v="MOULD"/>
    <x v="3"/>
    <x v="1"/>
    <m/>
    <x v="7"/>
  </r>
  <r>
    <n v="1956"/>
    <x v="251"/>
    <x v="251"/>
    <x v="238"/>
    <x v="4"/>
    <s v="MAVERICK LAU"/>
    <n v="1907"/>
    <s v="Environmental Declaration"/>
    <s v="Supplier"/>
    <m/>
    <x v="229"/>
    <s v="Woo_Fung_Environnement_Declaration2011.xlsx"/>
    <s v=".xlsx"/>
    <d v="2014-04-10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s v="SP"/>
    <s v="MOULD"/>
    <x v="3"/>
    <x v="1"/>
    <m/>
    <x v="7"/>
  </r>
  <r>
    <n v="1955"/>
    <x v="251"/>
    <x v="251"/>
    <x v="238"/>
    <x v="4"/>
    <s v="MAVERICK LAU"/>
    <n v="1906"/>
    <s v="ISO 9001"/>
    <s v="Supplier"/>
    <d v="2012-10-05T00:00:00"/>
    <x v="849"/>
    <s v="Woo Fung_ISO9001_07Sep2010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s v="SP"/>
    <s v="MOULD"/>
    <x v="3"/>
    <x v="1"/>
    <m/>
    <x v="7"/>
  </r>
  <r>
    <n v="1963"/>
    <x v="251"/>
    <x v="251"/>
    <x v="238"/>
    <x v="4"/>
    <s v="MAVERICK LAU"/>
    <n v="1914"/>
    <s v="LOC (Letter of Confidentiality)"/>
    <s v="Product / Project"/>
    <m/>
    <x v="823"/>
    <s v="LOC_Woo_fung(Fresh2_Project).pdf"/>
    <s v=".pdf"/>
    <d v="2014-04-10T00:00:00"/>
    <s v="as\afok"/>
    <m/>
    <m/>
    <x v="0"/>
    <x v="0"/>
    <x v="0"/>
    <x v="0"/>
    <s v="Fresh2"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s v="SP"/>
    <s v="MOULD"/>
    <x v="3"/>
    <x v="1"/>
    <m/>
    <x v="7"/>
  </r>
  <r>
    <n v="1965"/>
    <x v="251"/>
    <x v="251"/>
    <x v="238"/>
    <x v="4"/>
    <s v="MAVERICK LAU"/>
    <n v="1916"/>
    <s v="LOC (Letter of Confidentiality)"/>
    <s v="Product / Project"/>
    <m/>
    <x v="823"/>
    <s v="LOC_Woo_fung(Rome_Project).pdf"/>
    <s v=".pdf"/>
    <d v="2014-04-10T00:00:00"/>
    <s v="as\afok"/>
    <m/>
    <m/>
    <x v="0"/>
    <x v="0"/>
    <x v="0"/>
    <x v="0"/>
    <s v="Rome"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s v="SP"/>
    <s v="MOULD"/>
    <x v="3"/>
    <x v="1"/>
    <m/>
    <x v="7"/>
  </r>
  <r>
    <n v="1966"/>
    <x v="251"/>
    <x v="251"/>
    <x v="238"/>
    <x v="4"/>
    <s v="MAVERICK LAU"/>
    <n v="1917"/>
    <s v="LOC (Letter of Confidentiality)"/>
    <s v="Product / Project"/>
    <m/>
    <x v="178"/>
    <s v="LOC_Woo_Fung(Nara_Project).pdf"/>
    <s v=".pdf"/>
    <d v="2014-04-10T00:00:00"/>
    <s v="as\afok"/>
    <m/>
    <m/>
    <x v="0"/>
    <x v="0"/>
    <x v="0"/>
    <x v="0"/>
    <s v="Nara"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s v="SP"/>
    <s v="MOULD"/>
    <x v="3"/>
    <x v="1"/>
    <m/>
    <x v="7"/>
  </r>
  <r>
    <n v="1964"/>
    <x v="251"/>
    <x v="251"/>
    <x v="238"/>
    <x v="4"/>
    <s v="MAVERICK LAU"/>
    <n v="1915"/>
    <s v="LOC (Letter of Confidentiality)"/>
    <s v="Product / Project"/>
    <m/>
    <x v="823"/>
    <s v="LOC_Woo_Fung(Tokyo_Project).pdf"/>
    <s v=".pdf"/>
    <d v="2014-04-10T00:00:00"/>
    <s v="as\afok"/>
    <m/>
    <m/>
    <x v="0"/>
    <x v="0"/>
    <x v="0"/>
    <x v="0"/>
    <s v="Tokyo"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s v="SP"/>
    <s v="MOULD"/>
    <x v="3"/>
    <x v="1"/>
    <m/>
    <x v="7"/>
  </r>
  <r>
    <n v="1954"/>
    <x v="251"/>
    <x v="251"/>
    <x v="238"/>
    <x v="4"/>
    <s v="MAVERICK LAU"/>
    <n v="1905"/>
    <s v="Responsible Purchasing Charter"/>
    <s v="Supplier"/>
    <m/>
    <x v="69"/>
    <s v="Woo_Fung_Responsible_Purchasing_Charter_09Aug12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s v="SP"/>
    <s v="MOULD"/>
    <x v="3"/>
    <x v="1"/>
    <m/>
    <x v="7"/>
  </r>
  <r>
    <n v="1951"/>
    <x v="251"/>
    <x v="251"/>
    <x v="238"/>
    <x v="4"/>
    <s v="MAVERICK LAU"/>
    <n v="1902"/>
    <s v="SEF"/>
    <s v="Supplier"/>
    <m/>
    <x v="850"/>
    <s v="SEF-Woo Fung-20130819-81.xlsx"/>
    <s v=".xlsx"/>
    <d v="2014-04-10T00:00:00"/>
    <s v="as\afok"/>
    <m/>
    <s v="2013"/>
    <x v="0"/>
    <x v="0"/>
    <x v="0"/>
    <x v="0"/>
    <m/>
    <m/>
    <m/>
    <m/>
    <n v="81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s v="SP"/>
    <s v="MOULD"/>
    <x v="3"/>
    <x v="1"/>
    <m/>
    <x v="7"/>
  </r>
  <r>
    <n v="1962"/>
    <x v="251"/>
    <x v="251"/>
    <x v="238"/>
    <x v="4"/>
    <s v="MAVERICK LAU"/>
    <n v="1913"/>
    <s v="SEF"/>
    <s v="Supplier"/>
    <m/>
    <x v="393"/>
    <s v="SEF-Woo Fung-28JUN2012-82.XLSX"/>
    <s v=".xlsx"/>
    <d v="2014-04-10T00:00:00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s v="SP"/>
    <s v="MOULD"/>
    <x v="3"/>
    <x v="1"/>
    <m/>
    <x v="7"/>
  </r>
  <r>
    <n v="1953"/>
    <x v="251"/>
    <x v="251"/>
    <x v="238"/>
    <x v="4"/>
    <s v="MAVERICK LAU"/>
    <n v="1904"/>
    <s v="SEF"/>
    <s v="Supplier"/>
    <m/>
    <x v="557"/>
    <s v="SEF-Woo Fung-20121126-83.XLSX"/>
    <s v=".xlsx"/>
    <d v="2014-04-10T00:00:00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s v="SP"/>
    <s v="MOULD"/>
    <x v="3"/>
    <x v="1"/>
    <m/>
    <x v="7"/>
  </r>
  <r>
    <n v="1952"/>
    <x v="251"/>
    <x v="251"/>
    <x v="238"/>
    <x v="4"/>
    <s v="MAVERICK LAU"/>
    <n v="1903"/>
    <s v="SIF"/>
    <s v="Supplier"/>
    <m/>
    <x v="556"/>
    <s v="Woo Fung_SIF2013.xls"/>
    <s v=".xls"/>
    <d v="2014-04-10T00:00:00"/>
    <s v="as\afok"/>
    <m/>
    <s v="2013"/>
    <x v="0"/>
    <x v="0"/>
    <x v="0"/>
    <x v="0"/>
    <m/>
    <m/>
    <m/>
    <m/>
    <m/>
    <n v="2013"/>
    <n v="28000000"/>
    <n v="28000000"/>
    <m/>
    <n v="25000000"/>
    <n v="25000000"/>
    <m/>
    <m/>
    <m/>
    <m/>
    <m/>
    <s v="CP Panel"/>
    <x v="0"/>
    <x v="0"/>
    <x v="1"/>
    <x v="1"/>
    <m/>
    <m/>
    <m/>
    <n v="1"/>
    <m/>
    <m/>
    <s v="FP"/>
    <s v="CP"/>
    <s v="SP"/>
    <s v="MOULD"/>
    <x v="3"/>
    <x v="1"/>
    <m/>
    <x v="7"/>
  </r>
  <r>
    <n v="1968"/>
    <x v="251"/>
    <x v="251"/>
    <x v="238"/>
    <x v="4"/>
    <s v="MAVERICK LAU"/>
    <n v="1919"/>
    <s v="SIF"/>
    <s v="Supplier"/>
    <m/>
    <x v="300"/>
    <s v="WOOFUNG_SIF2012_24May12.xlsx"/>
    <s v=".xlsx"/>
    <d v="2014-04-10T00:00:00"/>
    <s v="as\afok"/>
    <m/>
    <s v="2012"/>
    <x v="0"/>
    <x v="0"/>
    <x v="0"/>
    <x v="0"/>
    <m/>
    <m/>
    <m/>
    <m/>
    <m/>
    <n v="2012"/>
    <n v="28000000"/>
    <n v="28000000"/>
    <m/>
    <n v="25000000"/>
    <n v="25000000"/>
    <m/>
    <m/>
    <m/>
    <m/>
    <m/>
    <s v="CP Panel"/>
    <x v="0"/>
    <x v="0"/>
    <x v="1"/>
    <x v="1"/>
    <m/>
    <m/>
    <m/>
    <n v="1"/>
    <m/>
    <m/>
    <s v="FP"/>
    <s v="CP"/>
    <s v="SP"/>
    <s v="MOULD"/>
    <x v="3"/>
    <x v="1"/>
    <m/>
    <x v="7"/>
  </r>
  <r>
    <n v="1967"/>
    <x v="251"/>
    <x v="251"/>
    <x v="238"/>
    <x v="4"/>
    <s v="MAVERICK LAU"/>
    <n v="1918"/>
    <s v="Social Audit"/>
    <s v="Supplier"/>
    <m/>
    <x v="697"/>
    <s v="Social Audit_letter_Woo_fung_SEP12.pdf"/>
    <s v=".pdf"/>
    <d v="2014-04-10T00:00:00"/>
    <s v="as\afok"/>
    <s v="Social Audit letter"/>
    <m/>
    <x v="0"/>
    <x v="0"/>
    <x v="0"/>
    <x v="0"/>
    <m/>
    <s v="SEB Asia"/>
    <s v="Initial"/>
    <s v="Critical"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s v="SP"/>
    <s v="MOULD"/>
    <x v="3"/>
    <x v="1"/>
    <m/>
    <x v="7"/>
  </r>
  <r>
    <n v="1950"/>
    <x v="251"/>
    <x v="251"/>
    <x v="238"/>
    <x v="4"/>
    <s v="MAVERICK LAU"/>
    <n v="1901"/>
    <s v="SPR"/>
    <s v="Supplier"/>
    <m/>
    <x v="494"/>
    <s v="_SPR-Woo Fung-2013M08.pptx"/>
    <s v=".pptx"/>
    <d v="2014-04-10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s v="SP"/>
    <s v="MOULD"/>
    <x v="3"/>
    <x v="1"/>
    <m/>
    <x v="7"/>
  </r>
  <r>
    <n v="1961"/>
    <x v="251"/>
    <x v="251"/>
    <x v="238"/>
    <x v="4"/>
    <s v="MAVERICK LAU"/>
    <n v="1912"/>
    <s v="SPR"/>
    <s v="Supplier"/>
    <m/>
    <x v="47"/>
    <s v="SPR-Woo Fung-02JUL2012.pptx"/>
    <s v=".pptx"/>
    <d v="2014-04-10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s v="SP"/>
    <s v="MOULD"/>
    <x v="3"/>
    <x v="1"/>
    <m/>
    <x v="7"/>
  </r>
  <r>
    <n v="2264"/>
    <x v="252"/>
    <x v="252"/>
    <x v="239"/>
    <x v="4"/>
    <s v="WILLIAM TSANG"/>
    <n v="2205"/>
    <s v="ISO 14001"/>
    <s v="Supplier"/>
    <d v="2012-01-12T00:00:00"/>
    <x v="571"/>
    <s v="Wor_Biz_ISO14001_Jan_2012.JPG"/>
    <s v=".jpg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0"/>
  </r>
  <r>
    <n v="2266"/>
    <x v="252"/>
    <x v="252"/>
    <x v="239"/>
    <x v="4"/>
    <s v="WILLIAM TSANG"/>
    <n v="2207"/>
    <s v="LOC (Letter of Confidentiality)"/>
    <s v="Supplier"/>
    <m/>
    <x v="851"/>
    <s v="Letter of Confidentiality - Wor - Biz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0"/>
  </r>
  <r>
    <n v="2263"/>
    <x v="252"/>
    <x v="252"/>
    <x v="239"/>
    <x v="4"/>
    <s v="WILLIAM TSANG"/>
    <n v="2204"/>
    <s v="Responsible Purchasing Charter"/>
    <s v="Supplier"/>
    <m/>
    <x v="8"/>
    <s v="Wor_Biz_Responsible_Purchasing_Charter_08Aug12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0"/>
  </r>
  <r>
    <n v="2265"/>
    <x v="252"/>
    <x v="252"/>
    <x v="239"/>
    <x v="4"/>
    <s v="WILLIAM TSANG"/>
    <n v="2206"/>
    <s v="SEF"/>
    <s v="Supplier"/>
    <m/>
    <x v="180"/>
    <s v="WOR_BIZ_Supplier_Evaluation_Apr_2012.xlsx"/>
    <s v=".xlsx"/>
    <d v="2014-04-16T00:00:00"/>
    <s v="as\afok"/>
    <m/>
    <s v="2012"/>
    <x v="0"/>
    <x v="0"/>
    <x v="0"/>
    <x v="0"/>
    <m/>
    <m/>
    <m/>
    <m/>
    <n v="75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0"/>
  </r>
  <r>
    <n v="2268"/>
    <x v="252"/>
    <x v="252"/>
    <x v="239"/>
    <x v="4"/>
    <s v="WILLIAM TSANG"/>
    <n v="2209"/>
    <s v="SIF"/>
    <s v="Supplier"/>
    <m/>
    <x v="119"/>
    <s v="WOR_BIZ_SIF2012_23APR12.xlsx"/>
    <s v=".xlsx"/>
    <d v="2014-04-16T00:00:00"/>
    <s v="as\afok"/>
    <m/>
    <s v="2012"/>
    <x v="0"/>
    <x v="0"/>
    <x v="0"/>
    <x v="0"/>
    <m/>
    <m/>
    <m/>
    <m/>
    <m/>
    <n v="2012"/>
    <n v="38000000"/>
    <n v="34000000"/>
    <n v="30000000"/>
    <n v="23680000"/>
    <n v="38500000"/>
    <m/>
    <n v="1.0900000000000001"/>
    <n v="3.7"/>
    <n v="2.7"/>
    <n v="4"/>
    <m/>
    <x v="0"/>
    <x v="0"/>
    <x v="0"/>
    <x v="0"/>
    <m/>
    <m/>
    <m/>
    <n v="0"/>
    <m/>
    <n v="1"/>
    <m/>
    <s v="CP"/>
    <m/>
    <m/>
    <x v="2"/>
    <x v="1"/>
    <m/>
    <x v="0"/>
  </r>
  <r>
    <n v="2262"/>
    <x v="252"/>
    <x v="252"/>
    <x v="239"/>
    <x v="4"/>
    <s v="WILLIAM TSANG"/>
    <n v="2203"/>
    <s v="SIF"/>
    <s v="Supplier"/>
    <m/>
    <x v="284"/>
    <s v="Wor Biz_SIF2013.xls"/>
    <s v=".xls"/>
    <d v="2014-04-16T00:00:00"/>
    <s v="as\afok"/>
    <m/>
    <s v="2013"/>
    <x v="0"/>
    <x v="0"/>
    <x v="0"/>
    <x v="0"/>
    <m/>
    <m/>
    <m/>
    <m/>
    <m/>
    <n v="2013"/>
    <n v="38000000"/>
    <n v="36700000"/>
    <n v="34000000"/>
    <n v="30000000"/>
    <n v="23680000"/>
    <m/>
    <n v="1.58"/>
    <n v="1.0900000000000001"/>
    <n v="3.7"/>
    <n v="2.7"/>
    <m/>
    <x v="0"/>
    <x v="0"/>
    <x v="0"/>
    <x v="0"/>
    <m/>
    <m/>
    <m/>
    <n v="0"/>
    <m/>
    <m/>
    <m/>
    <s v="CP"/>
    <m/>
    <m/>
    <x v="2"/>
    <x v="1"/>
    <m/>
    <x v="0"/>
  </r>
  <r>
    <n v="2267"/>
    <x v="252"/>
    <x v="252"/>
    <x v="239"/>
    <x v="4"/>
    <s v="WILLIAM TSANG"/>
    <n v="2208"/>
    <s v="SPR"/>
    <s v="Supplier"/>
    <m/>
    <x v="354"/>
    <s v="WORBIZ_SPR_11May12.pptx"/>
    <s v=".pptx"/>
    <d v="2014-04-16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0"/>
  </r>
  <r>
    <n v="1324"/>
    <x v="253"/>
    <x v="253"/>
    <x v="240"/>
    <x v="2"/>
    <s v="GODFREY LI"/>
    <n v="1278"/>
    <s v="Contract: General Contract"/>
    <s v="Supplier"/>
    <m/>
    <x v="426"/>
    <s v="XJ_General Agreement_20120103.pdf"/>
    <s v=".pdf"/>
    <d v="2014-03-31T00:00:00"/>
    <s v="as\afok"/>
    <m/>
    <s v="FHA 00 016 ind.10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s v="SP"/>
    <m/>
    <x v="14"/>
    <x v="1"/>
    <m/>
    <x v="58"/>
  </r>
  <r>
    <n v="1311"/>
    <x v="253"/>
    <x v="253"/>
    <x v="240"/>
    <x v="2"/>
    <s v="GODFREY LI"/>
    <n v="1281"/>
    <s v="Contract: Quality Appendix"/>
    <s v="Supplier"/>
    <m/>
    <x v="426"/>
    <s v="XJ_General Agreement_20120103.pdf"/>
    <s v=".pdf"/>
    <d v="2014-03-31T00:00:00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s v="CP"/>
    <s v="SP"/>
    <m/>
    <x v="14"/>
    <x v="1"/>
    <m/>
    <x v="58"/>
  </r>
  <r>
    <n v="1310"/>
    <x v="253"/>
    <x v="253"/>
    <x v="240"/>
    <x v="2"/>
    <s v="GODFREY LI"/>
    <n v="1280"/>
    <s v="Contract: Supply Chain Appendix"/>
    <s v="Supplier"/>
    <m/>
    <x v="426"/>
    <s v="XJ_General Agreement_20120103.pdf"/>
    <s v=".pdf"/>
    <d v="2014-03-31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s v="CP"/>
    <s v="SP"/>
    <m/>
    <x v="14"/>
    <x v="1"/>
    <m/>
    <x v="58"/>
  </r>
  <r>
    <n v="1312"/>
    <x v="253"/>
    <x v="253"/>
    <x v="240"/>
    <x v="2"/>
    <s v="GODFREY LI"/>
    <n v="1282"/>
    <s v="Declaration letter of group organization"/>
    <s v="Supplier"/>
    <m/>
    <x v="852"/>
    <s v="XJ_General Agreement_20120103.pdf"/>
    <s v=".pdf"/>
    <d v="2014-03-3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m/>
    <x v="14"/>
    <x v="1"/>
    <m/>
    <x v="58"/>
  </r>
  <r>
    <n v="1309"/>
    <x v="253"/>
    <x v="253"/>
    <x v="240"/>
    <x v="2"/>
    <s v="GODFREY LI"/>
    <n v="1279"/>
    <s v="Environmental Declaration"/>
    <s v="Supplier"/>
    <m/>
    <x v="426"/>
    <s v="XJ_General Agreement_20120103.pdf"/>
    <s v=".pdf"/>
    <d v="2014-03-31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m/>
    <x v="14"/>
    <x v="1"/>
    <m/>
    <x v="58"/>
  </r>
  <r>
    <n v="1323"/>
    <x v="253"/>
    <x v="253"/>
    <x v="240"/>
    <x v="2"/>
    <s v="GODFREY LI"/>
    <n v="1293"/>
    <s v="Exclusivity (EA)"/>
    <s v="Product / Project"/>
    <m/>
    <x v="853"/>
    <s v="XJ_Majorca_EA_20110708.pdf"/>
    <s v=".pdf"/>
    <d v="2014-03-31T00:00:00"/>
    <s v="as\afok"/>
    <m/>
    <s v="FRD 6E 030 ind.00"/>
    <x v="0"/>
    <x v="0"/>
    <x v="0"/>
    <x v="0"/>
    <s v="Majorca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m/>
    <x v="14"/>
    <x v="1"/>
    <m/>
    <x v="58"/>
  </r>
  <r>
    <n v="1322"/>
    <x v="253"/>
    <x v="253"/>
    <x v="240"/>
    <x v="2"/>
    <s v="GODFREY LI"/>
    <n v="1292"/>
    <s v="Exclusivity (EA)"/>
    <s v="Product / Project"/>
    <m/>
    <x v="97"/>
    <s v="XJ_LAPAZ blender_EA_2012-01-31.pdf"/>
    <s v=".pdf"/>
    <d v="2014-03-31T00:00:00"/>
    <s v="as\afok"/>
    <m/>
    <m/>
    <x v="0"/>
    <x v="0"/>
    <x v="0"/>
    <x v="0"/>
    <s v="LAPAZ blend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m/>
    <x v="14"/>
    <x v="1"/>
    <m/>
    <x v="58"/>
  </r>
  <r>
    <n v="1306"/>
    <x v="253"/>
    <x v="253"/>
    <x v="240"/>
    <x v="2"/>
    <s v="GODFREY LI"/>
    <n v="1276"/>
    <s v="Exclusivity (EA)"/>
    <s v="Supplier"/>
    <m/>
    <x v="21"/>
    <s v="XJ Exclusivity Summary 2013-02-04.xlsx"/>
    <s v=".xlsx"/>
    <d v="2014-03-31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m/>
    <x v="14"/>
    <x v="1"/>
    <m/>
    <x v="58"/>
  </r>
  <r>
    <n v="1321"/>
    <x v="253"/>
    <x v="253"/>
    <x v="240"/>
    <x v="2"/>
    <s v="GODFREY LI"/>
    <n v="1291"/>
    <s v="Exclusivity (EA)"/>
    <s v="Supplier"/>
    <m/>
    <x v="97"/>
    <s v="XJ_Centri Pro_EA FRD6E030_EN 2012-01-03.pdf"/>
    <s v=".pdf"/>
    <d v="2014-03-31T00:00:00"/>
    <s v="as\afok"/>
    <m/>
    <s v="FRD 6E 030 ind.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m/>
    <x v="14"/>
    <x v="1"/>
    <m/>
    <x v="58"/>
  </r>
  <r>
    <n v="1315"/>
    <x v="253"/>
    <x v="253"/>
    <x v="240"/>
    <x v="2"/>
    <s v="GODFREY LI"/>
    <n v="1285"/>
    <s v="Exclusivity (EA)"/>
    <s v="Supplier"/>
    <m/>
    <x v="379"/>
    <s v="XJ_Centri Pro_IP FRD6E029_EN 2011-09-19.pdf"/>
    <s v=".pdf"/>
    <d v="2014-03-31T00:00:00"/>
    <s v="as\afok"/>
    <m/>
    <s v="FRD 6E 030 ind.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m/>
    <x v="14"/>
    <x v="1"/>
    <m/>
    <x v="58"/>
  </r>
  <r>
    <n v="1314"/>
    <x v="253"/>
    <x v="253"/>
    <x v="240"/>
    <x v="2"/>
    <s v="GODFREY LI"/>
    <n v="1284"/>
    <s v="IP (Intellectual Property)"/>
    <s v="Product / Project"/>
    <m/>
    <x v="379"/>
    <s v="XJ_IP_Centri Pro XXL_23Sep11.pdf"/>
    <s v=".pdf"/>
    <d v="2014-03-31T00:00:00"/>
    <s v="as\afok"/>
    <m/>
    <m/>
    <x v="0"/>
    <x v="0"/>
    <x v="0"/>
    <x v="0"/>
    <s v="Centri Pro XXL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m/>
    <x v="14"/>
    <x v="1"/>
    <m/>
    <x v="58"/>
  </r>
  <r>
    <n v="1318"/>
    <x v="253"/>
    <x v="253"/>
    <x v="240"/>
    <x v="2"/>
    <s v="GODFREY LI"/>
    <n v="1288"/>
    <s v="IP (Intellectual Property)"/>
    <s v="Product / Project"/>
    <m/>
    <x v="97"/>
    <s v="XJ_LAPAZ Blender_IP_ 2012-01-31.pdf"/>
    <s v=".pdf"/>
    <d v="2014-03-31T00:00:00"/>
    <s v="as\afok"/>
    <m/>
    <m/>
    <x v="0"/>
    <x v="0"/>
    <x v="0"/>
    <x v="0"/>
    <s v="LAPAZ Blend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m/>
    <x v="14"/>
    <x v="1"/>
    <m/>
    <x v="58"/>
  </r>
  <r>
    <n v="1317"/>
    <x v="253"/>
    <x v="253"/>
    <x v="240"/>
    <x v="2"/>
    <s v="GODFREY LI"/>
    <n v="1287"/>
    <s v="IP (Intellectual Property)"/>
    <s v="Product / Project"/>
    <m/>
    <x v="545"/>
    <s v="XJ_Majorca_IP_20110708.pdf"/>
    <s v=".pdf"/>
    <d v="2014-03-31T00:00:00"/>
    <s v="as\afok"/>
    <m/>
    <m/>
    <x v="0"/>
    <x v="0"/>
    <x v="0"/>
    <x v="0"/>
    <s v="Majorca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m/>
    <x v="14"/>
    <x v="1"/>
    <m/>
    <x v="58"/>
  </r>
  <r>
    <n v="1325"/>
    <x v="253"/>
    <x v="253"/>
    <x v="240"/>
    <x v="2"/>
    <s v="GODFREY LI"/>
    <n v="1294"/>
    <s v="ISO 14001"/>
    <s v="Supplier"/>
    <d v="2010-11-28T00:00:00"/>
    <x v="854"/>
    <s v="XJ-Group_ISO14001_24Mar2010.jpg"/>
    <s v=".jpg"/>
    <d v="2014-03-3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s v="CP"/>
    <s v="SP"/>
    <m/>
    <x v="14"/>
    <x v="1"/>
    <m/>
    <x v="58"/>
  </r>
  <r>
    <n v="1316"/>
    <x v="253"/>
    <x v="253"/>
    <x v="240"/>
    <x v="2"/>
    <s v="GODFREY LI"/>
    <n v="1286"/>
    <s v="LOC (Letter of Confidentiality)"/>
    <s v="Supplier"/>
    <m/>
    <x v="855"/>
    <s v="XJ-Group_LOC_ 13Jul10.pdf"/>
    <s v=".pdf"/>
    <d v="2014-03-3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m/>
    <x v="14"/>
    <x v="1"/>
    <m/>
    <x v="58"/>
  </r>
  <r>
    <n v="1307"/>
    <x v="253"/>
    <x v="253"/>
    <x v="240"/>
    <x v="2"/>
    <s v="GODFREY LI"/>
    <n v="1277"/>
    <s v="Responsible Purchasing Charter"/>
    <s v="Supplier"/>
    <m/>
    <x v="320"/>
    <s v="XJ - Responsible Purchasing Charter.pdf"/>
    <s v=".pdf"/>
    <d v="2014-03-3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m/>
    <x v="14"/>
    <x v="1"/>
    <m/>
    <x v="58"/>
  </r>
  <r>
    <n v="1320"/>
    <x v="253"/>
    <x v="253"/>
    <x v="240"/>
    <x v="2"/>
    <s v="GODFREY LI"/>
    <n v="1290"/>
    <s v="SEF"/>
    <s v="Supplier"/>
    <m/>
    <x v="55"/>
    <s v="SEF_XJ_ 201206.xlsx"/>
    <s v=".xlsx"/>
    <d v="2014-03-31T00:00:00"/>
    <s v="as\afok"/>
    <m/>
    <s v="2012"/>
    <x v="0"/>
    <x v="0"/>
    <x v="0"/>
    <x v="0"/>
    <m/>
    <m/>
    <m/>
    <m/>
    <n v="59"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m/>
    <x v="14"/>
    <x v="1"/>
    <m/>
    <x v="58"/>
  </r>
  <r>
    <n v="1313"/>
    <x v="253"/>
    <x v="253"/>
    <x v="240"/>
    <x v="2"/>
    <s v="GODFREY LI"/>
    <n v="1283"/>
    <s v="SIF"/>
    <s v="Supplier"/>
    <m/>
    <x v="169"/>
    <s v="XJ_SIF 2012_2Mar12.xls"/>
    <s v=".xls"/>
    <d v="2014-03-31T00:00:00"/>
    <s v="as\afok"/>
    <m/>
    <s v="2012"/>
    <x v="0"/>
    <x v="0"/>
    <x v="0"/>
    <x v="0"/>
    <m/>
    <m/>
    <m/>
    <m/>
    <m/>
    <n v="2012"/>
    <m/>
    <n v="100000000"/>
    <n v="86000000"/>
    <n v="68800000"/>
    <n v="50000000"/>
    <m/>
    <m/>
    <n v="0.63"/>
    <n v="1"/>
    <n v="1.4"/>
    <m/>
    <x v="0"/>
    <x v="0"/>
    <x v="0"/>
    <x v="0"/>
    <m/>
    <m/>
    <m/>
    <n v="1"/>
    <m/>
    <m/>
    <s v="FP"/>
    <s v="CP"/>
    <s v="SP"/>
    <m/>
    <x v="14"/>
    <x v="1"/>
    <m/>
    <x v="58"/>
  </r>
  <r>
    <n v="1305"/>
    <x v="253"/>
    <x v="253"/>
    <x v="240"/>
    <x v="2"/>
    <s v="GODFREY LI"/>
    <n v="1275"/>
    <s v="SIF"/>
    <s v="Supplier"/>
    <m/>
    <x v="27"/>
    <s v="XJ - SIF 2013.xls"/>
    <s v=".xls"/>
    <d v="2014-03-31T00:00:00"/>
    <s v="as\afok"/>
    <m/>
    <s v="2013"/>
    <x v="0"/>
    <x v="0"/>
    <x v="0"/>
    <x v="0"/>
    <m/>
    <m/>
    <m/>
    <m/>
    <m/>
    <n v="2013"/>
    <n v="400000000"/>
    <n v="200000000"/>
    <n v="86000000"/>
    <n v="68800000"/>
    <n v="50000000"/>
    <m/>
    <n v="0.85"/>
    <n v="0.63"/>
    <n v="1"/>
    <n v="1.4"/>
    <m/>
    <x v="0"/>
    <x v="0"/>
    <x v="0"/>
    <x v="0"/>
    <m/>
    <m/>
    <m/>
    <n v="1"/>
    <m/>
    <m/>
    <s v="FP"/>
    <s v="CP"/>
    <s v="SP"/>
    <m/>
    <x v="14"/>
    <x v="1"/>
    <m/>
    <x v="58"/>
  </r>
  <r>
    <n v="1319"/>
    <x v="253"/>
    <x v="253"/>
    <x v="240"/>
    <x v="2"/>
    <s v="GODFREY LI"/>
    <n v="1289"/>
    <s v="SPR"/>
    <s v="Supplier"/>
    <m/>
    <x v="222"/>
    <s v="XJ - SPR 2012.pptx"/>
    <s v=".pptx"/>
    <d v="2014-03-31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m/>
    <x v="14"/>
    <x v="1"/>
    <m/>
    <x v="58"/>
  </r>
  <r>
    <n v="1759"/>
    <x v="254"/>
    <x v="254"/>
    <x v="241"/>
    <x v="5"/>
    <s v="JOHN YAN"/>
    <n v="1716"/>
    <s v="Responsible Purchasing Charter"/>
    <s v="Supplier"/>
    <m/>
    <x v="69"/>
    <s v="XILIN_Responsible Purchaser Charter_9Aug2012.pdf"/>
    <s v=".pdf"/>
    <d v="2014-04-08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25"/>
  </r>
  <r>
    <n v="1760"/>
    <x v="254"/>
    <x v="254"/>
    <x v="241"/>
    <x v="5"/>
    <s v="JOHN YAN"/>
    <n v="1717"/>
    <s v="SIF"/>
    <s v="Supplier"/>
    <m/>
    <x v="856"/>
    <s v="XILIN_SIF_27Apr2012.xls"/>
    <s v=".xls"/>
    <d v="2014-04-08T00:00:00"/>
    <s v="as\afok"/>
    <m/>
    <s v="2012"/>
    <x v="0"/>
    <x v="0"/>
    <x v="0"/>
    <x v="0"/>
    <m/>
    <m/>
    <m/>
    <m/>
    <m/>
    <n v="2012"/>
    <n v="650000000"/>
    <n v="500000000"/>
    <n v="400000000"/>
    <n v="350000000"/>
    <n v="300000000"/>
    <n v="20"/>
    <n v="10"/>
    <n v="0.4"/>
    <n v="0"/>
    <n v="0"/>
    <s v="CP Panel"/>
    <x v="0"/>
    <x v="0"/>
    <x v="1"/>
    <x v="1"/>
    <m/>
    <m/>
    <m/>
    <n v="0"/>
    <m/>
    <n v="1"/>
    <m/>
    <s v="CP"/>
    <m/>
    <m/>
    <x v="2"/>
    <x v="1"/>
    <m/>
    <x v="25"/>
  </r>
  <r>
    <n v="1758"/>
    <x v="254"/>
    <x v="254"/>
    <x v="241"/>
    <x v="5"/>
    <s v="JOHN YAN"/>
    <n v="1715"/>
    <s v="SPR"/>
    <s v="Supplier"/>
    <m/>
    <x v="117"/>
    <s v="SPR_Inoxon_2013.ppt"/>
    <s v=".ppt"/>
    <d v="2014-04-08T00:00:0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x v="2"/>
    <x v="1"/>
    <m/>
    <x v="25"/>
  </r>
  <r>
    <n v="1971"/>
    <x v="255"/>
    <x v="255"/>
    <x v="242"/>
    <x v="4"/>
    <s v="MAVERICK LAU"/>
    <n v="1922"/>
    <s v="Contract: Supply Chain Appendix"/>
    <s v="Supplier"/>
    <m/>
    <x v="857"/>
    <s v="Supplier_chain_appendixV.10_XingBa Jia.pdf"/>
    <s v=".pdf"/>
    <d v="2014-04-10T00:00:00"/>
    <s v="as\afok"/>
    <m/>
    <s v="V10"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m/>
    <m/>
    <s v="CP"/>
    <m/>
    <m/>
    <x v="2"/>
    <x v="1"/>
    <m/>
    <x v="59"/>
  </r>
  <r>
    <n v="1975"/>
    <x v="255"/>
    <x v="255"/>
    <x v="242"/>
    <x v="4"/>
    <s v="MAVERICK LAU"/>
    <n v="1926"/>
    <s v="Responsible Purchasing Charter"/>
    <s v="Supplier"/>
    <m/>
    <x v="19"/>
    <s v="XingBaiJia_Responsible_Purchasing_Charter_07Aug12.pdf"/>
    <s v=".pdf"/>
    <d v="2014-04-10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59"/>
  </r>
  <r>
    <n v="1974"/>
    <x v="255"/>
    <x v="255"/>
    <x v="242"/>
    <x v="4"/>
    <s v="MAVERICK LAU"/>
    <n v="1925"/>
    <s v="SEF"/>
    <s v="Supplier"/>
    <m/>
    <x v="201"/>
    <s v="SEF-XBJ-20121201-68.xlsx"/>
    <s v=".xlsx"/>
    <d v="2014-04-10T00:00:00"/>
    <s v="as\afok"/>
    <m/>
    <s v="2012"/>
    <x v="0"/>
    <x v="0"/>
    <x v="0"/>
    <x v="0"/>
    <m/>
    <m/>
    <m/>
    <m/>
    <n v="68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59"/>
  </r>
  <r>
    <n v="1973"/>
    <x v="255"/>
    <x v="255"/>
    <x v="242"/>
    <x v="4"/>
    <s v="MAVERICK LAU"/>
    <n v="1924"/>
    <s v="SEF"/>
    <s v="Supplier"/>
    <m/>
    <x v="346"/>
    <s v="SEF-XBJ-20120319-68.xlsx"/>
    <s v=".xlsx"/>
    <d v="2014-04-10T00:00:00"/>
    <s v="as\afok"/>
    <m/>
    <s v="2012"/>
    <x v="0"/>
    <x v="0"/>
    <x v="0"/>
    <x v="0"/>
    <m/>
    <m/>
    <m/>
    <m/>
    <n v="68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59"/>
  </r>
  <r>
    <n v="1972"/>
    <x v="255"/>
    <x v="255"/>
    <x v="242"/>
    <x v="4"/>
    <s v="MAVERICK LAU"/>
    <n v="1923"/>
    <s v="SIF"/>
    <s v="Supplier"/>
    <m/>
    <x v="419"/>
    <s v="XBJ_ SIF2013.xls"/>
    <s v=".xls"/>
    <d v="2014-04-10T00:00:00"/>
    <s v="as\afok"/>
    <m/>
    <s v="2013"/>
    <x v="0"/>
    <x v="0"/>
    <x v="0"/>
    <x v="0"/>
    <m/>
    <m/>
    <m/>
    <m/>
    <m/>
    <n v="2013"/>
    <n v="100000000"/>
    <n v="70000000"/>
    <m/>
    <m/>
    <m/>
    <n v="5"/>
    <n v="0.8"/>
    <m/>
    <m/>
    <m/>
    <m/>
    <x v="0"/>
    <x v="0"/>
    <x v="0"/>
    <x v="0"/>
    <m/>
    <m/>
    <m/>
    <n v="0"/>
    <m/>
    <m/>
    <m/>
    <s v="CP"/>
    <m/>
    <m/>
    <x v="2"/>
    <x v="1"/>
    <m/>
    <x v="59"/>
  </r>
  <r>
    <n v="800"/>
    <x v="256"/>
    <x v="256"/>
    <x v="243"/>
    <x v="2"/>
    <s v="DENNIS LAM"/>
    <n v="778"/>
    <s v="Contract: General Contract"/>
    <s v="Supplier"/>
    <m/>
    <x v="451"/>
    <s v="YAHRONG_FHA00016_EN_20100322.pdf"/>
    <s v=".pdf"/>
    <d v="2014-03-21T00:00:00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m/>
    <s v="SP"/>
    <m/>
    <x v="9"/>
    <x v="1"/>
    <m/>
    <x v="43"/>
  </r>
  <r>
    <n v="788"/>
    <x v="256"/>
    <x v="256"/>
    <x v="243"/>
    <x v="2"/>
    <s v="DENNIS LAM"/>
    <n v="766"/>
    <s v="Contract: General Contract"/>
    <s v="Supplier"/>
    <m/>
    <x v="451"/>
    <s v="YAHRONG_General Agreement_20100322.pdf"/>
    <s v=".pdf"/>
    <d v="2014-03-21T00:00:00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43"/>
  </r>
  <r>
    <n v="797"/>
    <x v="256"/>
    <x v="256"/>
    <x v="243"/>
    <x v="2"/>
    <s v="DENNIS LAM"/>
    <n v="775"/>
    <s v="Contract: General Contract"/>
    <s v="Supplier"/>
    <m/>
    <x v="858"/>
    <s v="YAHRONG_FHA6E022_20091126.pdf"/>
    <s v=".pdf"/>
    <d v="2014-03-21T00:00:00"/>
    <s v="as\afok"/>
    <m/>
    <s v="FHA 6E022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x v="9"/>
    <x v="1"/>
    <m/>
    <x v="43"/>
  </r>
  <r>
    <n v="798"/>
    <x v="256"/>
    <x v="256"/>
    <x v="243"/>
    <x v="2"/>
    <s v="DENNIS LAM"/>
    <n v="776"/>
    <s v="Contract: Quality Appendix"/>
    <s v="Supplier"/>
    <m/>
    <x v="859"/>
    <s v="YAHRONG_FHA6E022_20091126.pdf"/>
    <s v=".pdf"/>
    <d v="2014-03-21T00:00:00"/>
    <s v="as\afok"/>
    <m/>
    <s v="FHA 00 014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x v="9"/>
    <x v="1"/>
    <m/>
    <x v="43"/>
  </r>
  <r>
    <n v="799"/>
    <x v="256"/>
    <x v="256"/>
    <x v="243"/>
    <x v="2"/>
    <s v="DENNIS LAM"/>
    <n v="777"/>
    <s v="Contract: Supply Chain Appendix"/>
    <s v="Supplier"/>
    <m/>
    <x v="586"/>
    <s v="YAHRONG_FHA6E022_20091126.pdf"/>
    <s v=".pdf"/>
    <d v="2014-03-21T00:00:00"/>
    <s v="as\afok"/>
    <m/>
    <s v="FHA 6E022"/>
    <x v="0"/>
    <x v="5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x v="9"/>
    <x v="1"/>
    <m/>
    <x v="43"/>
  </r>
  <r>
    <n v="787"/>
    <x v="256"/>
    <x v="256"/>
    <x v="243"/>
    <x v="2"/>
    <s v="DENNIS LAM"/>
    <n v="765"/>
    <s v="Exclusivity (EA)"/>
    <s v="Supplier"/>
    <m/>
    <x v="860"/>
    <s v="Exclusivity Summary Template - Yahorng for 20130125.xlsx"/>
    <s v=".xlsx"/>
    <d v="2014-03-21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43"/>
  </r>
  <r>
    <n v="796"/>
    <x v="256"/>
    <x v="256"/>
    <x v="243"/>
    <x v="2"/>
    <s v="DENNIS LAM"/>
    <n v="774"/>
    <s v="Foodstuffs declaration"/>
    <s v="Supplier"/>
    <m/>
    <x v="861"/>
    <s v="YAHRONG_FRD00069_EN omd 04_20100212.pdf"/>
    <s v=".pdf"/>
    <d v="2014-03-21T00:00:00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43"/>
  </r>
  <r>
    <n v="789"/>
    <x v="256"/>
    <x v="256"/>
    <x v="243"/>
    <x v="2"/>
    <s v="DENNIS LAM"/>
    <n v="767"/>
    <s v="ISO 14001"/>
    <s v="Supplier"/>
    <d v="2012-12-27T00:00:00"/>
    <x v="862"/>
    <s v="YAHRONG_ISO14001_20100521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43"/>
  </r>
  <r>
    <n v="794"/>
    <x v="256"/>
    <x v="256"/>
    <x v="243"/>
    <x v="2"/>
    <s v="DENNIS LAM"/>
    <n v="772"/>
    <s v="LOC (Letter of Confidentiality)"/>
    <s v="Supplier"/>
    <m/>
    <x v="379"/>
    <s v="Yahorng_LOC_NARA_23Sep11.pdf"/>
    <s v=".pdf"/>
    <d v="2014-03-21T00:00:00"/>
    <s v="as\afok"/>
    <s v="NARA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43"/>
  </r>
  <r>
    <n v="795"/>
    <x v="256"/>
    <x v="256"/>
    <x v="243"/>
    <x v="2"/>
    <s v="DENNIS LAM"/>
    <n v="773"/>
    <s v="LOC (Letter of Confidentiality)"/>
    <s v="Supplier"/>
    <m/>
    <x v="91"/>
    <s v="YAHRONG_LOC_20100322.pdf"/>
    <s v=".pdf"/>
    <d v="2014-03-21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43"/>
  </r>
  <r>
    <n v="793"/>
    <x v="256"/>
    <x v="256"/>
    <x v="243"/>
    <x v="2"/>
    <s v="DENNIS LAM"/>
    <n v="771"/>
    <s v="LOC (Letter of Confidentiality)"/>
    <s v="Supplier"/>
    <m/>
    <x v="32"/>
    <s v="Yahorng_LOC_ROME_10Oct11.pdf"/>
    <s v=".pdf"/>
    <d v="2014-03-21T00:00:00"/>
    <s v="as\afok"/>
    <s v="ROM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43"/>
  </r>
  <r>
    <n v="791"/>
    <x v="256"/>
    <x v="256"/>
    <x v="243"/>
    <x v="2"/>
    <s v="DENNIS LAM"/>
    <n v="769"/>
    <s v="Responsible Purchasing Charter"/>
    <s v="Supplier"/>
    <m/>
    <x v="127"/>
    <s v="YAHORNG - Responsible Purchasing Charter (CH).pdf"/>
    <s v=".pdf"/>
    <d v="2014-03-21T00:00:00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43"/>
  </r>
  <r>
    <n v="792"/>
    <x v="256"/>
    <x v="256"/>
    <x v="243"/>
    <x v="2"/>
    <s v="DENNIS LAM"/>
    <n v="770"/>
    <s v="Responsible Purchasing Charter"/>
    <s v="Supplier"/>
    <m/>
    <x v="127"/>
    <s v="YAHORNG - Responsible Purchasing Charter (ENG).pdf"/>
    <s v=".pdf"/>
    <d v="2014-03-21T00:00:00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43"/>
  </r>
  <r>
    <n v="785"/>
    <x v="256"/>
    <x v="256"/>
    <x v="243"/>
    <x v="2"/>
    <s v="DENNIS LAM"/>
    <n v="763"/>
    <s v="SEF"/>
    <s v="Supplier"/>
    <m/>
    <x v="90"/>
    <s v="SEF -Yahorng 2013 Jun.xlsx"/>
    <s v=".xlsx"/>
    <d v="2014-03-21T00:00:00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43"/>
  </r>
  <r>
    <n v="786"/>
    <x v="256"/>
    <x v="256"/>
    <x v="243"/>
    <x v="2"/>
    <s v="DENNIS LAM"/>
    <n v="764"/>
    <s v="SIF"/>
    <s v="Supplier"/>
    <m/>
    <x v="88"/>
    <s v="Yahorng - FHA6E502_EN_-_SIF 2013.xlsx"/>
    <s v=".xlsx"/>
    <d v="2014-03-21T00:00:00"/>
    <s v="as\afok"/>
    <m/>
    <s v="2013"/>
    <x v="0"/>
    <x v="0"/>
    <x v="0"/>
    <x v="0"/>
    <m/>
    <m/>
    <m/>
    <m/>
    <m/>
    <n v="2013"/>
    <m/>
    <n v="53236992"/>
    <n v="45215644"/>
    <n v="47915408"/>
    <n v="47453373"/>
    <m/>
    <m/>
    <m/>
    <m/>
    <m/>
    <m/>
    <x v="0"/>
    <x v="0"/>
    <x v="0"/>
    <x v="0"/>
    <m/>
    <m/>
    <m/>
    <n v="1"/>
    <m/>
    <m/>
    <s v="FP"/>
    <m/>
    <s v="SP"/>
    <m/>
    <x v="9"/>
    <x v="1"/>
    <m/>
    <x v="43"/>
  </r>
  <r>
    <n v="790"/>
    <x v="256"/>
    <x v="256"/>
    <x v="243"/>
    <x v="2"/>
    <s v="DENNIS LAM"/>
    <n v="768"/>
    <s v="SPR"/>
    <s v="Supplier"/>
    <m/>
    <x v="446"/>
    <s v="YAHRONG_SPR_201012.PPT"/>
    <s v=".ppt"/>
    <d v="2014-03-21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x v="9"/>
    <x v="1"/>
    <m/>
    <x v="43"/>
  </r>
  <r>
    <n v="35"/>
    <x v="257"/>
    <x v="257"/>
    <x v="244"/>
    <x v="2"/>
    <s v="GODFREY LI"/>
    <n v="30"/>
    <s v="Contract: General Contract"/>
    <s v="Supplier"/>
    <d v="2015-12-31T00:00:00"/>
    <x v="167"/>
    <s v="YIDA_General Agreement_2012-09-03.pdf"/>
    <s v=".pdf"/>
    <d v="2014-03-04T00:00:00"/>
    <s v="as\afok"/>
    <m/>
    <s v="FHA00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x v="4"/>
    <x v="1"/>
    <m/>
    <x v="25"/>
  </r>
  <r>
    <n v="403"/>
    <x v="257"/>
    <x v="257"/>
    <x v="244"/>
    <x v="2"/>
    <s v="GODFREY LI"/>
    <n v="390"/>
    <s v="Contract: Quality Appendix"/>
    <s v="Supplier"/>
    <m/>
    <x v="167"/>
    <s v="YIDA_General Agreement_2012-09-03.pdf"/>
    <s v=".pdf"/>
    <d v="2014-03-17T00:00:00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x v="4"/>
    <x v="1"/>
    <m/>
    <x v="25"/>
  </r>
  <r>
    <n v="402"/>
    <x v="257"/>
    <x v="257"/>
    <x v="244"/>
    <x v="2"/>
    <s v="GODFREY LI"/>
    <n v="389"/>
    <s v="Contract: Supply Chain Appendix"/>
    <s v="Supplier"/>
    <m/>
    <x v="167"/>
    <s v="YIDA_General Agreement_2012-09-03.pdf"/>
    <s v=".pdf"/>
    <d v="2014-03-17T00:00:00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x v="4"/>
    <x v="1"/>
    <m/>
    <x v="25"/>
  </r>
  <r>
    <n v="578"/>
    <x v="257"/>
    <x v="257"/>
    <x v="244"/>
    <x v="2"/>
    <s v="GODFREY LI"/>
    <n v="561"/>
    <s v="Declaration letter of group organization"/>
    <s v="Supplier"/>
    <m/>
    <x v="167"/>
    <s v="YIDA_General Agreement_2012-09-03.pdf"/>
    <s v=".pdf"/>
    <d v="2014-03-18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s v="MOULD"/>
    <x v="4"/>
    <x v="1"/>
    <m/>
    <x v="25"/>
  </r>
  <r>
    <n v="404"/>
    <x v="257"/>
    <x v="257"/>
    <x v="244"/>
    <x v="2"/>
    <s v="GODFREY LI"/>
    <n v="391"/>
    <s v="Environmental Declaration"/>
    <s v="Supplier"/>
    <m/>
    <x v="167"/>
    <s v="YIDA_General Agreement_2012-09-03.pdf"/>
    <s v=".pdf"/>
    <d v="2014-03-17T00:00:0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5"/>
  </r>
  <r>
    <n v="406"/>
    <x v="257"/>
    <x v="257"/>
    <x v="244"/>
    <x v="2"/>
    <s v="GODFREY LI"/>
    <n v="393"/>
    <s v="ISO 14001"/>
    <s v="Supplier"/>
    <d v="2012-10-15T00:00:00"/>
    <x v="863"/>
    <s v="Yida_ISO14001_25Mar2010.jpg"/>
    <s v=".jpg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5"/>
  </r>
  <r>
    <n v="405"/>
    <x v="257"/>
    <x v="257"/>
    <x v="244"/>
    <x v="2"/>
    <s v="GODFREY LI"/>
    <n v="392"/>
    <s v="ISO 9001"/>
    <s v="Supplier"/>
    <d v="2012-10-15T00:00:00"/>
    <x v="863"/>
    <s v="Yida_ISO9001_15Oct2012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5"/>
  </r>
  <r>
    <n v="408"/>
    <x v="257"/>
    <x v="257"/>
    <x v="244"/>
    <x v="2"/>
    <s v="GODFREY LI"/>
    <n v="395"/>
    <s v="Responsible Purchasing Charter"/>
    <s v="Supplier"/>
    <m/>
    <x v="659"/>
    <s v="YIDA - Responsible Purchasing.Charter (ENG).pdf"/>
    <s v=".pdf"/>
    <d v="2014-03-17T00:00:00"/>
    <s v="as\afok"/>
    <s v="English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5"/>
  </r>
  <r>
    <n v="407"/>
    <x v="257"/>
    <x v="257"/>
    <x v="244"/>
    <x v="2"/>
    <s v="GODFREY LI"/>
    <n v="394"/>
    <s v="Responsible Purchasing Charter"/>
    <s v="Supplier"/>
    <m/>
    <x v="659"/>
    <s v="YIDA - Responsible Purchasing.Charter (CH).pdf"/>
    <s v=".pdf"/>
    <d v="2014-03-17T00:00:00"/>
    <s v="as\afok"/>
    <s v="Chinese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5"/>
  </r>
  <r>
    <n v="409"/>
    <x v="257"/>
    <x v="257"/>
    <x v="244"/>
    <x v="2"/>
    <s v="GODFREY LI"/>
    <n v="396"/>
    <s v="SEF"/>
    <s v="Supplier"/>
    <m/>
    <x v="78"/>
    <s v="SEF 2013 - Yida.xlsx"/>
    <s v=".xlsx"/>
    <d v="2014-03-17T00:00:00"/>
    <s v="as\afok"/>
    <m/>
    <s v="2013"/>
    <x v="0"/>
    <x v="0"/>
    <x v="0"/>
    <x v="0"/>
    <m/>
    <m/>
    <m/>
    <m/>
    <n v="75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5"/>
  </r>
  <r>
    <n v="410"/>
    <x v="257"/>
    <x v="257"/>
    <x v="244"/>
    <x v="2"/>
    <s v="GODFREY LI"/>
    <n v="397"/>
    <s v="SEF"/>
    <s v="Supplier"/>
    <m/>
    <x v="55"/>
    <s v="SEF_Yida_ 201206.xlsx"/>
    <s v=".xlsx"/>
    <d v="2014-03-17T00:00:00"/>
    <s v="as\afok"/>
    <m/>
    <s v="2012"/>
    <x v="0"/>
    <x v="0"/>
    <x v="0"/>
    <x v="0"/>
    <m/>
    <m/>
    <m/>
    <m/>
    <n v="67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x v="4"/>
    <x v="1"/>
    <m/>
    <x v="25"/>
  </r>
  <r>
    <n v="412"/>
    <x v="257"/>
    <x v="257"/>
    <x v="244"/>
    <x v="2"/>
    <s v="GODFREY LI"/>
    <n v="399"/>
    <s v="SIF"/>
    <s v="Supplier"/>
    <m/>
    <x v="830"/>
    <s v="YIDA_SIF 2012_1Mar12.xlsx"/>
    <s v=".xlsx"/>
    <d v="2014-03-17T00:00:00"/>
    <s v="as\afok"/>
    <m/>
    <s v="2012"/>
    <x v="0"/>
    <x v="0"/>
    <x v="0"/>
    <x v="0"/>
    <m/>
    <m/>
    <m/>
    <m/>
    <m/>
    <n v="2012"/>
    <n v="26000000"/>
    <n v="28000000"/>
    <n v="28000000"/>
    <n v="28000000"/>
    <n v="29000000"/>
    <n v="25"/>
    <n v="28"/>
    <n v="35"/>
    <n v="40"/>
    <n v="45"/>
    <m/>
    <x v="0"/>
    <x v="0"/>
    <x v="0"/>
    <x v="0"/>
    <m/>
    <m/>
    <m/>
    <n v="1"/>
    <m/>
    <m/>
    <s v="FP"/>
    <m/>
    <s v="SP"/>
    <s v="MOULD"/>
    <x v="4"/>
    <x v="1"/>
    <m/>
    <x v="25"/>
  </r>
  <r>
    <n v="411"/>
    <x v="257"/>
    <x v="257"/>
    <x v="244"/>
    <x v="2"/>
    <s v="GODFREY LI"/>
    <n v="398"/>
    <s v="SIF"/>
    <s v="Supplier"/>
    <m/>
    <x v="482"/>
    <s v="Yida - SIF 2013.XLSX"/>
    <s v=".xlsx"/>
    <d v="2014-03-17T00:00:00"/>
    <s v="as\afok"/>
    <m/>
    <s v="2013"/>
    <x v="0"/>
    <x v="0"/>
    <x v="0"/>
    <x v="0"/>
    <m/>
    <m/>
    <m/>
    <m/>
    <m/>
    <n v="2013"/>
    <n v="30000000"/>
    <n v="28000000"/>
    <n v="28000000"/>
    <n v="28000000"/>
    <n v="29000000"/>
    <n v="13"/>
    <n v="18"/>
    <n v="28"/>
    <n v="35"/>
    <n v="40"/>
    <m/>
    <x v="0"/>
    <x v="0"/>
    <x v="0"/>
    <x v="0"/>
    <m/>
    <m/>
    <m/>
    <n v="1"/>
    <m/>
    <m/>
    <s v="FP"/>
    <m/>
    <s v="SP"/>
    <s v="MOULD"/>
    <x v="4"/>
    <x v="1"/>
    <m/>
    <x v="25"/>
  </r>
  <r>
    <n v="1524"/>
    <x v="258"/>
    <x v="258"/>
    <x v="245"/>
    <x v="5"/>
    <s v="JASMINE YANG"/>
    <n v="1481"/>
    <s v="Contract: General Contract"/>
    <s v="Supplier"/>
    <m/>
    <x v="107"/>
    <s v="Ying Bao_Supply Agreement_1Nov12.pdf"/>
    <s v=".pdf"/>
    <d v="2014-04-02T00:00:00"/>
    <s v="as\afok"/>
    <m/>
    <s v="V7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x v="2"/>
    <x v="1"/>
    <m/>
    <x v="6"/>
  </r>
  <r>
    <n v="1521"/>
    <x v="258"/>
    <x v="258"/>
    <x v="245"/>
    <x v="5"/>
    <s v="JASMINE YANG"/>
    <n v="1483"/>
    <s v="Contract: Quality Appendix"/>
    <s v="Supplier"/>
    <m/>
    <x v="109"/>
    <s v="Ying Bao_Supply Agreement_1Nov12.pdf"/>
    <s v=".pdf"/>
    <d v="2014-04-02T00:00:0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x v="2"/>
    <x v="1"/>
    <m/>
    <x v="6"/>
  </r>
  <r>
    <n v="1517"/>
    <x v="258"/>
    <x v="258"/>
    <x v="245"/>
    <x v="5"/>
    <s v="JASMINE YANG"/>
    <n v="1479"/>
    <s v="Contract: Quality Appendix"/>
    <s v="Supplier"/>
    <m/>
    <x v="109"/>
    <s v="YING BAO_Quality Appendix_1Nov12.pdf"/>
    <s v=".pdf"/>
    <d v="2014-04-02T00:00:0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x v="2"/>
    <x v="1"/>
    <m/>
    <x v="6"/>
  </r>
  <r>
    <n v="1522"/>
    <x v="258"/>
    <x v="258"/>
    <x v="245"/>
    <x v="5"/>
    <s v="JASMINE YANG"/>
    <n v="1484"/>
    <s v="Contract: Supply Chain Appendix"/>
    <s v="Supplier"/>
    <m/>
    <x v="109"/>
    <s v="YINGBAO_Env Declaration_1Nov2012.pdf"/>
    <s v=".pdf"/>
    <d v="2014-04-02T00:00:00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x v="2"/>
    <x v="1"/>
    <m/>
    <x v="6"/>
  </r>
  <r>
    <n v="1514"/>
    <x v="258"/>
    <x v="258"/>
    <x v="245"/>
    <x v="5"/>
    <s v="JASMINE YANG"/>
    <n v="1476"/>
    <s v="Contract: Supply Chain Appendix"/>
    <s v="Supplier"/>
    <m/>
    <x v="248"/>
    <s v="YINGBAO_Supply Chain(leadtime update)_23Jul2013.pdf"/>
    <s v=".pdf"/>
    <d v="2014-04-02T00:00:00"/>
    <s v="as\afok"/>
    <m/>
    <m/>
    <x v="0"/>
    <x v="5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x v="2"/>
    <x v="1"/>
    <m/>
    <x v="6"/>
  </r>
  <r>
    <n v="1516"/>
    <x v="258"/>
    <x v="258"/>
    <x v="245"/>
    <x v="5"/>
    <s v="JASMINE YANG"/>
    <n v="1478"/>
    <s v="Contract: Supply Chain Appendix"/>
    <s v="Supplier"/>
    <m/>
    <x v="109"/>
    <s v="YING BAO_Supplier Chain Appendix_1Nov12.pdf"/>
    <s v=".pdf"/>
    <d v="2014-04-02T00:00:00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x v="2"/>
    <x v="1"/>
    <m/>
    <x v="6"/>
  </r>
  <r>
    <n v="1523"/>
    <x v="258"/>
    <x v="258"/>
    <x v="245"/>
    <x v="5"/>
    <s v="JASMINE YANG"/>
    <n v="1485"/>
    <s v="Declaration letter of group organization"/>
    <s v="Supplier"/>
    <m/>
    <x v="864"/>
    <s v="Ying Bao_Supply Agreement_1Nov12.pdf"/>
    <s v=".pdf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6"/>
  </r>
  <r>
    <n v="1520"/>
    <x v="258"/>
    <x v="258"/>
    <x v="245"/>
    <x v="5"/>
    <s v="JASMINE YANG"/>
    <n v="1482"/>
    <s v="Environmental Declaration"/>
    <s v="Supplier"/>
    <m/>
    <x v="107"/>
    <s v="Ying Bao_Supply Agreement_1Nov12.pdf"/>
    <s v=".pdf"/>
    <d v="2014-04-02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6"/>
  </r>
  <r>
    <n v="1525"/>
    <x v="258"/>
    <x v="258"/>
    <x v="245"/>
    <x v="5"/>
    <s v="JASMINE YANG"/>
    <n v="1486"/>
    <s v="Environmental Declaration"/>
    <s v="Supplier"/>
    <m/>
    <x v="107"/>
    <s v="YINGBAO_Env Declaration_1Nov2012.pdf"/>
    <s v=".pdf"/>
    <d v="2014-04-02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6"/>
  </r>
  <r>
    <n v="1518"/>
    <x v="258"/>
    <x v="258"/>
    <x v="245"/>
    <x v="5"/>
    <s v="JASMINE YANG"/>
    <n v="1480"/>
    <s v="LOC (Letter of Confidentiality)"/>
    <s v="Supplier"/>
    <m/>
    <x v="109"/>
    <s v="YINGBAO_LOC_15Jun12.pdf"/>
    <s v=".pdf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6"/>
  </r>
  <r>
    <n v="1515"/>
    <x v="258"/>
    <x v="258"/>
    <x v="245"/>
    <x v="5"/>
    <s v="JASMINE YANG"/>
    <n v="1477"/>
    <s v="NDA (Non Disclosure Agreement)"/>
    <s v="Supplier"/>
    <m/>
    <x v="38"/>
    <s v="Yingbao_NDA_28Feb2013.pdf.pdf"/>
    <s v=".pdf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x v="2"/>
    <x v="1"/>
    <m/>
    <x v="6"/>
  </r>
  <r>
    <n v="1527"/>
    <x v="258"/>
    <x v="258"/>
    <x v="245"/>
    <x v="5"/>
    <s v="JASMINE YANG"/>
    <n v="1488"/>
    <s v="Responsible Purchasing Charter"/>
    <s v="Supplier"/>
    <m/>
    <x v="107"/>
    <s v="YINGBAO_Responsible Purchasing  Charter_1Nov2012.pdf"/>
    <s v=".pdf"/>
    <d v="2014-04-02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m/>
    <s v="CP"/>
    <m/>
    <m/>
    <x v="2"/>
    <x v="1"/>
    <m/>
    <x v="6"/>
  </r>
  <r>
    <n v="1526"/>
    <x v="258"/>
    <x v="258"/>
    <x v="245"/>
    <x v="5"/>
    <s v="JASMINE YANG"/>
    <n v="1487"/>
    <s v="SIF"/>
    <s v="Supplier"/>
    <m/>
    <x v="865"/>
    <s v="YINGBAO_SIF_Jun2012.xlsx"/>
    <s v=".xlsx"/>
    <d v="2014-04-02T00:00:00"/>
    <s v="as\afok"/>
    <m/>
    <s v="2012"/>
    <x v="0"/>
    <x v="0"/>
    <x v="0"/>
    <x v="0"/>
    <m/>
    <m/>
    <m/>
    <m/>
    <m/>
    <n v="2012"/>
    <n v="7936507.9369999999"/>
    <n v="6523809.5240000002"/>
    <n v="5663492.0630000001"/>
    <n v="4217460.3169999998"/>
    <n v="3365079.3650000002"/>
    <m/>
    <m/>
    <m/>
    <m/>
    <m/>
    <m/>
    <x v="0"/>
    <x v="0"/>
    <x v="0"/>
    <x v="0"/>
    <m/>
    <m/>
    <m/>
    <n v="1"/>
    <m/>
    <m/>
    <m/>
    <s v="CP"/>
    <m/>
    <m/>
    <x v="2"/>
    <x v="1"/>
    <m/>
    <x v="6"/>
  </r>
  <r>
    <n v="1513"/>
    <x v="258"/>
    <x v="258"/>
    <x v="245"/>
    <x v="5"/>
    <s v="JASMINE YANG"/>
    <n v="1475"/>
    <s v="SIF"/>
    <s v="Supplier"/>
    <m/>
    <x v="252"/>
    <s v="YINGBAO_SIF_May2013.xlsx"/>
    <s v=".xlsx"/>
    <d v="2014-04-02T00:00:00"/>
    <s v="as\afok"/>
    <m/>
    <s v="2013"/>
    <x v="0"/>
    <x v="0"/>
    <x v="0"/>
    <x v="0"/>
    <m/>
    <m/>
    <m/>
    <m/>
    <m/>
    <n v="2013"/>
    <n v="7936507.9365079403"/>
    <n v="6904761.9047619002"/>
    <n v="5663492.0634920597"/>
    <n v="4217460.31746032"/>
    <n v="3365079.3650793699"/>
    <m/>
    <m/>
    <m/>
    <m/>
    <m/>
    <m/>
    <x v="0"/>
    <x v="0"/>
    <x v="0"/>
    <x v="0"/>
    <m/>
    <m/>
    <m/>
    <n v="1"/>
    <m/>
    <m/>
    <m/>
    <s v="CP"/>
    <m/>
    <m/>
    <x v="2"/>
    <x v="1"/>
    <m/>
    <x v="6"/>
  </r>
  <r>
    <n v="2130"/>
    <x v="259"/>
    <x v="259"/>
    <x v="246"/>
    <x v="4"/>
    <s v="RICKY LAM"/>
    <n v="2073"/>
    <s v="Contract: General Contract"/>
    <s v="Supplier"/>
    <m/>
    <x v="256"/>
    <s v="Yingde_Agreement_Jan2013.pdf"/>
    <s v=".pdf"/>
    <d v="2014-04-14T00:00:0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m/>
    <m/>
    <m/>
    <s v="CP"/>
    <m/>
    <m/>
    <x v="2"/>
    <x v="1"/>
    <m/>
    <x v="33"/>
  </r>
  <r>
    <n v="2132"/>
    <x v="259"/>
    <x v="259"/>
    <x v="246"/>
    <x v="4"/>
    <s v="RICKY LAM"/>
    <n v="2075"/>
    <s v="Contract: Quality Appendix"/>
    <s v="Supplier"/>
    <m/>
    <x v="256"/>
    <s v="Yingde_Agreement_Jan2013.pdf"/>
    <s v=".pdf"/>
    <d v="2014-04-14T00:00:0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s v="CP"/>
    <m/>
    <m/>
    <x v="2"/>
    <x v="1"/>
    <m/>
    <x v="33"/>
  </r>
  <r>
    <n v="2136"/>
    <x v="259"/>
    <x v="259"/>
    <x v="246"/>
    <x v="4"/>
    <s v="RICKY LAM"/>
    <n v="2079"/>
    <s v="Contract: Supply Chain Appendix"/>
    <s v="Supplier"/>
    <m/>
    <x v="307"/>
    <s v="SUPPLY CHAIN APPENDIXV.10_Yingde.pdf"/>
    <s v=".pdf"/>
    <d v="2014-04-14T00:00:00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m/>
    <x v="2"/>
    <x v="1"/>
    <m/>
    <x v="33"/>
  </r>
  <r>
    <n v="2133"/>
    <x v="259"/>
    <x v="259"/>
    <x v="246"/>
    <x v="4"/>
    <s v="RICKY LAM"/>
    <n v="2076"/>
    <s v="Contract: Supply Chain Appendix"/>
    <s v="Supplier"/>
    <m/>
    <x v="256"/>
    <s v="Yingde_Agreement_Jan2013.pdf"/>
    <s v=".pdf"/>
    <d v="2014-04-14T00:00:0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m/>
    <x v="2"/>
    <x v="1"/>
    <m/>
    <x v="33"/>
  </r>
  <r>
    <n v="2134"/>
    <x v="259"/>
    <x v="259"/>
    <x v="246"/>
    <x v="4"/>
    <s v="RICKY LAM"/>
    <n v="2077"/>
    <s v="Declaration letter of group organization"/>
    <s v="Supplier"/>
    <m/>
    <x v="235"/>
    <s v="Yingde_Agreement_Jan2013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x v="2"/>
    <x v="1"/>
    <m/>
    <x v="33"/>
  </r>
  <r>
    <n v="2131"/>
    <x v="259"/>
    <x v="259"/>
    <x v="246"/>
    <x v="4"/>
    <s v="RICKY LAM"/>
    <n v="2074"/>
    <s v="Environmental Declaration"/>
    <s v="Supplier"/>
    <m/>
    <x v="866"/>
    <s v="Yingde_Agreement_Jan2013.pdf"/>
    <s v=".pdf"/>
    <d v="2014-04-14T00:00:0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x v="2"/>
    <x v="1"/>
    <m/>
    <x v="33"/>
  </r>
  <r>
    <n v="2135"/>
    <x v="259"/>
    <x v="259"/>
    <x v="246"/>
    <x v="4"/>
    <s v="RICKY LAM"/>
    <n v="2078"/>
    <s v="Responsible Purchasing Charter"/>
    <s v="Supplier"/>
    <m/>
    <x v="523"/>
    <s v="Yingde_Responsible_Purchasing_Charter_01Mar2013.pdf"/>
    <s v=".pdf"/>
    <d v="2014-04-14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x v="2"/>
    <x v="1"/>
    <m/>
    <x v="33"/>
  </r>
  <r>
    <n v="2137"/>
    <x v="259"/>
    <x v="259"/>
    <x v="246"/>
    <x v="4"/>
    <s v="RICKY LAM"/>
    <n v="2080"/>
    <s v="SEF"/>
    <s v="Supplier"/>
    <m/>
    <x v="494"/>
    <s v="SEF-Yingde-20130820-80.xlsx"/>
    <s v=".xlsx"/>
    <d v="2014-04-14T00:00:00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6"/>
    <m/>
    <m/>
    <m/>
    <n v="1"/>
    <n v="1"/>
    <m/>
    <m/>
    <s v="CP"/>
    <m/>
    <m/>
    <x v="2"/>
    <x v="1"/>
    <m/>
    <x v="33"/>
  </r>
  <r>
    <n v="2129"/>
    <x v="259"/>
    <x v="259"/>
    <x v="246"/>
    <x v="4"/>
    <s v="RICKY LAM"/>
    <n v="2072"/>
    <s v="SIF"/>
    <s v="Supplier"/>
    <m/>
    <x v="289"/>
    <s v="Jiangmen Yingde - SIF2012 - 25.07.2012.xlsx"/>
    <s v=".xlsx"/>
    <d v="2014-04-14T00:00:00"/>
    <s v="as\afok"/>
    <m/>
    <s v="2012"/>
    <x v="0"/>
    <x v="0"/>
    <x v="0"/>
    <x v="0"/>
    <m/>
    <m/>
    <m/>
    <m/>
    <m/>
    <n v="2012"/>
    <n v="15500000"/>
    <n v="11000000"/>
    <n v="12500000"/>
    <n v="5500000"/>
    <n v="3800000"/>
    <n v="5"/>
    <n v="2"/>
    <n v="3"/>
    <n v="0"/>
    <n v="0"/>
    <s v="CP Panel"/>
    <x v="0"/>
    <x v="0"/>
    <x v="1"/>
    <x v="6"/>
    <m/>
    <m/>
    <m/>
    <n v="1"/>
    <m/>
    <m/>
    <m/>
    <s v="CP"/>
    <m/>
    <m/>
    <x v="2"/>
    <x v="1"/>
    <m/>
    <x v="33"/>
  </r>
  <r>
    <n v="1535"/>
    <x v="260"/>
    <x v="260"/>
    <x v="247"/>
    <x v="5"/>
    <s v="JASMINE YANG"/>
    <n v="1496"/>
    <s v="Contract: General Contract"/>
    <s v="Supplier"/>
    <m/>
    <x v="867"/>
    <s v="Weimao_Purchase_Agreement_2009.pdf"/>
    <s v=".pdf"/>
    <d v="2014-04-03T00:00:00"/>
    <s v="as\afok"/>
    <m/>
    <s v="V5"/>
    <x v="7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0"/>
    <m/>
    <m/>
    <m/>
    <s v="CP"/>
    <m/>
    <m/>
    <x v="2"/>
    <x v="1"/>
    <m/>
    <x v="60"/>
  </r>
  <r>
    <n v="1536"/>
    <x v="260"/>
    <x v="260"/>
    <x v="247"/>
    <x v="5"/>
    <s v="JASMINE YANG"/>
    <n v="1497"/>
    <s v="Environmental Declaration"/>
    <s v="Supplier"/>
    <m/>
    <x v="91"/>
    <s v="China_Nal_Env_Declaration_08Mar2010.pdf"/>
    <s v=".pdf"/>
    <d v="2014-04-03T00:00:0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0"/>
  </r>
  <r>
    <n v="1537"/>
    <x v="260"/>
    <x v="260"/>
    <x v="247"/>
    <x v="5"/>
    <s v="JASMINE YANG"/>
    <n v="1498"/>
    <s v="ISO 14001"/>
    <s v="Supplier"/>
    <d v="2010-11-12T00:00:00"/>
    <x v="868"/>
    <s v="China_NAL_ISO14001_12Nov2010.jpg"/>
    <s v=".jpg"/>
    <d v="2014-04-03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n v="1"/>
    <m/>
    <s v="CP"/>
    <m/>
    <m/>
    <x v="2"/>
    <x v="1"/>
    <m/>
    <x v="60"/>
  </r>
  <r>
    <n v="1534"/>
    <x v="260"/>
    <x v="260"/>
    <x v="247"/>
    <x v="5"/>
    <s v="JASMINE YANG"/>
    <n v="1495"/>
    <s v="LOC (Letter of Confidentiality)"/>
    <s v="Product / Project"/>
    <m/>
    <x v="391"/>
    <s v="LOC_Yiwei_Tokyo Fresh2_Project.pdf"/>
    <s v=".pdf"/>
    <d v="2014-04-03T00:00:00"/>
    <s v="as\afok"/>
    <m/>
    <m/>
    <x v="0"/>
    <x v="0"/>
    <x v="0"/>
    <x v="0"/>
    <s v="Tokyo Fresh2"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0"/>
  </r>
  <r>
    <n v="1530"/>
    <x v="260"/>
    <x v="260"/>
    <x v="247"/>
    <x v="5"/>
    <s v="JASMINE YANG"/>
    <n v="1491"/>
    <s v="LOC (Letter of Confidentiality)"/>
    <s v="Product / Project"/>
    <m/>
    <x v="389"/>
    <s v="LOC_Shanghai_Yiwei_(Nara_project).pdf"/>
    <s v=".pdf"/>
    <d v="2014-04-03T00:00:00"/>
    <s v="as\afok"/>
    <m/>
    <m/>
    <x v="0"/>
    <x v="0"/>
    <x v="0"/>
    <x v="0"/>
    <s v="Nara"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0"/>
  </r>
  <r>
    <n v="1531"/>
    <x v="260"/>
    <x v="260"/>
    <x v="247"/>
    <x v="5"/>
    <s v="JASMINE YANG"/>
    <n v="1492"/>
    <s v="Responsible Purchasing Charter"/>
    <s v="Supplier"/>
    <m/>
    <x v="228"/>
    <s v="YIWEI_Responsible Purchaser Charter_13Aug2012.pdf"/>
    <s v=".pdf"/>
    <d v="2014-04-03T00:00:0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0"/>
  </r>
  <r>
    <n v="1532"/>
    <x v="260"/>
    <x v="260"/>
    <x v="247"/>
    <x v="5"/>
    <s v="JASMINE YANG"/>
    <n v="1493"/>
    <s v="SIF"/>
    <s v="Supplier"/>
    <m/>
    <x v="242"/>
    <s v="WEIMAO_SIF_20120806.xlsx"/>
    <s v=".xlsx"/>
    <d v="2014-04-03T00:00:00"/>
    <s v="as\afok"/>
    <s v="NINGBO CIXI WEITE Plastic CO., LTD"/>
    <s v="2012"/>
    <x v="0"/>
    <x v="0"/>
    <x v="0"/>
    <x v="0"/>
    <m/>
    <m/>
    <m/>
    <m/>
    <m/>
    <n v="2012"/>
    <n v="500000"/>
    <n v="300000"/>
    <n v="250000"/>
    <n v="650000"/>
    <n v="320000"/>
    <n v="80"/>
    <n v="80"/>
    <n v="80"/>
    <n v="80"/>
    <n v="80"/>
    <s v="CP Panel"/>
    <x v="0"/>
    <x v="0"/>
    <x v="1"/>
    <x v="3"/>
    <m/>
    <m/>
    <m/>
    <n v="0"/>
    <m/>
    <m/>
    <m/>
    <s v="CP"/>
    <m/>
    <m/>
    <x v="2"/>
    <x v="1"/>
    <m/>
    <x v="60"/>
  </r>
  <r>
    <n v="1533"/>
    <x v="260"/>
    <x v="260"/>
    <x v="247"/>
    <x v="5"/>
    <s v="JASMINE YANG"/>
    <n v="1494"/>
    <s v="SIF"/>
    <s v="Supplier"/>
    <m/>
    <x v="242"/>
    <s v="WEIMAO_SIF_20120806.xlsx"/>
    <s v=".xlsx"/>
    <d v="2014-04-03T00:00:00"/>
    <s v="as\afok"/>
    <m/>
    <s v="2012"/>
    <x v="0"/>
    <x v="0"/>
    <x v="0"/>
    <x v="0"/>
    <m/>
    <m/>
    <m/>
    <m/>
    <m/>
    <n v="2012"/>
    <n v="23000000"/>
    <n v="20000000"/>
    <n v="18500000"/>
    <n v="17000000"/>
    <n v="12000000"/>
    <n v="15"/>
    <n v="13"/>
    <n v="15"/>
    <n v="16"/>
    <n v="14"/>
    <s v="CP Panel"/>
    <x v="0"/>
    <x v="0"/>
    <x v="1"/>
    <x v="3"/>
    <m/>
    <m/>
    <m/>
    <n v="0"/>
    <m/>
    <m/>
    <m/>
    <s v="CP"/>
    <m/>
    <m/>
    <x v="2"/>
    <x v="1"/>
    <m/>
    <x v="60"/>
  </r>
  <r>
    <n v="1528"/>
    <x v="260"/>
    <x v="260"/>
    <x v="247"/>
    <x v="5"/>
    <s v="JASMINE YANG"/>
    <n v="1489"/>
    <s v="SIF"/>
    <s v="Supplier"/>
    <m/>
    <x v="869"/>
    <s v="YIWEI_SIF_Jan2014.xlsx"/>
    <s v=".xlsx"/>
    <d v="2014-04-03T00:00:00"/>
    <s v="as\afok"/>
    <m/>
    <s v="2014"/>
    <x v="0"/>
    <x v="0"/>
    <x v="0"/>
    <x v="0"/>
    <m/>
    <m/>
    <m/>
    <m/>
    <m/>
    <n v="2014"/>
    <n v="24000000"/>
    <n v="23000000"/>
    <n v="19000000"/>
    <n v="18500000"/>
    <n v="17000000"/>
    <n v="15"/>
    <n v="27"/>
    <n v="19"/>
    <n v="17"/>
    <n v="16"/>
    <s v="CP Panel"/>
    <x v="0"/>
    <x v="0"/>
    <x v="1"/>
    <x v="3"/>
    <m/>
    <m/>
    <m/>
    <n v="0"/>
    <m/>
    <m/>
    <m/>
    <s v="CP"/>
    <m/>
    <m/>
    <x v="2"/>
    <x v="1"/>
    <m/>
    <x v="60"/>
  </r>
  <r>
    <n v="1529"/>
    <x v="260"/>
    <x v="260"/>
    <x v="247"/>
    <x v="5"/>
    <s v="JASMINE YANG"/>
    <n v="1490"/>
    <s v="SPR"/>
    <s v="Supplier"/>
    <m/>
    <x v="107"/>
    <s v="SPR 2012 Weimao V4.pptx"/>
    <s v=".pptx"/>
    <d v="2014-04-03T00:00:0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x v="2"/>
    <x v="1"/>
    <m/>
    <x v="60"/>
  </r>
  <r>
    <n v="2273"/>
    <x v="261"/>
    <x v="261"/>
    <x v="248"/>
    <x v="4"/>
    <s v="WILLIAM TSANG"/>
    <n v="2214"/>
    <s v="Contract: Quality Appendix"/>
    <s v="Supplier"/>
    <m/>
    <x v="297"/>
    <s v="Yong_Tai_Quality_appendix_SEP12.pdf"/>
    <s v=".pdf"/>
    <d v="2014-04-16T00:00:0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0"/>
    <m/>
    <m/>
    <m/>
    <s v="CP"/>
    <m/>
    <m/>
    <x v="2"/>
    <x v="1"/>
    <m/>
    <x v="8"/>
  </r>
  <r>
    <n v="2272"/>
    <x v="261"/>
    <x v="261"/>
    <x v="248"/>
    <x v="4"/>
    <s v="WILLIAM TSANG"/>
    <n v="2213"/>
    <s v="ISO 14001"/>
    <s v="Supplier"/>
    <d v="2012-05-13T00:00:00"/>
    <x v="870"/>
    <s v="Yong Tai_ISO14001_2004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2271"/>
    <x v="261"/>
    <x v="261"/>
    <x v="248"/>
    <x v="4"/>
    <s v="WILLIAM TSANG"/>
    <n v="2212"/>
    <s v="ISO 9001"/>
    <s v="Supplier"/>
    <d v="2013-02-21T00:00:00"/>
    <x v="806"/>
    <s v="Yong Tai_ISO9001_2008.pdf"/>
    <s v=".pdf"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2274"/>
    <x v="261"/>
    <x v="261"/>
    <x v="248"/>
    <x v="4"/>
    <s v="WILLIAM TSANG"/>
    <n v="2215"/>
    <s v="Responsible Purchasing Charter"/>
    <s v="Supplier"/>
    <m/>
    <x v="871"/>
    <m/>
    <m/>
    <d v="2014-04-16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2270"/>
    <x v="261"/>
    <x v="261"/>
    <x v="248"/>
    <x v="4"/>
    <s v="WILLIAM TSANG"/>
    <n v="2211"/>
    <s v="SEF"/>
    <s v="Supplier"/>
    <m/>
    <x v="362"/>
    <s v="Yong Tai Supplier Evaluation Aug 2012.xls"/>
    <s v=".xls"/>
    <d v="2014-04-16T00:00:00"/>
    <s v="as\afok"/>
    <m/>
    <s v="2012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2269"/>
    <x v="261"/>
    <x v="261"/>
    <x v="248"/>
    <x v="4"/>
    <s v="WILLIAM TSANG"/>
    <n v="2210"/>
    <s v="SIF"/>
    <s v="Supplier"/>
    <m/>
    <x v="202"/>
    <s v="YongTai_SIF2013.xls"/>
    <s v=".xls"/>
    <d v="2014-04-16T00:00:00"/>
    <s v="as\afok"/>
    <m/>
    <s v="2013"/>
    <x v="0"/>
    <x v="0"/>
    <x v="0"/>
    <x v="0"/>
    <m/>
    <m/>
    <m/>
    <m/>
    <m/>
    <n v="2013"/>
    <m/>
    <m/>
    <m/>
    <m/>
    <m/>
    <m/>
    <n v="1"/>
    <m/>
    <m/>
    <m/>
    <m/>
    <x v="0"/>
    <x v="0"/>
    <x v="0"/>
    <x v="0"/>
    <m/>
    <m/>
    <m/>
    <n v="0"/>
    <m/>
    <m/>
    <m/>
    <s v="CP"/>
    <m/>
    <m/>
    <x v="2"/>
    <x v="1"/>
    <m/>
    <x v="8"/>
  </r>
  <r>
    <n v="34"/>
    <x v="262"/>
    <x v="262"/>
    <x v="249"/>
    <x v="3"/>
    <s v="JIMMY HO"/>
    <n v="29"/>
    <s v="Contract: General Contract"/>
    <s v="Supplier"/>
    <d v="2014-12-31T00:00:00"/>
    <x v="410"/>
    <s v="General Agreement FHA00016ind7_YORKWELL_20080218.pdf"/>
    <s v=".pdf"/>
    <d v="2014-03-04T00:00:00"/>
    <s v="as\afok"/>
    <m/>
    <s v="FHA00016 ind.07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m/>
    <s v="SP"/>
    <s v="MOULD"/>
    <x v="4"/>
    <x v="1"/>
    <m/>
    <x v="20"/>
  </r>
  <r>
    <n v="391"/>
    <x v="262"/>
    <x v="262"/>
    <x v="249"/>
    <x v="3"/>
    <s v="JIMMY HO"/>
    <n v="378"/>
    <s v="Contract: Quality Appendix"/>
    <s v="Supplier"/>
    <m/>
    <x v="872"/>
    <s v="Yorkwell General Agreement FHA 000 16ind.11.pdf"/>
    <s v=".pdf"/>
    <d v="2014-03-17T00:00:00"/>
    <s v="as\afok"/>
    <m/>
    <m/>
    <x v="0"/>
    <x v="0"/>
    <x v="0"/>
    <x v="2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m/>
    <m/>
    <s v="FP"/>
    <m/>
    <s v="SP"/>
    <s v="MOULD"/>
    <x v="4"/>
    <x v="1"/>
    <m/>
    <x v="20"/>
  </r>
  <r>
    <n v="390"/>
    <x v="262"/>
    <x v="262"/>
    <x v="249"/>
    <x v="3"/>
    <s v="JIMMY HO"/>
    <n v="377"/>
    <s v="Contract: Supply Chain Appendix"/>
    <s v="Supplier"/>
    <m/>
    <x v="872"/>
    <s v="Yorkwell General Agreement FHA 000 16ind.11.pdf"/>
    <s v=".pdf"/>
    <d v="2014-03-17T00:00:00"/>
    <s v="as\afok"/>
    <m/>
    <m/>
    <x v="0"/>
    <x v="1"/>
    <x v="2"/>
    <x v="0"/>
    <m/>
    <m/>
    <m/>
    <m/>
    <m/>
    <m/>
    <m/>
    <m/>
    <m/>
    <m/>
    <m/>
    <m/>
    <m/>
    <m/>
    <m/>
    <m/>
    <s v="FP panel"/>
    <x v="1"/>
    <x v="2"/>
    <x v="0"/>
    <x v="0"/>
    <m/>
    <m/>
    <n v="1"/>
    <n v="1"/>
    <m/>
    <m/>
    <s v="FP"/>
    <m/>
    <s v="SP"/>
    <s v="MOULD"/>
    <x v="4"/>
    <x v="1"/>
    <m/>
    <x v="20"/>
  </r>
  <r>
    <n v="396"/>
    <x v="262"/>
    <x v="262"/>
    <x v="249"/>
    <x v="3"/>
    <s v="JIMMY HO"/>
    <n v="383"/>
    <s v="Environmental Declaration"/>
    <s v="Supplier"/>
    <m/>
    <x v="757"/>
    <s v="Yorkwell_Env_Declaration_04Jun10.xls"/>
    <s v=".xls"/>
    <d v="2014-03-17T00:00:00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x v="4"/>
    <x v="1"/>
    <m/>
    <x v="20"/>
  </r>
  <r>
    <n v="392"/>
    <x v="262"/>
    <x v="262"/>
    <x v="249"/>
    <x v="3"/>
    <s v="JIMMY HO"/>
    <n v="379"/>
    <s v="Environmental Declaration"/>
    <s v="Supplier"/>
    <m/>
    <x v="872"/>
    <s v="Yorkwell General Agreement FHA 000 16ind.11.pdf"/>
    <s v=".pdf"/>
    <d v="2014-03-17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x v="4"/>
    <x v="1"/>
    <m/>
    <x v="20"/>
  </r>
  <r>
    <n v="394"/>
    <x v="262"/>
    <x v="262"/>
    <x v="249"/>
    <x v="3"/>
    <s v="JIMMY HO"/>
    <n v="381"/>
    <s v="Exclusivity (EA)"/>
    <s v="Product / Project"/>
    <m/>
    <x v="873"/>
    <s v="Yorkwell_Classic 2 4S_EA_ 2012-10-03.pdf"/>
    <s v=".pdf"/>
    <d v="2014-03-17T00:00:00"/>
    <s v="as\afok"/>
    <m/>
    <m/>
    <x v="0"/>
    <x v="0"/>
    <x v="0"/>
    <x v="0"/>
    <s v="Classic 2 4S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x v="4"/>
    <x v="1"/>
    <m/>
    <x v="20"/>
  </r>
  <r>
    <n v="400"/>
    <x v="262"/>
    <x v="262"/>
    <x v="249"/>
    <x v="3"/>
    <s v="JIMMY HO"/>
    <n v="387"/>
    <s v="Exclusivity (EA)"/>
    <s v="Product / Project"/>
    <m/>
    <x v="290"/>
    <s v="Yorkwell_USA breadfast set 2012_EA_ 2012-05-14.pdf"/>
    <s v=".pdf"/>
    <d v="2014-03-17T00:00:00"/>
    <s v="as\afok"/>
    <s v="_x000d__x000a_"/>
    <m/>
    <x v="0"/>
    <x v="0"/>
    <x v="0"/>
    <x v="0"/>
    <s v="USA breadfast set 2012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x v="4"/>
    <x v="1"/>
    <m/>
    <x v="20"/>
  </r>
  <r>
    <n v="389"/>
    <x v="262"/>
    <x v="262"/>
    <x v="249"/>
    <x v="3"/>
    <s v="JIMMY HO"/>
    <n v="376"/>
    <s v="Foodstuffs declaration"/>
    <s v="Supplier"/>
    <m/>
    <x v="874"/>
    <s v="Yorkwell FRD00069 ind.04 20090508.pdf"/>
    <s v=".pdf"/>
    <d v="2014-03-17T00:00:00"/>
    <s v="as\afok"/>
    <m/>
    <s v="FRD00069 ind.04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x v="4"/>
    <x v="1"/>
    <m/>
    <x v="20"/>
  </r>
  <r>
    <n v="401"/>
    <x v="262"/>
    <x v="262"/>
    <x v="249"/>
    <x v="3"/>
    <s v="JIMMY HO"/>
    <n v="388"/>
    <s v="IP (Intellectual Property)"/>
    <s v="Product / Project"/>
    <m/>
    <x v="61"/>
    <s v="Yorkwell_USA breadfast set 2012_IP_ 2012-05-14.pdf"/>
    <s v=".pdf"/>
    <d v="2014-03-17T00:00:00"/>
    <s v="as\afok"/>
    <s v="_x000d__x000a_"/>
    <m/>
    <x v="0"/>
    <x v="0"/>
    <x v="0"/>
    <x v="0"/>
    <s v="USA breadfast set 2012"/>
    <m/>
    <m/>
    <m/>
    <m/>
    <m/>
    <m/>
    <m/>
    <m/>
    <m/>
    <m/>
    <m/>
    <m/>
    <m/>
    <m/>
    <m/>
    <s v="FP panel"/>
    <x v="1"/>
    <x v="2"/>
    <x v="0"/>
    <x v="0"/>
    <m/>
    <m/>
    <m/>
    <n v="1"/>
    <n v="1"/>
    <m/>
    <s v="FP"/>
    <m/>
    <s v="SP"/>
    <s v="MOULD"/>
    <x v="4"/>
    <x v="1"/>
    <m/>
    <x v="20"/>
  </r>
  <r>
    <n v="395"/>
    <x v="262"/>
    <x v="262"/>
    <x v="249"/>
    <x v="3"/>
    <s v="JIMMY HO"/>
    <n v="382"/>
    <s v="IP (Intellectual Property)"/>
    <s v="Product / Project"/>
    <m/>
    <x v="873"/>
    <s v="Yorkwell_Classic 2 4S_IP_ 2012-10-03.pdf"/>
    <s v=".pdf"/>
    <d v="2014-03-17T00:00:00"/>
    <s v="as\afok"/>
    <s v="_x000d__x000a_"/>
    <m/>
    <x v="0"/>
    <x v="0"/>
    <x v="0"/>
    <x v="0"/>
    <s v="Classic 2 4S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x v="4"/>
    <x v="1"/>
    <m/>
    <x v="20"/>
  </r>
  <r>
    <n v="393"/>
    <x v="262"/>
    <x v="262"/>
    <x v="249"/>
    <x v="3"/>
    <s v="JIMMY HO"/>
    <n v="380"/>
    <s v="NDA (Non Disclosure Agreement)"/>
    <s v="Product / Project"/>
    <m/>
    <x v="551"/>
    <s v="Yorkwell NDA Tray Toaster 29Jan10.pdf"/>
    <s v=".pdf"/>
    <d v="2014-03-17T00:00:00"/>
    <s v="as\afok"/>
    <s v="_x000d__x000a_"/>
    <m/>
    <x v="0"/>
    <x v="0"/>
    <x v="0"/>
    <x v="0"/>
    <s v="Tray Toaster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x v="4"/>
    <x v="1"/>
    <m/>
    <x v="20"/>
  </r>
  <r>
    <n v="388"/>
    <x v="262"/>
    <x v="262"/>
    <x v="249"/>
    <x v="3"/>
    <s v="JIMMY HO"/>
    <n v="375"/>
    <s v="Responsible Purchasing Charter"/>
    <s v="Supplier"/>
    <m/>
    <x v="420"/>
    <s v="Yorkwell - Responsible Purchasing Charter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x v="4"/>
    <x v="1"/>
    <m/>
    <x v="20"/>
  </r>
  <r>
    <n v="397"/>
    <x v="262"/>
    <x v="262"/>
    <x v="249"/>
    <x v="3"/>
    <s v="JIMMY HO"/>
    <n v="384"/>
    <s v="SEF"/>
    <s v="Supplier"/>
    <m/>
    <x v="222"/>
    <s v="Yorkwell_SEF_Dec 2012.xlsx"/>
    <s v=".xlsx"/>
    <d v="2014-03-17T00:00:00"/>
    <s v="as\afok"/>
    <m/>
    <s v="2012"/>
    <x v="0"/>
    <x v="0"/>
    <x v="0"/>
    <x v="0"/>
    <m/>
    <m/>
    <m/>
    <m/>
    <n v="64"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x v="4"/>
    <x v="1"/>
    <m/>
    <x v="20"/>
  </r>
  <r>
    <n v="398"/>
    <x v="262"/>
    <x v="262"/>
    <x v="249"/>
    <x v="3"/>
    <s v="JIMMY HO"/>
    <n v="385"/>
    <s v="SIF"/>
    <s v="Supplier"/>
    <m/>
    <x v="575"/>
    <s v="YORKWELL_SIF 2012_24Feb12.xlsx"/>
    <s v=".xlsx"/>
    <d v="2014-03-17T00:00:00"/>
    <s v="as\afok"/>
    <m/>
    <s v="2012"/>
    <x v="0"/>
    <x v="0"/>
    <x v="0"/>
    <x v="0"/>
    <m/>
    <m/>
    <m/>
    <m/>
    <m/>
    <n v="2012"/>
    <n v="42000000"/>
    <n v="38000000"/>
    <n v="30000000"/>
    <n v="21300000"/>
    <n v="23000000"/>
    <n v="32"/>
    <n v="32"/>
    <n v="25"/>
    <n v="30"/>
    <m/>
    <s v="FP panel"/>
    <x v="1"/>
    <x v="2"/>
    <x v="0"/>
    <x v="0"/>
    <m/>
    <m/>
    <m/>
    <n v="1"/>
    <m/>
    <m/>
    <s v="FP"/>
    <m/>
    <s v="SP"/>
    <s v="MOULD"/>
    <x v="4"/>
    <x v="1"/>
    <m/>
    <x v="20"/>
  </r>
  <r>
    <n v="387"/>
    <x v="262"/>
    <x v="262"/>
    <x v="249"/>
    <x v="3"/>
    <s v="JIMMY HO"/>
    <n v="374"/>
    <s v="SIF"/>
    <s v="Supplier"/>
    <m/>
    <x v="192"/>
    <s v="FHA6E502_EN_-_SIF yorkwell  2013.xlsx"/>
    <s v=".xlsx"/>
    <d v="2014-03-17T00:00:00"/>
    <s v="as\afok"/>
    <m/>
    <s v="2013"/>
    <x v="0"/>
    <x v="0"/>
    <x v="0"/>
    <x v="0"/>
    <m/>
    <m/>
    <m/>
    <m/>
    <m/>
    <n v="2013"/>
    <n v="38000000"/>
    <n v="30000000"/>
    <n v="30000000"/>
    <n v="21300000"/>
    <n v="23000000"/>
    <n v="35"/>
    <n v="38"/>
    <n v="25"/>
    <n v="30"/>
    <n v="25"/>
    <s v="FP panel"/>
    <x v="1"/>
    <x v="2"/>
    <x v="0"/>
    <x v="0"/>
    <m/>
    <m/>
    <m/>
    <n v="1"/>
    <m/>
    <m/>
    <s v="FP"/>
    <m/>
    <s v="SP"/>
    <s v="MOULD"/>
    <x v="4"/>
    <x v="1"/>
    <m/>
    <x v="20"/>
  </r>
  <r>
    <n v="399"/>
    <x v="262"/>
    <x v="262"/>
    <x v="249"/>
    <x v="3"/>
    <s v="JIMMY HO"/>
    <n v="386"/>
    <s v="SPR"/>
    <s v="Supplier"/>
    <m/>
    <x v="201"/>
    <s v="yorkwell_SPR_201212.pptx"/>
    <s v=".pptx"/>
    <d v="2014-03-17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x v="4"/>
    <x v="1"/>
    <m/>
    <x v="20"/>
  </r>
  <r>
    <n v="1366"/>
    <x v="263"/>
    <x v="263"/>
    <x v="250"/>
    <x v="0"/>
    <s v="JACQUELINE POON"/>
    <n v="1335"/>
    <s v="Contract: General Contract"/>
    <s v="Supplier"/>
    <m/>
    <x v="75"/>
    <s v="You Long_General Agreement_21Dec11.pdf"/>
    <s v=".pdf"/>
    <d v="2014-03-31T00:00:00"/>
    <s v="as\afok"/>
    <m/>
    <s v="FHA 00 016 ind.10"/>
    <x v="4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n v="1"/>
    <m/>
    <m/>
    <n v="1"/>
    <m/>
    <m/>
    <s v="FP"/>
    <m/>
    <s v="SP"/>
    <m/>
    <x v="9"/>
    <x v="1"/>
    <m/>
    <x v="4"/>
  </r>
  <r>
    <n v="1369"/>
    <x v="263"/>
    <x v="263"/>
    <x v="250"/>
    <x v="0"/>
    <s v="JACQUELINE POON"/>
    <n v="1338"/>
    <s v="Contract: Quality Appendix"/>
    <s v="Supplier"/>
    <m/>
    <x v="769"/>
    <s v="You Long_General Agreement_21Dec11.pdf"/>
    <s v=".pdf"/>
    <d v="2014-03-31T00:00:00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4"/>
    <x v="0"/>
    <x v="0"/>
    <m/>
    <n v="1"/>
    <m/>
    <n v="1"/>
    <m/>
    <m/>
    <s v="FP"/>
    <m/>
    <s v="SP"/>
    <m/>
    <x v="9"/>
    <x v="1"/>
    <m/>
    <x v="4"/>
  </r>
  <r>
    <n v="1368"/>
    <x v="263"/>
    <x v="263"/>
    <x v="250"/>
    <x v="0"/>
    <s v="JACQUELINE POON"/>
    <n v="1337"/>
    <s v="Contract: Supply Chain Appendix"/>
    <s v="Supplier"/>
    <m/>
    <x v="699"/>
    <s v="You Long_General Agreement_21Dec11.pdf"/>
    <s v=".pdf"/>
    <d v="2014-03-31T00:00:00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4"/>
    <x v="0"/>
    <x v="0"/>
    <m/>
    <m/>
    <n v="1"/>
    <n v="1"/>
    <m/>
    <m/>
    <s v="FP"/>
    <m/>
    <s v="SP"/>
    <m/>
    <x v="9"/>
    <x v="1"/>
    <m/>
    <x v="4"/>
  </r>
  <r>
    <n v="1370"/>
    <x v="263"/>
    <x v="263"/>
    <x v="250"/>
    <x v="0"/>
    <s v="JACQUELINE POON"/>
    <n v="1339"/>
    <s v="Declaration letter of group organization"/>
    <s v="Supplier"/>
    <m/>
    <x v="699"/>
    <s v="You Long_General Agreement_21Dec11.pdf"/>
    <s v=".pdf"/>
    <d v="2014-03-31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m/>
    <x v="9"/>
    <x v="1"/>
    <m/>
    <x v="4"/>
  </r>
  <r>
    <n v="1367"/>
    <x v="263"/>
    <x v="263"/>
    <x v="250"/>
    <x v="0"/>
    <s v="JACQUELINE POON"/>
    <n v="1336"/>
    <s v="Environmental Declaration"/>
    <s v="Supplier"/>
    <m/>
    <x v="769"/>
    <s v="You Long_General Agreement_21Dec11.pdf"/>
    <s v=".pdf"/>
    <d v="2014-03-31T00:00:00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m/>
    <x v="9"/>
    <x v="1"/>
    <m/>
    <x v="4"/>
  </r>
  <r>
    <n v="1365"/>
    <x v="263"/>
    <x v="263"/>
    <x v="250"/>
    <x v="0"/>
    <s v="JACQUELINE POON"/>
    <n v="1334"/>
    <s v="LOC (Letter of Confidentiality)"/>
    <s v="Supplier"/>
    <m/>
    <x v="875"/>
    <s v="You Long_Letter of Confidentiality_30Nov11.pdf"/>
    <s v=".pdf"/>
    <d v="2014-03-31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m/>
    <x v="9"/>
    <x v="1"/>
    <m/>
    <x v="4"/>
  </r>
  <r>
    <n v="1364"/>
    <x v="263"/>
    <x v="263"/>
    <x v="250"/>
    <x v="0"/>
    <s v="JACQUELINE POON"/>
    <n v="1333"/>
    <s v="Responsible Purchasing Charter"/>
    <s v="Supplier"/>
    <m/>
    <x v="51"/>
    <s v="You Long_Responsible Purchasing Charter_3Aug12.pdf"/>
    <s v=".pdf"/>
    <d v="2014-03-31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m/>
    <x v="9"/>
    <x v="1"/>
    <m/>
    <x v="4"/>
  </r>
  <r>
    <n v="1371"/>
    <x v="263"/>
    <x v="263"/>
    <x v="250"/>
    <x v="0"/>
    <s v="JACQUELINE POON"/>
    <n v="1340"/>
    <s v="SEF"/>
    <s v="Supplier"/>
    <m/>
    <x v="222"/>
    <s v="SEF_You Long_31Dec12.xlsx"/>
    <s v=".xlsx"/>
    <d v="2014-03-31T00:00:00"/>
    <s v="as\afok"/>
    <m/>
    <s v="2012"/>
    <x v="0"/>
    <x v="0"/>
    <x v="0"/>
    <x v="0"/>
    <m/>
    <m/>
    <m/>
    <m/>
    <n v="67"/>
    <m/>
    <m/>
    <m/>
    <m/>
    <m/>
    <m/>
    <m/>
    <m/>
    <m/>
    <m/>
    <m/>
    <s v="FP panel"/>
    <x v="1"/>
    <x v="4"/>
    <x v="0"/>
    <x v="0"/>
    <m/>
    <m/>
    <m/>
    <n v="1"/>
    <m/>
    <m/>
    <s v="FP"/>
    <m/>
    <s v="SP"/>
    <m/>
    <x v="9"/>
    <x v="1"/>
    <m/>
    <x v="4"/>
  </r>
  <r>
    <n v="1372"/>
    <x v="263"/>
    <x v="263"/>
    <x v="250"/>
    <x v="0"/>
    <s v="JACQUELINE POON"/>
    <n v="1341"/>
    <s v="SIF"/>
    <s v="Supplier"/>
    <m/>
    <x v="203"/>
    <s v="You Long - SIF2013.xls"/>
    <s v=".xls"/>
    <d v="2014-03-31T00:00:00"/>
    <s v="as\afok"/>
    <m/>
    <s v="2013"/>
    <x v="0"/>
    <x v="0"/>
    <x v="0"/>
    <x v="0"/>
    <m/>
    <m/>
    <m/>
    <m/>
    <m/>
    <n v="2013"/>
    <n v="110000000"/>
    <n v="90000000"/>
    <n v="70000000"/>
    <n v="60000000"/>
    <n v="50000000"/>
    <m/>
    <m/>
    <m/>
    <m/>
    <m/>
    <s v="FP panel"/>
    <x v="1"/>
    <x v="4"/>
    <x v="0"/>
    <x v="0"/>
    <m/>
    <m/>
    <m/>
    <n v="1"/>
    <n v="1"/>
    <m/>
    <s v="FP"/>
    <m/>
    <s v="SP"/>
    <m/>
    <x v="9"/>
    <x v="1"/>
    <m/>
    <x v="4"/>
  </r>
  <r>
    <n v="1645"/>
    <x v="264"/>
    <x v="264"/>
    <x v="251"/>
    <x v="3"/>
    <s v="JIMMY HO"/>
    <n v="1606"/>
    <s v="Contract: General Contract"/>
    <s v="Supplier"/>
    <m/>
    <x v="201"/>
    <s v="Yongan_SPR_201212.pptx"/>
    <s v=".pptx"/>
    <d v="2014-04-07T00:00:00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x v="9"/>
    <x v="1"/>
    <m/>
    <x v="20"/>
  </r>
  <r>
    <n v="1647"/>
    <x v="264"/>
    <x v="264"/>
    <x v="251"/>
    <x v="3"/>
    <s v="JIMMY HO"/>
    <n v="1608"/>
    <s v="Contract: General Contract"/>
    <s v="Supplier"/>
    <m/>
    <x v="876"/>
    <s v="General Agreement 11Jan08.pdf"/>
    <s v=".pdf"/>
    <d v="2014-04-07T00:00:00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x v="9"/>
    <x v="1"/>
    <m/>
    <x v="20"/>
  </r>
  <r>
    <n v="1653"/>
    <x v="264"/>
    <x v="264"/>
    <x v="251"/>
    <x v="3"/>
    <s v="JIMMY HO"/>
    <n v="1614"/>
    <s v="Environmental Declaration"/>
    <s v="Supplier"/>
    <m/>
    <x v="522"/>
    <s v="Yong_An_Env_Declaration_28May2010.xls"/>
    <s v=".xls"/>
    <d v="2014-04-07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0"/>
  </r>
  <r>
    <n v="1646"/>
    <x v="264"/>
    <x v="264"/>
    <x v="251"/>
    <x v="3"/>
    <s v="JIMMY HO"/>
    <n v="1607"/>
    <s v="Exclusivity (EA)"/>
    <s v="Supplier"/>
    <m/>
    <x v="809"/>
    <s v="Yongan Exclusivity Summary Template (2).xlsx"/>
    <s v=".xlsx"/>
    <d v="2014-04-07T00:00:00"/>
    <s v="as\afok"/>
    <m/>
    <s v="Exclusivity Summary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0"/>
  </r>
  <r>
    <n v="1651"/>
    <x v="264"/>
    <x v="264"/>
    <x v="251"/>
    <x v="3"/>
    <s v="JIMMY HO"/>
    <n v="1612"/>
    <s v="Exclusivity (EA)"/>
    <s v="Product / Project"/>
    <m/>
    <x v="877"/>
    <s v="YONG AN_EA_Reminisce_20110406.pdf"/>
    <s v=".pdf"/>
    <d v="2014-04-07T00:00:00"/>
    <s v="as\afok"/>
    <m/>
    <s v="FRD 6E 030 ind.00"/>
    <x v="0"/>
    <x v="0"/>
    <x v="0"/>
    <x v="0"/>
    <s v="Reminisce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0"/>
  </r>
  <r>
    <n v="1652"/>
    <x v="264"/>
    <x v="264"/>
    <x v="251"/>
    <x v="3"/>
    <s v="JIMMY HO"/>
    <n v="1613"/>
    <s v="Exclusivity (EA)"/>
    <s v="Supplier"/>
    <m/>
    <x v="878"/>
    <s v="YONG AN_Exclusivity Summary_20110325.xlsx"/>
    <s v=".xlsx"/>
    <d v="2014-04-07T00:00:00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0"/>
  </r>
  <r>
    <n v="1650"/>
    <x v="264"/>
    <x v="264"/>
    <x v="251"/>
    <x v="3"/>
    <s v="JIMMY HO"/>
    <n v="1611"/>
    <s v="Exclusivity (EA)"/>
    <s v="Product / Project"/>
    <m/>
    <x v="535"/>
    <s v="YONG AN - Matisse Kettle_EA_2012-01-05.pdf"/>
    <s v=".pdf"/>
    <d v="2014-04-07T00:00:00"/>
    <s v="as\afok"/>
    <m/>
    <m/>
    <x v="0"/>
    <x v="0"/>
    <x v="0"/>
    <x v="0"/>
    <s v="Matisse Kettle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0"/>
  </r>
  <r>
    <n v="1655"/>
    <x v="264"/>
    <x v="264"/>
    <x v="251"/>
    <x v="3"/>
    <s v="JIMMY HO"/>
    <n v="1616"/>
    <s v="Foodstuffs declaration"/>
    <s v="Supplier"/>
    <m/>
    <x v="879"/>
    <s v="Yong An FRD00069 ind.04 20090505.pdf"/>
    <s v=".pdf"/>
    <d v="2014-04-07T00:00:00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0"/>
  </r>
  <r>
    <n v="1648"/>
    <x v="264"/>
    <x v="264"/>
    <x v="251"/>
    <x v="3"/>
    <s v="JIMMY HO"/>
    <n v="1609"/>
    <s v="IP (Intellectual Property)"/>
    <s v="Product / Project"/>
    <m/>
    <x v="535"/>
    <s v="YONG AN - Matisse Kettle_IP_2012-01-05.pdf"/>
    <s v=".pdf"/>
    <d v="2014-04-07T00:00:00"/>
    <s v="as\afok"/>
    <m/>
    <m/>
    <x v="0"/>
    <x v="0"/>
    <x v="0"/>
    <x v="0"/>
    <s v="Matisse Kettle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0"/>
  </r>
  <r>
    <n v="1654"/>
    <x v="264"/>
    <x v="264"/>
    <x v="251"/>
    <x v="3"/>
    <s v="JIMMY HO"/>
    <n v="1615"/>
    <s v="ISO 9001"/>
    <s v="Supplier"/>
    <d v="2013-10-31T00:00:00"/>
    <x v="446"/>
    <s v="Yong An ISO9001 31Oct2013.jpg"/>
    <s v=".jpg"/>
    <d v="2014-04-0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0"/>
  </r>
  <r>
    <n v="1649"/>
    <x v="264"/>
    <x v="264"/>
    <x v="251"/>
    <x v="3"/>
    <s v="JIMMY HO"/>
    <n v="1610"/>
    <s v="LOC (Letter of Confidentiality)"/>
    <s v="Product / Project"/>
    <m/>
    <x v="880"/>
    <s v="YONG AN_Confidentiality_NARITA 1.5L Kettle_20100910.pdf"/>
    <s v=".pdf"/>
    <d v="2014-04-07T00:00:00"/>
    <s v="as\afok"/>
    <m/>
    <m/>
    <x v="0"/>
    <x v="0"/>
    <x v="0"/>
    <x v="0"/>
    <s v="NARITA 1.5L Kettle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0"/>
  </r>
  <r>
    <n v="1643"/>
    <x v="264"/>
    <x v="264"/>
    <x v="251"/>
    <x v="3"/>
    <s v="JIMMY HO"/>
    <n v="1604"/>
    <s v="Responsible Purchasing Charter"/>
    <s v="Supplier"/>
    <m/>
    <x v="640"/>
    <s v="Yong An - Responsible Purchasing Charter (CH).pdf"/>
    <s v=".pdf"/>
    <d v="2014-04-07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0"/>
  </r>
  <r>
    <n v="1644"/>
    <x v="264"/>
    <x v="264"/>
    <x v="251"/>
    <x v="3"/>
    <s v="JIMMY HO"/>
    <n v="1605"/>
    <s v="SEF"/>
    <s v="Supplier"/>
    <m/>
    <x v="222"/>
    <s v="Yongan_SEF_ Dec 2012.xlsx"/>
    <s v=".xlsx"/>
    <d v="2014-04-07T00:00:00"/>
    <s v="as\afok"/>
    <m/>
    <s v="2012"/>
    <x v="0"/>
    <x v="0"/>
    <x v="0"/>
    <x v="0"/>
    <m/>
    <m/>
    <m/>
    <m/>
    <n v="70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x v="9"/>
    <x v="1"/>
    <m/>
    <x v="20"/>
  </r>
  <r>
    <n v="1656"/>
    <x v="264"/>
    <x v="264"/>
    <x v="251"/>
    <x v="3"/>
    <s v="JIMMY HO"/>
    <n v="1617"/>
    <s v="SIF"/>
    <s v="Supplier"/>
    <m/>
    <x v="881"/>
    <s v="YONG AN_SIF_2010.xls"/>
    <s v=".xls"/>
    <d v="2014-04-07T00:00:00"/>
    <s v="as\afok"/>
    <m/>
    <s v="2010"/>
    <x v="0"/>
    <x v="0"/>
    <x v="0"/>
    <x v="0"/>
    <m/>
    <m/>
    <m/>
    <m/>
    <m/>
    <n v="2010"/>
    <n v="23000000"/>
    <n v="21500000"/>
    <n v="15000000"/>
    <m/>
    <m/>
    <m/>
    <n v="30"/>
    <m/>
    <m/>
    <m/>
    <m/>
    <x v="0"/>
    <x v="0"/>
    <x v="0"/>
    <x v="0"/>
    <m/>
    <m/>
    <m/>
    <n v="0"/>
    <m/>
    <n v="1"/>
    <s v="FP"/>
    <m/>
    <s v="SP"/>
    <m/>
    <x v="9"/>
    <x v="1"/>
    <m/>
    <x v="20"/>
  </r>
  <r>
    <n v="33"/>
    <x v="265"/>
    <x v="265"/>
    <x v="252"/>
    <x v="5"/>
    <s v="SHOT XU"/>
    <n v="28"/>
    <s v="Contract: General Contract"/>
    <s v="Supplier"/>
    <d v="2014-12-31T00:00:00"/>
    <x v="882"/>
    <s v="Yueli_ODM_Contract_6Jul10.pdf"/>
    <s v=".pdf"/>
    <d v="2014-03-04T00:00:00"/>
    <s v="as\afok"/>
    <m/>
    <s v="FHA6E022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m/>
    <s v="SP"/>
    <m/>
    <x v="9"/>
    <x v="1"/>
    <m/>
    <x v="10"/>
  </r>
  <r>
    <n v="383"/>
    <x v="265"/>
    <x v="265"/>
    <x v="252"/>
    <x v="5"/>
    <s v="SHOT XU"/>
    <n v="370"/>
    <s v="Contract: Quality Appendix"/>
    <s v="Supplier"/>
    <m/>
    <x v="882"/>
    <s v="Yueli_ODM_Contract_6Jul10.pdf"/>
    <s v=".pdf"/>
    <d v="2014-03-17T00:00:00"/>
    <s v="as\afok"/>
    <m/>
    <m/>
    <x v="0"/>
    <x v="0"/>
    <x v="0"/>
    <x v="4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m/>
    <m/>
    <s v="FP"/>
    <m/>
    <s v="SP"/>
    <m/>
    <x v="9"/>
    <x v="1"/>
    <m/>
    <x v="10"/>
  </r>
  <r>
    <n v="384"/>
    <x v="265"/>
    <x v="265"/>
    <x v="252"/>
    <x v="5"/>
    <s v="SHOT XU"/>
    <n v="371"/>
    <s v="Contract: Supply Chain Appendix"/>
    <s v="Supplier"/>
    <m/>
    <x v="882"/>
    <s v="Yueli_ODM_Contract_6Jul10.pdf"/>
    <s v=".pdf"/>
    <d v="2014-03-17T00:00:00"/>
    <s v="as\afok"/>
    <m/>
    <m/>
    <x v="0"/>
    <x v="5"/>
    <x v="1"/>
    <x v="0"/>
    <m/>
    <m/>
    <m/>
    <m/>
    <m/>
    <m/>
    <m/>
    <m/>
    <m/>
    <m/>
    <m/>
    <m/>
    <m/>
    <m/>
    <m/>
    <m/>
    <s v="FP panel"/>
    <x v="1"/>
    <x v="2"/>
    <x v="0"/>
    <x v="0"/>
    <m/>
    <m/>
    <n v="1"/>
    <n v="1"/>
    <m/>
    <m/>
    <s v="FP"/>
    <m/>
    <s v="SP"/>
    <m/>
    <x v="9"/>
    <x v="1"/>
    <m/>
    <x v="10"/>
  </r>
  <r>
    <n v="379"/>
    <x v="265"/>
    <x v="265"/>
    <x v="252"/>
    <x v="5"/>
    <s v="SHOT XU"/>
    <n v="366"/>
    <s v="Environmental Declaration"/>
    <s v="Supplier"/>
    <m/>
    <x v="240"/>
    <s v="Yueli_Env_Declaration_2010.xls"/>
    <s v=".xls"/>
    <d v="2014-03-17T00:00:00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10"/>
  </r>
  <r>
    <n v="381"/>
    <x v="265"/>
    <x v="265"/>
    <x v="252"/>
    <x v="5"/>
    <s v="SHOT XU"/>
    <n v="368"/>
    <s v="Exclusivity (EA)"/>
    <s v="Supplier"/>
    <m/>
    <x v="448"/>
    <s v="Yueli_Exclusivity Summary 2012-12-28.xlsx"/>
    <s v=".xlsx"/>
    <d v="2014-03-17T00:00:00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10"/>
  </r>
  <r>
    <n v="378"/>
    <x v="265"/>
    <x v="265"/>
    <x v="252"/>
    <x v="5"/>
    <s v="SHOT XU"/>
    <n v="365"/>
    <s v="Exclusivity (EA)"/>
    <s v="Product / Project"/>
    <m/>
    <x v="189"/>
    <s v="Yueli_EA_Curling tong HB749_17Jun2013.pdf"/>
    <s v=".pdf"/>
    <d v="2014-03-14T00:00:00"/>
    <s v="as\afok"/>
    <m/>
    <m/>
    <x v="0"/>
    <x v="0"/>
    <x v="0"/>
    <x v="0"/>
    <s v="Curling tong HB749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10"/>
  </r>
  <r>
    <n v="380"/>
    <x v="265"/>
    <x v="265"/>
    <x v="252"/>
    <x v="5"/>
    <s v="SHOT XU"/>
    <n v="367"/>
    <s v="Exclusivity (EA)"/>
    <s v="Product / Project"/>
    <m/>
    <x v="259"/>
    <s v="YUELI_Exclusivity agreement_HB755_30Aug2012.pdf"/>
    <s v=".pdf"/>
    <d v="2014-03-17T00:00:00"/>
    <s v="as\afok"/>
    <s v="_x000d__x000a_"/>
    <m/>
    <x v="0"/>
    <x v="0"/>
    <x v="0"/>
    <x v="0"/>
    <s v="HB755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10"/>
  </r>
  <r>
    <n v="382"/>
    <x v="265"/>
    <x v="265"/>
    <x v="252"/>
    <x v="5"/>
    <s v="SHOT XU"/>
    <n v="369"/>
    <s v="ISO 14001"/>
    <s v="Supplier"/>
    <d v="2012-01-11T00:00:00"/>
    <x v="594"/>
    <s v="YUELI_ISO14001_20110531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10"/>
  </r>
  <r>
    <n v="385"/>
    <x v="265"/>
    <x v="265"/>
    <x v="252"/>
    <x v="5"/>
    <s v="SHOT XU"/>
    <n v="372"/>
    <s v="Responsible Purchasing Charter"/>
    <s v="Supplier"/>
    <m/>
    <x v="35"/>
    <s v="YUELI_Responsible Purchasing Charter_15Aug2012.pdf"/>
    <s v=".pdf"/>
    <d v="2014-03-17T00:00:00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10"/>
  </r>
  <r>
    <n v="386"/>
    <x v="265"/>
    <x v="265"/>
    <x v="252"/>
    <x v="5"/>
    <s v="SHOT XU"/>
    <n v="373"/>
    <s v="SIF"/>
    <s v="Supplier"/>
    <m/>
    <x v="137"/>
    <s v="YUELI_SIF_9May2012.xls"/>
    <s v=".xls"/>
    <d v="2014-03-17T00:00:00"/>
    <s v="as\afok"/>
    <m/>
    <s v="2012"/>
    <x v="0"/>
    <x v="0"/>
    <x v="0"/>
    <x v="0"/>
    <m/>
    <m/>
    <m/>
    <m/>
    <m/>
    <n v="2012"/>
    <n v="120000000"/>
    <n v="98000000"/>
    <n v="85000000"/>
    <n v="80000000"/>
    <n v="70000000"/>
    <n v="10"/>
    <n v="5"/>
    <n v="3"/>
    <n v="0"/>
    <m/>
    <s v="FP panel"/>
    <x v="1"/>
    <x v="2"/>
    <x v="0"/>
    <x v="0"/>
    <m/>
    <m/>
    <m/>
    <n v="1"/>
    <n v="1"/>
    <m/>
    <s v="FP"/>
    <m/>
    <s v="SP"/>
    <m/>
    <x v="9"/>
    <x v="1"/>
    <m/>
    <x v="10"/>
  </r>
  <r>
    <n v="377"/>
    <x v="265"/>
    <x v="265"/>
    <x v="252"/>
    <x v="5"/>
    <s v="SHOT XU"/>
    <n v="364"/>
    <s v="SPR"/>
    <s v="Supplier"/>
    <m/>
    <x v="223"/>
    <s v="SPR 2012 YUELI.pptx"/>
    <s v=".pptx"/>
    <d v="2014-03-14T00:00:00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m/>
    <x v="9"/>
    <x v="1"/>
    <m/>
    <x v="10"/>
  </r>
  <r>
    <n v="671"/>
    <x v="266"/>
    <x v="266"/>
    <x v="253"/>
    <x v="1"/>
    <s v="DAVID LIM"/>
    <n v="654"/>
    <s v="Environmental Declaration"/>
    <s v="Supplier"/>
    <m/>
    <x v="660"/>
    <s v="Zippy_Env_Declaration_02Jun2010.pdf"/>
    <s v=".pdf"/>
    <d v="2014-03-19T00:00:0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x v="2"/>
    <x v="1"/>
    <m/>
    <x v="8"/>
  </r>
  <r>
    <n v="670"/>
    <x v="266"/>
    <x v="266"/>
    <x v="253"/>
    <x v="1"/>
    <s v="DAVID LIM"/>
    <n v="653"/>
    <s v="Responsible Purchasing Charter"/>
    <s v="Supplier"/>
    <m/>
    <x v="167"/>
    <s v="Zippy_Responsible Purchasing Charter_31Aug2012.pdf"/>
    <s v=".pdf"/>
    <d v="2014-03-19T00:00:0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669"/>
    <x v="266"/>
    <x v="266"/>
    <x v="253"/>
    <x v="1"/>
    <s v="DAVID LIM"/>
    <n v="652"/>
    <s v="SEF"/>
    <s v="Supplier"/>
    <m/>
    <x v="117"/>
    <s v="Zippy switch_SEF_2013-1.xlsx"/>
    <s v=".xlsx"/>
    <d v="2014-03-19T00:00:00"/>
    <s v="as\afok"/>
    <m/>
    <s v="2013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  <r>
    <n v="668"/>
    <x v="266"/>
    <x v="266"/>
    <x v="253"/>
    <x v="1"/>
    <s v="DAVID LIM"/>
    <n v="651"/>
    <s v="SIF"/>
    <s v="Supplier"/>
    <m/>
    <x v="418"/>
    <s v="Zippy_SIF 2013.xlsx"/>
    <s v=".xlsx"/>
    <d v="2014-03-19T00:00:00"/>
    <s v="as\afok"/>
    <m/>
    <s v="2013"/>
    <x v="0"/>
    <x v="0"/>
    <x v="0"/>
    <x v="0"/>
    <m/>
    <m/>
    <m/>
    <m/>
    <m/>
    <n v="2013"/>
    <n v="158700000"/>
    <n v="138000000"/>
    <n v="128000000"/>
    <n v="110000000"/>
    <m/>
    <m/>
    <m/>
    <m/>
    <m/>
    <m/>
    <m/>
    <x v="0"/>
    <x v="0"/>
    <x v="0"/>
    <x v="0"/>
    <m/>
    <m/>
    <m/>
    <n v="0"/>
    <m/>
    <m/>
    <m/>
    <s v="CP"/>
    <m/>
    <m/>
    <x v="2"/>
    <x v="1"/>
    <m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itemPrintTitles="1" createdVersion="3" indent="0" compact="0" compactData="0" gridDropZones="1" multipleFieldFilters="0">
  <location ref="R26:AA39" firstHeaderRow="1" firstDataRow="2" firstDataCol="4" rowPageCount="7" colPageCount="1"/>
  <pivotFields count="57">
    <pivotField compact="0" outline="0" showAll="0" defaultSubtotal="0"/>
    <pivotField axis="axisRow" compact="0" outline="0" showAll="0" defaultSubtotal="0">
      <items count="267">
        <item sd="0" x="153"/>
        <item sd="0" x="202"/>
        <item sd="0" x="124"/>
        <item sd="0" x="7"/>
        <item sd="0" x="34"/>
        <item sd="0" x="60"/>
        <item sd="0" x="101"/>
        <item sd="0" x="222"/>
        <item sd="0" x="247"/>
        <item sd="0" x="205"/>
        <item sd="0" x="52"/>
        <item sd="0" x="8"/>
        <item sd="0" x="85"/>
        <item sd="0" x="212"/>
        <item sd="0" x="143"/>
        <item sd="0" x="227"/>
        <item sd="0" x="121"/>
        <item sd="0" x="233"/>
        <item sd="0" x="28"/>
        <item sd="0" x="4"/>
        <item sd="0" x="257"/>
        <item sd="0" x="164"/>
        <item sd="0" x="214"/>
        <item sd="0" x="0"/>
        <item sd="0" x="13"/>
        <item sd="0" x="135"/>
        <item sd="0" x="37"/>
        <item sd="0" x="134"/>
        <item sd="0" x="144"/>
        <item sd="0" x="61"/>
        <item sd="0" x="125"/>
        <item sd="0" x="173"/>
        <item sd="0" x="262"/>
        <item sd="0" x="65"/>
        <item sd="0" x="218"/>
        <item sd="0" x="256"/>
        <item sd="0" x="11"/>
        <item sd="0" x="109"/>
        <item sd="0" x="166"/>
        <item sd="0" x="201"/>
        <item sd="0" x="229"/>
        <item sd="0" x="51"/>
        <item sd="0" x="83"/>
        <item sd="0" x="226"/>
        <item sd="0" x="16"/>
        <item sd="0" x="5"/>
        <item sd="0" x="231"/>
        <item sd="0" x="69"/>
        <item sd="0" x="149"/>
        <item sd="0" x="89"/>
        <item sd="0" x="14"/>
        <item sd="0" x="103"/>
        <item sd="0" x="128"/>
        <item sd="0" x="223"/>
        <item sd="0" x="91"/>
        <item sd="0" x="2"/>
        <item sd="0" x="174"/>
        <item sd="0" x="1"/>
        <item sd="0" x="198"/>
        <item sd="0" x="160"/>
        <item sd="0" x="71"/>
        <item sd="0" x="180"/>
        <item sd="0" x="80"/>
        <item sd="0" x="63"/>
        <item sd="0" x="176"/>
        <item sd="0" x="25"/>
        <item sd="0" x="253"/>
        <item sd="0" x="110"/>
        <item sd="0" x="142"/>
        <item sd="0" x="187"/>
        <item sd="0" x="100"/>
        <item sd="0" x="213"/>
        <item sd="0" x="133"/>
        <item sd="0" x="40"/>
        <item sd="0" x="59"/>
        <item sd="0" x="10"/>
        <item sd="0" x="97"/>
        <item sd="0" x="64"/>
        <item sd="0" x="30"/>
        <item sd="0" x="156"/>
        <item sd="0" x="77"/>
        <item sd="0" x="57"/>
        <item sd="0" x="146"/>
        <item sd="0" x="112"/>
        <item sd="0" x="221"/>
        <item sd="0" x="182"/>
        <item sd="0" x="189"/>
        <item sd="0" x="22"/>
        <item sd="0" x="203"/>
        <item sd="0" x="138"/>
        <item sd="0" x="185"/>
        <item sd="0" x="24"/>
        <item sd="0" x="199"/>
        <item sd="0" x="31"/>
        <item sd="0" x="157"/>
        <item sd="0" x="6"/>
        <item sd="0" x="107"/>
        <item sd="0" x="12"/>
        <item sd="0" x="19"/>
        <item sd="0" x="47"/>
        <item sd="0" x="148"/>
        <item sd="0" x="131"/>
        <item sd="0" x="114"/>
        <item sd="0" x="155"/>
        <item sd="0" x="79"/>
        <item sd="0" x="266"/>
        <item sd="0" x="15"/>
        <item sd="0" x="216"/>
        <item sd="0" x="236"/>
        <item sd="0" x="54"/>
        <item sd="0" x="70"/>
        <item sd="0" x="265"/>
        <item sd="0" x="9"/>
        <item sd="0" x="115"/>
        <item sd="0" x="239"/>
        <item sd="0" x="170"/>
        <item sd="0" x="260"/>
        <item sd="0" x="75"/>
        <item sd="0" x="211"/>
        <item sd="0" x="56"/>
        <item sd="0" x="230"/>
        <item sd="0" x="18"/>
        <item sd="0" x="225"/>
        <item sd="0" x="123"/>
        <item sd="0" x="87"/>
        <item sd="0" x="152"/>
        <item sd="0" x="194"/>
        <item sd="0" x="246"/>
        <item sd="0" x="263"/>
        <item sd="0" x="162"/>
        <item sd="0" x="17"/>
        <item sd="0" x="206"/>
        <item sd="0" x="38"/>
        <item sd="0" x="191"/>
        <item sd="0" x="46"/>
        <item sd="0" x="228"/>
        <item sd="0" x="258"/>
        <item sd="0" x="232"/>
        <item sd="0" x="193"/>
        <item sd="0" x="93"/>
        <item sd="0" x="147"/>
        <item sd="0" x="235"/>
        <item sd="0" x="171"/>
        <item sd="0" x="23"/>
        <item sd="0" x="3"/>
        <item sd="0" x="186"/>
        <item sd="0" x="20"/>
        <item sd="0" x="36"/>
        <item sd="0" x="39"/>
        <item sd="0" x="41"/>
        <item sd="0" x="43"/>
        <item sd="0" x="49"/>
        <item sd="0" x="53"/>
        <item sd="0" x="55"/>
        <item sd="0" x="66"/>
        <item sd="0" x="78"/>
        <item sd="0" x="82"/>
        <item sd="0" x="88"/>
        <item sd="0" x="90"/>
        <item sd="0" x="92"/>
        <item sd="0" x="95"/>
        <item sd="0" x="98"/>
        <item sd="0" x="120"/>
        <item sd="0" x="122"/>
        <item sd="0" x="129"/>
        <item sd="0" x="151"/>
        <item sd="0" x="165"/>
        <item sd="0" x="169"/>
        <item sd="0" x="172"/>
        <item sd="0" x="179"/>
        <item sd="0" x="197"/>
        <item sd="0" x="200"/>
        <item sd="0" x="207"/>
        <item sd="0" x="215"/>
        <item sd="0" x="224"/>
        <item sd="0" x="242"/>
        <item sd="0" x="243"/>
        <item sd="0" x="254"/>
        <item sd="0" x="264"/>
        <item sd="0" x="21"/>
        <item sd="0" x="26"/>
        <item sd="0" x="27"/>
        <item sd="0" x="29"/>
        <item sd="0" x="32"/>
        <item sd="0" x="33"/>
        <item sd="0" x="42"/>
        <item sd="0" x="44"/>
        <item sd="0" x="45"/>
        <item sd="0" x="50"/>
        <item sd="0" x="67"/>
        <item sd="0" x="68"/>
        <item sd="0" x="73"/>
        <item sd="0" x="81"/>
        <item sd="0" x="84"/>
        <item sd="0" x="86"/>
        <item sd="0" x="96"/>
        <item sd="0" x="99"/>
        <item sd="0" x="104"/>
        <item sd="0" x="105"/>
        <item sd="0" x="106"/>
        <item sd="0" x="108"/>
        <item sd="0" x="111"/>
        <item sd="0" x="113"/>
        <item sd="0" x="117"/>
        <item sd="0" x="126"/>
        <item sd="0" x="127"/>
        <item sd="0" x="130"/>
        <item sd="0" x="136"/>
        <item sd="0" x="140"/>
        <item sd="0" x="154"/>
        <item sd="0" x="158"/>
        <item sd="0" x="159"/>
        <item sd="0" x="167"/>
        <item sd="0" x="175"/>
        <item sd="0" x="183"/>
        <item sd="0" x="184"/>
        <item sd="0" x="188"/>
        <item sd="0" x="190"/>
        <item sd="0" x="192"/>
        <item sd="0" x="195"/>
        <item sd="0" x="204"/>
        <item sd="0" x="210"/>
        <item sd="0" x="35"/>
        <item sd="0" x="62"/>
        <item sd="0" x="72"/>
        <item sd="0" x="76"/>
        <item sd="0" x="94"/>
        <item sd="0" x="137"/>
        <item sd="0" x="141"/>
        <item sd="0" x="168"/>
        <item sd="0" x="177"/>
        <item sd="0" x="178"/>
        <item sd="0" x="220"/>
        <item sd="0" x="234"/>
        <item sd="0" x="237"/>
        <item sd="0" x="240"/>
        <item sd="0" x="241"/>
        <item sd="0" x="244"/>
        <item sd="0" x="245"/>
        <item sd="0" x="248"/>
        <item sd="0" x="251"/>
        <item sd="0" x="252"/>
        <item sd="0" x="255"/>
        <item sd="0" x="259"/>
        <item sd="0" x="261"/>
        <item x="48"/>
        <item x="58"/>
        <item x="74"/>
        <item x="102"/>
        <item x="116"/>
        <item x="118"/>
        <item x="119"/>
        <item x="132"/>
        <item x="139"/>
        <item x="145"/>
        <item x="150"/>
        <item x="161"/>
        <item x="163"/>
        <item x="181"/>
        <item x="196"/>
        <item x="208"/>
        <item x="209"/>
        <item x="217"/>
        <item x="219"/>
        <item x="238"/>
        <item x="249"/>
        <item x="250"/>
      </items>
    </pivotField>
    <pivotField axis="axisRow" compact="0" outline="0" showAll="0" defaultSubtotal="0">
      <items count="267">
        <item x="0"/>
        <item x="1"/>
        <item x="2"/>
        <item x="5"/>
        <item x="7"/>
        <item x="9"/>
        <item x="10"/>
        <item x="11"/>
        <item x="12"/>
        <item x="171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69"/>
        <item x="71"/>
        <item x="114"/>
        <item x="131"/>
        <item x="160"/>
        <item x="3"/>
        <item x="75"/>
        <item x="80"/>
        <item x="83"/>
        <item x="85"/>
        <item x="191"/>
        <item x="57"/>
        <item x="63"/>
        <item x="203"/>
        <item x="79"/>
        <item x="93"/>
        <item x="100"/>
        <item x="101"/>
        <item x="103"/>
        <item x="109"/>
        <item x="110"/>
        <item x="15"/>
        <item x="121"/>
        <item x="133"/>
        <item x="189"/>
        <item x="22"/>
        <item x="70"/>
        <item x="124"/>
        <item x="125"/>
        <item x="128"/>
        <item x="8"/>
        <item x="134"/>
        <item x="135"/>
        <item x="138"/>
        <item x="142"/>
        <item x="143"/>
        <item x="144"/>
        <item x="146"/>
        <item x="147"/>
        <item x="148"/>
        <item x="149"/>
        <item x="152"/>
        <item x="153"/>
        <item x="155"/>
        <item x="156"/>
        <item x="157"/>
        <item x="162"/>
        <item x="164"/>
        <item x="166"/>
        <item x="89"/>
        <item x="97"/>
        <item x="107"/>
        <item x="170"/>
        <item x="173"/>
        <item x="174"/>
        <item x="176"/>
        <item x="257"/>
        <item x="180"/>
        <item x="182"/>
        <item x="186"/>
        <item x="187"/>
        <item x="230"/>
        <item x="194"/>
        <item x="198"/>
        <item x="77"/>
        <item x="258"/>
        <item x="260"/>
        <item x="185"/>
        <item x="17"/>
        <item x="123"/>
        <item x="201"/>
        <item x="202"/>
        <item x="205"/>
        <item x="206"/>
        <item x="211"/>
        <item x="212"/>
        <item x="213"/>
        <item x="214"/>
        <item x="216"/>
        <item x="65"/>
        <item x="112"/>
        <item x="199"/>
        <item x="218"/>
        <item x="232"/>
        <item x="18"/>
        <item x="221"/>
        <item x="222"/>
        <item x="223"/>
        <item x="225"/>
        <item x="226"/>
        <item x="227"/>
        <item x="229"/>
        <item x="231"/>
        <item x="233"/>
        <item x="235"/>
        <item x="236"/>
        <item x="239"/>
        <item x="4"/>
        <item x="246"/>
        <item x="247"/>
        <item x="253"/>
        <item x="13"/>
        <item x="115"/>
        <item x="256"/>
        <item x="262"/>
        <item x="263"/>
        <item x="56"/>
        <item x="91"/>
        <item x="40"/>
        <item x="46"/>
        <item x="193"/>
        <item x="16"/>
        <item x="265"/>
        <item x="87"/>
        <item x="228"/>
        <item x="266"/>
        <item x="20"/>
        <item x="36"/>
        <item x="39"/>
        <item x="41"/>
        <item x="43"/>
        <item x="49"/>
        <item x="53"/>
        <item x="55"/>
        <item x="66"/>
        <item x="78"/>
        <item x="82"/>
        <item x="88"/>
        <item x="90"/>
        <item x="92"/>
        <item x="95"/>
        <item x="98"/>
        <item x="120"/>
        <item x="122"/>
        <item x="129"/>
        <item x="151"/>
        <item x="165"/>
        <item x="169"/>
        <item x="172"/>
        <item x="179"/>
        <item x="197"/>
        <item x="200"/>
        <item x="207"/>
        <item x="215"/>
        <item x="224"/>
        <item x="242"/>
        <item x="243"/>
        <item x="254"/>
        <item x="264"/>
        <item x="21"/>
        <item x="26"/>
        <item x="27"/>
        <item x="29"/>
        <item x="32"/>
        <item x="33"/>
        <item x="42"/>
        <item x="44"/>
        <item x="45"/>
        <item x="50"/>
        <item x="67"/>
        <item x="68"/>
        <item x="73"/>
        <item x="81"/>
        <item x="84"/>
        <item x="86"/>
        <item x="96"/>
        <item x="99"/>
        <item x="104"/>
        <item x="105"/>
        <item x="106"/>
        <item x="108"/>
        <item x="111"/>
        <item x="113"/>
        <item x="117"/>
        <item x="126"/>
        <item x="127"/>
        <item x="130"/>
        <item x="136"/>
        <item x="140"/>
        <item x="154"/>
        <item x="158"/>
        <item x="159"/>
        <item x="167"/>
        <item x="175"/>
        <item x="183"/>
        <item x="184"/>
        <item x="188"/>
        <item x="190"/>
        <item x="192"/>
        <item x="195"/>
        <item x="204"/>
        <item x="210"/>
        <item x="35"/>
        <item x="62"/>
        <item x="72"/>
        <item x="76"/>
        <item x="94"/>
        <item x="137"/>
        <item x="141"/>
        <item x="168"/>
        <item x="177"/>
        <item x="178"/>
        <item x="220"/>
        <item x="234"/>
        <item x="237"/>
        <item x="240"/>
        <item x="241"/>
        <item x="244"/>
        <item x="245"/>
        <item x="248"/>
        <item x="251"/>
        <item x="252"/>
        <item x="255"/>
        <item x="259"/>
        <item x="261"/>
        <item x="48"/>
        <item x="58"/>
        <item x="74"/>
        <item x="102"/>
        <item x="116"/>
        <item x="118"/>
        <item x="119"/>
        <item x="132"/>
        <item x="139"/>
        <item x="145"/>
        <item x="150"/>
        <item x="161"/>
        <item x="163"/>
        <item x="181"/>
        <item x="196"/>
        <item x="208"/>
        <item x="209"/>
        <item x="217"/>
        <item x="219"/>
        <item x="238"/>
        <item x="249"/>
        <item x="250"/>
      </items>
    </pivotField>
    <pivotField axis="axisRow" compact="0" outline="0" showAll="0" defaultSubtotal="0">
      <items count="25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9"/>
        <item sd="0" x="20"/>
        <item sd="0" x="21"/>
        <item sd="0" x="24"/>
        <item sd="0" x="26"/>
        <item sd="0" x="27"/>
        <item sd="0" x="30"/>
        <item sd="0" x="33"/>
        <item sd="0" x="34"/>
        <item sd="0" x="36"/>
        <item sd="0" x="41"/>
        <item sd="0" x="42"/>
        <item sd="0" x="45"/>
        <item sd="0" x="46"/>
        <item sd="0" x="48"/>
        <item sd="0" x="50"/>
        <item sd="0" x="51"/>
        <item sd="0" x="52"/>
        <item sd="0" x="53"/>
        <item sd="0" x="54"/>
        <item sd="0" x="56"/>
        <item sd="0" x="57"/>
        <item sd="0" x="58"/>
        <item sd="0" x="62"/>
        <item sd="0" x="63"/>
        <item sd="0" x="64"/>
        <item sd="0" x="68"/>
        <item sd="0" x="70"/>
        <item sd="0" x="72"/>
        <item sd="0" x="75"/>
        <item sd="0" x="77"/>
        <item sd="0" x="79"/>
        <item sd="0" x="81"/>
        <item sd="0" x="83"/>
        <item sd="0" x="85"/>
        <item sd="0" x="89"/>
        <item sd="0" x="92"/>
        <item sd="0" x="93"/>
        <item sd="0" x="95"/>
        <item sd="0" x="99"/>
        <item sd="0" x="101"/>
        <item sd="0" x="102"/>
        <item sd="0" x="104"/>
        <item sd="0" x="106"/>
        <item sd="0" x="107"/>
        <item sd="0" x="113"/>
        <item sd="0" x="115"/>
        <item sd="0" x="116"/>
        <item sd="0" x="117"/>
        <item sd="0" x="120"/>
        <item sd="0" x="123"/>
        <item sd="0" x="125"/>
        <item sd="0" x="126"/>
        <item sd="0" x="127"/>
        <item sd="0" x="130"/>
        <item sd="0" x="134"/>
        <item sd="0" x="135"/>
        <item sd="0" x="136"/>
        <item sd="0" x="137"/>
        <item sd="0" x="138"/>
        <item sd="0" x="139"/>
        <item sd="0" x="140"/>
        <item sd="0" x="143"/>
        <item sd="0" x="144"/>
        <item sd="0" x="146"/>
        <item sd="0" x="147"/>
        <item sd="0" x="148"/>
        <item sd="0" x="150"/>
        <item sd="0" x="152"/>
        <item sd="0" x="154"/>
        <item sd="0" x="156"/>
        <item sd="0" x="160"/>
        <item sd="0" x="161"/>
        <item sd="0" x="163"/>
        <item sd="0" x="164"/>
        <item sd="0" x="166"/>
        <item sd="0" x="169"/>
        <item sd="0" x="171"/>
        <item sd="0" x="174"/>
        <item sd="0" x="175"/>
        <item sd="0" x="176"/>
        <item sd="0" x="178"/>
        <item sd="0" x="180"/>
        <item sd="0" x="182"/>
        <item sd="0" x="183"/>
        <item sd="0" x="187"/>
        <item sd="0" x="189"/>
        <item sd="0" x="190"/>
        <item sd="0" x="191"/>
        <item sd="0" x="193"/>
        <item sd="0" x="194"/>
        <item sd="0" x="199"/>
        <item sd="0" x="200"/>
        <item sd="0" x="201"/>
        <item sd="0" x="202"/>
        <item sd="0" x="204"/>
        <item sd="0" x="206"/>
        <item sd="0" x="209"/>
        <item sd="0" x="210"/>
        <item sd="0" x="211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3"/>
        <item sd="0" x="224"/>
        <item sd="0" x="227"/>
        <item sd="0" x="233"/>
        <item sd="0" x="234"/>
        <item sd="0" x="240"/>
        <item sd="0" x="243"/>
        <item sd="0" x="244"/>
        <item sd="0" x="245"/>
        <item sd="0" x="247"/>
        <item sd="0" x="249"/>
        <item sd="0" x="250"/>
        <item sd="0" x="252"/>
        <item sd="0" x="253"/>
        <item sd="0" x="17"/>
        <item sd="0" x="32"/>
        <item sd="0" x="35"/>
        <item sd="0" x="37"/>
        <item sd="0" x="39"/>
        <item sd="0" x="44"/>
        <item sd="0" x="47"/>
        <item sd="0" x="49"/>
        <item sd="0" x="59"/>
        <item sd="0" x="71"/>
        <item sd="0" x="74"/>
        <item sd="0" x="80"/>
        <item sd="0" x="82"/>
        <item sd="0" x="84"/>
        <item sd="0" x="87"/>
        <item sd="0" x="90"/>
        <item sd="0" x="112"/>
        <item sd="0" x="114"/>
        <item sd="0" x="121"/>
        <item sd="0" x="142"/>
        <item sd="0" x="155"/>
        <item sd="0" x="159"/>
        <item sd="0" x="162"/>
        <item sd="0" x="168"/>
        <item sd="0" x="186"/>
        <item sd="0" x="188"/>
        <item sd="0" x="195"/>
        <item sd="0" x="203"/>
        <item sd="0" x="212"/>
        <item sd="0" x="229"/>
        <item sd="0" x="230"/>
        <item sd="0" x="241"/>
        <item sd="0" x="251"/>
        <item sd="0" x="18"/>
        <item sd="0" x="22"/>
        <item sd="0" x="23"/>
        <item sd="0" x="25"/>
        <item sd="0" x="28"/>
        <item sd="0" x="29"/>
        <item sd="0" x="38"/>
        <item sd="0" x="40"/>
        <item sd="0" x="60"/>
        <item sd="0" x="61"/>
        <item sd="0" x="66"/>
        <item sd="0" x="73"/>
        <item sd="0" x="76"/>
        <item sd="0" x="78"/>
        <item sd="0" x="88"/>
        <item sd="0" x="91"/>
        <item sd="0" x="96"/>
        <item sd="0" x="97"/>
        <item sd="0" x="98"/>
        <item sd="0" x="100"/>
        <item sd="0" x="103"/>
        <item sd="0" x="105"/>
        <item sd="0" x="109"/>
        <item sd="0" x="118"/>
        <item sd="0" x="119"/>
        <item sd="0" x="122"/>
        <item sd="0" x="128"/>
        <item sd="0" x="132"/>
        <item sd="0" x="145"/>
        <item sd="0" x="149"/>
        <item sd="0" x="157"/>
        <item sd="0" x="165"/>
        <item sd="0" x="172"/>
        <item sd="0" x="173"/>
        <item sd="0" x="177"/>
        <item sd="0" x="179"/>
        <item sd="0" x="181"/>
        <item sd="0" x="184"/>
        <item sd="0" x="192"/>
        <item sd="0" x="198"/>
        <item sd="0" x="31"/>
        <item sd="0" x="55"/>
        <item sd="0" x="65"/>
        <item sd="0" x="69"/>
        <item sd="0" x="86"/>
        <item sd="0" x="129"/>
        <item sd="0" x="133"/>
        <item sd="0" x="158"/>
        <item sd="0" x="167"/>
        <item sd="0" x="208"/>
        <item sd="0" x="222"/>
        <item sd="0" x="225"/>
        <item sd="0" x="228"/>
        <item sd="0" x="231"/>
        <item sd="0" x="232"/>
        <item sd="0" x="235"/>
        <item sd="0" x="238"/>
        <item sd="0" x="239"/>
        <item sd="0" x="242"/>
        <item sd="0" x="246"/>
        <item sd="0" x="248"/>
        <item sd="0" x="43"/>
        <item sd="0" x="67"/>
        <item sd="0" x="94"/>
        <item sd="0" x="108"/>
        <item sd="0" x="110"/>
        <item sd="0" x="111"/>
        <item sd="0" x="124"/>
        <item sd="0" x="131"/>
        <item sd="0" x="141"/>
        <item sd="0" x="151"/>
        <item sd="0" x="153"/>
        <item sd="0" x="170"/>
        <item sd="0" x="185"/>
        <item sd="0" x="196"/>
        <item sd="0" x="197"/>
        <item sd="0" x="205"/>
        <item sd="0" x="207"/>
        <item sd="0" x="226"/>
        <item sd="0" x="236"/>
        <item sd="0" x="237"/>
      </items>
    </pivotField>
    <pivotField axis="axisPage" compact="0" outline="0" showAll="0" defaultSubtotal="0">
      <items count="6">
        <item x="3"/>
        <item x="0"/>
        <item x="2"/>
        <item x="5"/>
        <item x="1"/>
        <item x="4"/>
      </items>
    </pivotField>
    <pivotField compact="0" outline="0" showAll="0" defaultSubtotal="0"/>
    <pivotField compact="0" outline="0" showAll="0"/>
    <pivotField compact="0" outline="0" multipleItemSelectionAllowed="1" showAll="0"/>
    <pivotField compact="0" outline="0" showAll="0"/>
    <pivotField compact="0" outline="0" showAll="0"/>
    <pivotField axis="axisPage" compact="0" numFmtId="14" outline="0" showAll="0" defaultSubtotal="0">
      <items count="8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3"/>
        <item x="52"/>
        <item x="54"/>
        <item x="55"/>
        <item x="56"/>
        <item x="57"/>
        <item x="58"/>
        <item x="59"/>
        <item x="60"/>
        <item x="61"/>
        <item x="62"/>
        <item x="64"/>
        <item x="63"/>
        <item x="65"/>
        <item x="67"/>
        <item x="66"/>
        <item x="68"/>
        <item x="69"/>
        <item x="71"/>
        <item x="70"/>
        <item x="73"/>
        <item x="72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88"/>
        <item x="90"/>
        <item x="91"/>
        <item x="92"/>
        <item x="93"/>
        <item x="94"/>
        <item x="95"/>
        <item x="96"/>
        <item x="108"/>
        <item x="109"/>
        <item x="110"/>
        <item x="111"/>
        <item x="112"/>
        <item x="113"/>
        <item x="114"/>
        <item x="115"/>
        <item x="116"/>
        <item x="117"/>
        <item x="119"/>
        <item x="118"/>
        <item x="120"/>
        <item x="121"/>
        <item x="122"/>
        <item x="123"/>
        <item x="107"/>
        <item x="124"/>
        <item x="125"/>
        <item x="126"/>
        <item x="127"/>
        <item x="128"/>
        <item x="129"/>
        <item x="130"/>
        <item x="149"/>
        <item x="150"/>
        <item x="151"/>
        <item x="152"/>
        <item x="153"/>
        <item x="154"/>
        <item x="155"/>
        <item x="156"/>
        <item x="157"/>
        <item x="158"/>
        <item x="132"/>
        <item x="166"/>
        <item x="167"/>
        <item x="168"/>
        <item x="169"/>
        <item x="170"/>
        <item x="171"/>
        <item x="172"/>
        <item x="184"/>
        <item x="185"/>
        <item x="186"/>
        <item x="187"/>
        <item x="188"/>
        <item x="189"/>
        <item x="190"/>
        <item x="191"/>
        <item x="175"/>
        <item x="196"/>
        <item x="197"/>
        <item x="198"/>
        <item x="199"/>
        <item x="200"/>
        <item x="201"/>
        <item x="202"/>
        <item x="203"/>
        <item x="204"/>
        <item x="207"/>
        <item x="205"/>
        <item x="206"/>
        <item x="208"/>
        <item x="209"/>
        <item x="216"/>
        <item x="215"/>
        <item x="214"/>
        <item x="213"/>
        <item x="212"/>
        <item x="211"/>
        <item x="210"/>
        <item x="217"/>
        <item x="218"/>
        <item x="219"/>
        <item x="220"/>
        <item x="221"/>
        <item x="222"/>
        <item x="223"/>
        <item x="224"/>
        <item x="137"/>
        <item x="225"/>
        <item x="226"/>
        <item x="227"/>
        <item x="228"/>
        <item x="229"/>
        <item x="230"/>
        <item x="233"/>
        <item x="232"/>
        <item x="231"/>
        <item x="234"/>
        <item x="235"/>
        <item x="236"/>
        <item x="146"/>
        <item x="238"/>
        <item x="237"/>
        <item x="240"/>
        <item x="241"/>
        <item x="242"/>
        <item x="247"/>
        <item x="248"/>
        <item x="249"/>
        <item x="250"/>
        <item x="252"/>
        <item x="251"/>
        <item x="253"/>
        <item x="254"/>
        <item x="262"/>
        <item x="263"/>
        <item x="264"/>
        <item x="265"/>
        <item x="266"/>
        <item x="267"/>
        <item x="268"/>
        <item x="269"/>
        <item x="244"/>
        <item x="270"/>
        <item x="271"/>
        <item x="272"/>
        <item x="274"/>
        <item x="273"/>
        <item x="276"/>
        <item x="275"/>
        <item x="277"/>
        <item x="279"/>
        <item x="278"/>
        <item x="280"/>
        <item x="281"/>
        <item x="282"/>
        <item x="283"/>
        <item x="181"/>
        <item x="284"/>
        <item x="285"/>
        <item x="286"/>
        <item x="192"/>
        <item x="287"/>
        <item x="257"/>
        <item x="288"/>
        <item x="290"/>
        <item x="289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101"/>
        <item x="304"/>
        <item x="303"/>
        <item x="305"/>
        <item x="306"/>
        <item x="307"/>
        <item x="309"/>
        <item x="308"/>
        <item x="310"/>
        <item x="311"/>
        <item x="312"/>
        <item x="313"/>
        <item x="314"/>
        <item x="315"/>
        <item x="316"/>
        <item x="319"/>
        <item x="317"/>
        <item x="318"/>
        <item x="320"/>
        <item x="325"/>
        <item x="326"/>
        <item x="327"/>
        <item x="328"/>
        <item x="329"/>
        <item x="330"/>
        <item x="332"/>
        <item x="331"/>
        <item x="333"/>
        <item x="246"/>
        <item x="334"/>
        <item x="335"/>
        <item x="336"/>
        <item x="337"/>
        <item x="338"/>
        <item x="259"/>
        <item x="339"/>
        <item x="340"/>
        <item x="341"/>
        <item x="342"/>
        <item x="343"/>
        <item x="195"/>
        <item x="344"/>
        <item x="345"/>
        <item x="346"/>
        <item x="347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9"/>
        <item x="384"/>
        <item x="385"/>
        <item x="386"/>
        <item x="387"/>
        <item x="388"/>
        <item x="391"/>
        <item x="390"/>
        <item x="389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256"/>
        <item x="416"/>
        <item x="417"/>
        <item x="374"/>
        <item x="418"/>
        <item x="420"/>
        <item x="421"/>
        <item x="422"/>
        <item x="426"/>
        <item x="427"/>
        <item x="429"/>
        <item x="428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194"/>
        <item x="441"/>
        <item x="442"/>
        <item x="443"/>
        <item x="445"/>
        <item x="444"/>
        <item x="446"/>
        <item x="165"/>
        <item x="447"/>
        <item x="448"/>
        <item x="450"/>
        <item x="453"/>
        <item x="455"/>
        <item x="454"/>
        <item x="456"/>
        <item x="458"/>
        <item x="457"/>
        <item x="459"/>
        <item x="460"/>
        <item x="461"/>
        <item x="462"/>
        <item x="243"/>
        <item x="463"/>
        <item x="464"/>
        <item x="465"/>
        <item x="466"/>
        <item x="472"/>
        <item x="473"/>
        <item x="474"/>
        <item x="245"/>
        <item x="476"/>
        <item x="475"/>
        <item x="477"/>
        <item x="484"/>
        <item x="485"/>
        <item x="488"/>
        <item x="487"/>
        <item x="489"/>
        <item x="490"/>
        <item x="486"/>
        <item x="491"/>
        <item x="492"/>
        <item x="505"/>
        <item x="378"/>
        <item x="506"/>
        <item x="511"/>
        <item x="512"/>
        <item x="513"/>
        <item x="514"/>
        <item x="143"/>
        <item x="515"/>
        <item x="516"/>
        <item x="517"/>
        <item x="520"/>
        <item x="519"/>
        <item x="521"/>
        <item x="522"/>
        <item x="183"/>
        <item x="523"/>
        <item x="322"/>
        <item x="526"/>
        <item x="103"/>
        <item x="527"/>
        <item x="528"/>
        <item x="529"/>
        <item x="534"/>
        <item x="480"/>
        <item x="535"/>
        <item x="536"/>
        <item x="538"/>
        <item x="537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8"/>
        <item x="557"/>
        <item x="562"/>
        <item x="563"/>
        <item x="564"/>
        <item x="565"/>
        <item x="566"/>
        <item x="567"/>
        <item x="133"/>
        <item x="568"/>
        <item x="569"/>
        <item x="571"/>
        <item x="572"/>
        <item x="575"/>
        <item x="574"/>
        <item x="576"/>
        <item x="577"/>
        <item x="578"/>
        <item x="579"/>
        <item x="580"/>
        <item x="590"/>
        <item x="591"/>
        <item x="592"/>
        <item x="601"/>
        <item x="602"/>
        <item x="603"/>
        <item x="471"/>
        <item x="604"/>
        <item x="605"/>
        <item x="493"/>
        <item x="606"/>
        <item x="607"/>
        <item x="608"/>
        <item x="609"/>
        <item x="610"/>
        <item x="611"/>
        <item x="612"/>
        <item x="613"/>
        <item x="383"/>
        <item x="614"/>
        <item x="615"/>
        <item x="468"/>
        <item x="616"/>
        <item x="617"/>
        <item x="618"/>
        <item x="619"/>
        <item x="620"/>
        <item x="621"/>
        <item x="622"/>
        <item x="142"/>
        <item x="625"/>
        <item x="626"/>
        <item x="531"/>
        <item x="587"/>
        <item x="627"/>
        <item x="628"/>
        <item x="629"/>
        <item x="630"/>
        <item x="631"/>
        <item x="632"/>
        <item x="623"/>
        <item x="638"/>
        <item x="639"/>
        <item x="640"/>
        <item x="641"/>
        <item x="642"/>
        <item x="643"/>
        <item x="644"/>
        <item x="649"/>
        <item x="654"/>
        <item x="655"/>
        <item x="657"/>
        <item x="656"/>
        <item x="164"/>
        <item x="658"/>
        <item x="508"/>
        <item x="659"/>
        <item x="660"/>
        <item x="178"/>
        <item x="662"/>
        <item x="661"/>
        <item x="663"/>
        <item x="664"/>
        <item x="665"/>
        <item x="666"/>
        <item x="470"/>
        <item x="667"/>
        <item x="668"/>
        <item x="671"/>
        <item x="672"/>
        <item x="673"/>
        <item x="139"/>
        <item x="674"/>
        <item x="530"/>
        <item x="180"/>
        <item x="675"/>
        <item x="676"/>
        <item x="677"/>
        <item x="678"/>
        <item x="425"/>
        <item x="679"/>
        <item x="680"/>
        <item x="597"/>
        <item x="684"/>
        <item x="685"/>
        <item x="686"/>
        <item x="687"/>
        <item x="688"/>
        <item x="691"/>
        <item x="533"/>
        <item x="692"/>
        <item x="697"/>
        <item x="698"/>
        <item x="699"/>
        <item x="700"/>
        <item x="690"/>
        <item x="701"/>
        <item x="702"/>
        <item x="703"/>
        <item x="704"/>
        <item x="705"/>
        <item x="706"/>
        <item x="708"/>
        <item x="707"/>
        <item x="709"/>
        <item x="710"/>
        <item x="711"/>
        <item x="714"/>
        <item x="719"/>
        <item x="467"/>
        <item x="726"/>
        <item x="727"/>
        <item x="728"/>
        <item x="729"/>
        <item x="730"/>
        <item x="375"/>
        <item x="731"/>
        <item x="732"/>
        <item x="733"/>
        <item x="734"/>
        <item x="735"/>
        <item x="670"/>
        <item x="736"/>
        <item x="737"/>
        <item x="738"/>
        <item x="741"/>
        <item x="742"/>
        <item x="743"/>
        <item x="744"/>
        <item x="745"/>
        <item x="752"/>
        <item x="753"/>
        <item x="754"/>
        <item x="163"/>
        <item x="755"/>
        <item x="756"/>
        <item x="141"/>
        <item x="750"/>
        <item x="712"/>
        <item x="600"/>
        <item x="757"/>
        <item x="759"/>
        <item x="758"/>
        <item x="182"/>
        <item x="760"/>
        <item x="761"/>
        <item x="762"/>
        <item x="763"/>
        <item x="764"/>
        <item x="765"/>
        <item x="766"/>
        <item x="138"/>
        <item x="769"/>
        <item x="148"/>
        <item x="770"/>
        <item x="771"/>
        <item x="772"/>
        <item x="773"/>
        <item x="652"/>
        <item x="782"/>
        <item x="783"/>
        <item x="784"/>
        <item x="785"/>
        <item x="177"/>
        <item x="786"/>
        <item x="788"/>
        <item x="787"/>
        <item x="789"/>
        <item x="790"/>
        <item x="791"/>
        <item x="792"/>
        <item x="596"/>
        <item x="793"/>
        <item x="376"/>
        <item x="794"/>
        <item x="795"/>
        <item x="796"/>
        <item x="797"/>
        <item x="524"/>
        <item x="798"/>
        <item x="799"/>
        <item x="800"/>
        <item x="594"/>
        <item x="801"/>
        <item x="802"/>
        <item x="260"/>
        <item x="803"/>
        <item x="804"/>
        <item x="805"/>
        <item x="806"/>
        <item x="595"/>
        <item x="499"/>
        <item x="807"/>
        <item x="808"/>
        <item x="809"/>
        <item x="810"/>
        <item x="683"/>
        <item x="811"/>
        <item x="812"/>
        <item x="813"/>
        <item x="814"/>
        <item x="815"/>
        <item x="818"/>
        <item x="819"/>
        <item x="824"/>
        <item x="825"/>
        <item x="827"/>
        <item x="830"/>
        <item x="831"/>
        <item x="832"/>
        <item x="780"/>
        <item x="833"/>
        <item x="834"/>
        <item x="835"/>
        <item x="645"/>
        <item x="852"/>
        <item x="853"/>
        <item x="97"/>
        <item x="854"/>
        <item x="855"/>
        <item x="856"/>
        <item x="451"/>
        <item x="858"/>
        <item x="859"/>
        <item x="586"/>
        <item x="860"/>
        <item x="861"/>
        <item x="862"/>
        <item x="863"/>
        <item x="482"/>
        <item x="864"/>
        <item x="865"/>
        <item x="867"/>
        <item x="868"/>
        <item x="869"/>
        <item x="872"/>
        <item x="873"/>
        <item x="874"/>
        <item x="875"/>
        <item x="876"/>
        <item x="878"/>
        <item x="877"/>
        <item x="879"/>
        <item x="880"/>
        <item x="881"/>
        <item x="882"/>
        <item x="98"/>
        <item x="99"/>
        <item x="100"/>
        <item x="102"/>
        <item x="104"/>
        <item x="105"/>
        <item x="106"/>
        <item x="131"/>
        <item x="134"/>
        <item x="135"/>
        <item x="136"/>
        <item x="140"/>
        <item x="144"/>
        <item x="145"/>
        <item x="147"/>
        <item x="159"/>
        <item x="160"/>
        <item x="162"/>
        <item x="161"/>
        <item x="173"/>
        <item x="174"/>
        <item x="176"/>
        <item x="179"/>
        <item x="239"/>
        <item x="348"/>
        <item x="349"/>
        <item x="350"/>
        <item x="351"/>
        <item x="352"/>
        <item x="353"/>
        <item x="354"/>
        <item x="355"/>
        <item x="372"/>
        <item x="373"/>
        <item x="419"/>
        <item x="423"/>
        <item x="424"/>
        <item x="452"/>
        <item x="469"/>
        <item x="494"/>
        <item x="495"/>
        <item x="496"/>
        <item x="497"/>
        <item x="498"/>
        <item x="500"/>
        <item x="501"/>
        <item x="502"/>
        <item x="503"/>
        <item x="504"/>
        <item x="507"/>
        <item x="509"/>
        <item x="510"/>
        <item x="518"/>
        <item x="525"/>
        <item x="532"/>
        <item x="559"/>
        <item x="560"/>
        <item x="561"/>
        <item x="570"/>
        <item x="581"/>
        <item x="582"/>
        <item x="583"/>
        <item x="593"/>
        <item x="633"/>
        <item x="634"/>
        <item x="635"/>
        <item x="636"/>
        <item x="637"/>
        <item x="646"/>
        <item x="647"/>
        <item x="648"/>
        <item x="669"/>
        <item x="693"/>
        <item x="694"/>
        <item x="695"/>
        <item x="696"/>
        <item x="713"/>
        <item x="715"/>
        <item x="716"/>
        <item x="717"/>
        <item x="718"/>
        <item x="720"/>
        <item x="721"/>
        <item x="722"/>
        <item x="739"/>
        <item x="740"/>
        <item x="749"/>
        <item x="751"/>
        <item x="193"/>
        <item x="321"/>
        <item x="323"/>
        <item x="324"/>
        <item x="380"/>
        <item x="381"/>
        <item x="382"/>
        <item x="449"/>
        <item x="584"/>
        <item x="585"/>
        <item x="588"/>
        <item x="589"/>
        <item x="598"/>
        <item x="599"/>
        <item x="779"/>
        <item x="781"/>
        <item x="481"/>
        <item x="816"/>
        <item x="817"/>
        <item x="821"/>
        <item x="820"/>
        <item x="822"/>
        <item x="823"/>
        <item x="826"/>
        <item x="828"/>
        <item x="829"/>
        <item x="836"/>
        <item x="837"/>
        <item x="838"/>
        <item x="846"/>
        <item x="847"/>
        <item x="848"/>
        <item x="849"/>
        <item x="850"/>
        <item x="851"/>
        <item x="857"/>
        <item x="866"/>
        <item x="870"/>
        <item x="871"/>
        <item x="255"/>
        <item x="258"/>
        <item x="261"/>
        <item x="377"/>
        <item x="478"/>
        <item x="479"/>
        <item x="483"/>
        <item x="573"/>
        <item x="624"/>
        <item x="650"/>
        <item x="651"/>
        <item x="653"/>
        <item x="681"/>
        <item x="682"/>
        <item x="689"/>
        <item x="723"/>
        <item x="724"/>
        <item x="725"/>
        <item x="746"/>
        <item x="747"/>
        <item x="748"/>
        <item x="767"/>
        <item x="768"/>
        <item x="774"/>
        <item x="775"/>
        <item x="776"/>
        <item x="777"/>
        <item x="778"/>
        <item x="839"/>
        <item x="840"/>
        <item x="841"/>
        <item x="842"/>
        <item x="843"/>
        <item x="844"/>
        <item x="84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name=" Panel" axis="axisRow" compact="0" outline="0" showAll="0">
      <items count="12">
        <item sd="0" x="7"/>
        <item sd="0" x="4"/>
        <item sd="0" x="5"/>
        <item sd="0" x="9"/>
        <item sd="0" x="1"/>
        <item sd="0" x="3"/>
        <item sd="0" x="6"/>
        <item sd="0" x="2"/>
        <item sd="0" x="8"/>
        <item sd="0" x="10"/>
        <item sd="0" x="0"/>
        <item t="default" sd="0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17">
        <item h="1" x="11"/>
        <item x="2"/>
        <item x="15"/>
        <item x="12"/>
        <item x="16"/>
        <item h="1" x="0"/>
        <item x="1"/>
        <item x="10"/>
        <item x="14"/>
        <item x="3"/>
        <item x="7"/>
        <item h="1" x="13"/>
        <item h="1" x="9"/>
        <item h="1" x="6"/>
        <item h="1" x="4"/>
        <item h="1" x="5"/>
        <item h="1" x="8"/>
      </items>
    </pivotField>
    <pivotField axis="axisPage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Page" compact="0" outline="0" showAll="0" defaultSubtotal="0">
      <items count="61">
        <item x="28"/>
        <item x="35"/>
        <item x="54"/>
        <item x="26"/>
        <item x="55"/>
        <item x="57"/>
        <item x="13"/>
        <item x="53"/>
        <item x="44"/>
        <item x="56"/>
        <item x="37"/>
        <item x="60"/>
        <item x="48"/>
        <item x="24"/>
        <item x="52"/>
        <item x="14"/>
        <item x="16"/>
        <item x="38"/>
        <item x="36"/>
        <item x="34"/>
        <item x="2"/>
        <item x="10"/>
        <item x="40"/>
        <item x="49"/>
        <item x="58"/>
        <item x="50"/>
        <item x="23"/>
        <item x="21"/>
        <item x="9"/>
        <item x="45"/>
        <item x="32"/>
        <item x="4"/>
        <item x="41"/>
        <item x="46"/>
        <item x="27"/>
        <item x="1"/>
        <item x="59"/>
        <item x="5"/>
        <item x="22"/>
        <item x="31"/>
        <item x="30"/>
        <item x="0"/>
        <item x="18"/>
        <item x="42"/>
        <item x="33"/>
        <item x="19"/>
        <item x="47"/>
        <item x="15"/>
        <item x="11"/>
        <item x="43"/>
        <item x="7"/>
        <item x="20"/>
        <item x="25"/>
        <item x="39"/>
        <item x="51"/>
        <item x="29"/>
        <item x="6"/>
        <item x="17"/>
        <item x="12"/>
        <item x="8"/>
        <item x="3"/>
      </items>
    </pivotField>
    <pivotField dataField="1" compact="0" outline="0" dragToRow="0" dragToCol="0" dragToPage="0" showAll="0" defaultSubtotal="0"/>
  </pivotFields>
  <rowFields count="4">
    <field x="41"/>
    <field x="3"/>
    <field x="1"/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7">
    <pageField fld="52" hier="-1"/>
    <pageField fld="38" hier="-1"/>
    <pageField fld="40" hier="-1"/>
    <pageField fld="10" hier="-1"/>
    <pageField fld="53" item="0" hier="-1"/>
    <pageField fld="4" hier="-1"/>
    <pageField fld="55" hier="-1"/>
  </pageFields>
  <dataFields count="6">
    <dataField name="Count of general contract" fld="42" subtotal="count" baseField="0" baseItem="0"/>
    <dataField name="Count of quality appendix" fld="43" subtotal="count" baseField="0" baseItem="0"/>
    <dataField name="Count of supply chain appendix" fld="44" subtotal="count" baseField="0" baseItem="0"/>
    <dataField name=" Total Number of Supplier" fld="56" baseField="0" baseItem="0"/>
    <dataField name="Count of Full Signed" fld="46" subtotal="count" baseField="0" baseItem="0"/>
    <dataField name="Count of not Full" fld="47" subtotal="count" baseField="0" baseItem="0"/>
  </dataFields>
  <formats count="26">
    <format dxfId="25">
      <pivotArea field="41" type="button" dataOnly="0" labelOnly="1" outline="0" axis="axisRow" fieldPosition="0"/>
    </format>
    <format dxfId="24">
      <pivotArea field="3" type="button" dataOnly="0" labelOnly="1" outline="0" axis="axisRow" fieldPosition="1"/>
    </format>
    <format dxfId="23">
      <pivotArea field="1" type="button" dataOnly="0" labelOnly="1" outline="0" axis="axisRow" fieldPosition="2"/>
    </format>
    <format dxfId="22">
      <pivotArea field="2" type="button" dataOnly="0" labelOnly="1" outline="0" axis="axisRow" fieldPosition="3"/>
    </format>
    <format dxfId="21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20">
      <pivotArea field="41" type="button" dataOnly="0" labelOnly="1" outline="0" axis="axisRow" fieldPosition="0"/>
    </format>
    <format dxfId="19">
      <pivotArea field="3" type="button" dataOnly="0" labelOnly="1" outline="0" axis="axisRow" fieldPosition="1"/>
    </format>
    <format dxfId="18">
      <pivotArea field="1" type="button" dataOnly="0" labelOnly="1" outline="0" axis="axisRow" fieldPosition="2"/>
    </format>
    <format dxfId="17">
      <pivotArea field="2" type="button" dataOnly="0" labelOnly="1" outline="0" axis="axisRow" fieldPosition="3"/>
    </format>
    <format dxfId="16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15">
      <pivotArea field="41" type="button" dataOnly="0" labelOnly="1" outline="0" axis="axisRow" fieldPosition="0"/>
    </format>
    <format dxfId="14">
      <pivotArea field="3" type="button" dataOnly="0" labelOnly="1" outline="0" axis="axisRow" fieldPosition="1"/>
    </format>
    <format dxfId="13">
      <pivotArea field="1" type="button" dataOnly="0" labelOnly="1" outline="0" axis="axisRow" fieldPosition="2"/>
    </format>
    <format dxfId="12">
      <pivotArea field="2" type="button" dataOnly="0" labelOnly="1" outline="0" axis="axisRow" fieldPosition="3"/>
    </format>
    <format dxfId="11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10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5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4">
      <pivotArea field="41" type="button" dataOnly="0" labelOnly="1" outline="0" axis="axisRow" fieldPosition="0"/>
    </format>
    <format dxfId="3">
      <pivotArea field="3" type="button" dataOnly="0" labelOnly="1" outline="0" axis="axisRow" fieldPosition="1"/>
    </format>
    <format dxfId="2">
      <pivotArea field="1" type="button" dataOnly="0" labelOnly="1" outline="0" axis="axisRow" fieldPosition="2"/>
    </format>
    <format dxfId="1">
      <pivotArea field="2" type="button" dataOnly="0" labelOnly="1" outline="0" axis="axisRow" fieldPosition="3"/>
    </format>
    <format dxfId="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itemPrintTitles="1" createdVersion="3" indent="0" compact="0" compactData="0" gridDropZones="1" multipleFieldFilters="0">
  <location ref="E26:N33" firstHeaderRow="1" firstDataRow="2" firstDataCol="4" rowPageCount="7" colPageCount="1"/>
  <pivotFields count="57">
    <pivotField compact="0" outline="0" showAll="0" defaultSubtotal="0"/>
    <pivotField axis="axisRow" compact="0" outline="0" showAll="0" defaultSubtotal="0">
      <items count="267">
        <item sd="0" x="153"/>
        <item sd="0" x="202"/>
        <item sd="0" x="124"/>
        <item sd="0" x="7"/>
        <item sd="0" x="34"/>
        <item sd="0" x="60"/>
        <item sd="0" x="101"/>
        <item sd="0" x="222"/>
        <item sd="0" x="247"/>
        <item sd="0" x="205"/>
        <item sd="0" x="52"/>
        <item sd="0" x="8"/>
        <item sd="0" x="85"/>
        <item sd="0" x="212"/>
        <item sd="0" x="143"/>
        <item sd="0" x="227"/>
        <item sd="0" x="121"/>
        <item sd="0" x="233"/>
        <item sd="0" x="28"/>
        <item sd="0" x="4"/>
        <item sd="0" x="257"/>
        <item sd="0" x="164"/>
        <item sd="0" x="214"/>
        <item sd="0" x="0"/>
        <item sd="0" x="13"/>
        <item sd="0" x="135"/>
        <item sd="0" x="37"/>
        <item sd="0" x="134"/>
        <item sd="0" x="144"/>
        <item sd="0" x="61"/>
        <item sd="0" x="125"/>
        <item sd="0" x="173"/>
        <item sd="0" x="262"/>
        <item sd="0" x="65"/>
        <item sd="0" x="218"/>
        <item sd="0" x="256"/>
        <item sd="0" x="11"/>
        <item sd="0" x="109"/>
        <item sd="0" x="166"/>
        <item sd="0" x="201"/>
        <item sd="0" x="229"/>
        <item sd="0" x="51"/>
        <item sd="0" x="83"/>
        <item sd="0" x="226"/>
        <item sd="0" x="16"/>
        <item sd="0" x="5"/>
        <item sd="0" x="231"/>
        <item sd="0" x="69"/>
        <item sd="0" x="149"/>
        <item sd="0" x="89"/>
        <item sd="0" x="14"/>
        <item sd="0" x="103"/>
        <item sd="0" x="128"/>
        <item sd="0" x="223"/>
        <item sd="0" x="91"/>
        <item sd="0" x="2"/>
        <item sd="0" x="174"/>
        <item sd="0" x="1"/>
        <item sd="0" x="198"/>
        <item sd="0" x="160"/>
        <item sd="0" x="71"/>
        <item sd="0" x="180"/>
        <item sd="0" x="80"/>
        <item sd="0" x="63"/>
        <item sd="0" x="176"/>
        <item sd="0" x="25"/>
        <item sd="0" x="253"/>
        <item sd="0" x="110"/>
        <item sd="0" x="142"/>
        <item sd="0" x="187"/>
        <item sd="0" x="100"/>
        <item sd="0" x="213"/>
        <item sd="0" x="133"/>
        <item sd="0" x="40"/>
        <item sd="0" x="59"/>
        <item sd="0" x="10"/>
        <item sd="0" x="97"/>
        <item sd="0" x="64"/>
        <item sd="0" x="30"/>
        <item sd="0" x="156"/>
        <item sd="0" x="77"/>
        <item sd="0" x="57"/>
        <item sd="0" x="146"/>
        <item sd="0" x="112"/>
        <item sd="0" x="221"/>
        <item sd="0" x="182"/>
        <item sd="0" x="189"/>
        <item sd="0" x="22"/>
        <item sd="0" x="203"/>
        <item sd="0" x="138"/>
        <item sd="0" x="185"/>
        <item sd="0" x="24"/>
        <item sd="0" x="199"/>
        <item sd="0" x="31"/>
        <item sd="0" x="157"/>
        <item sd="0" x="6"/>
        <item sd="0" x="107"/>
        <item sd="0" x="12"/>
        <item sd="0" x="19"/>
        <item sd="0" x="47"/>
        <item sd="0" x="148"/>
        <item sd="0" x="131"/>
        <item sd="0" x="114"/>
        <item sd="0" x="155"/>
        <item sd="0" x="79"/>
        <item sd="0" x="266"/>
        <item sd="0" x="15"/>
        <item sd="0" x="216"/>
        <item sd="0" x="236"/>
        <item sd="0" x="54"/>
        <item sd="0" x="70"/>
        <item sd="0" x="265"/>
        <item sd="0" x="9"/>
        <item sd="0" x="115"/>
        <item sd="0" x="239"/>
        <item sd="0" x="170"/>
        <item sd="0" x="260"/>
        <item sd="0" x="75"/>
        <item sd="0" x="211"/>
        <item sd="0" x="56"/>
        <item sd="0" x="230"/>
        <item sd="0" x="18"/>
        <item sd="0" x="225"/>
        <item sd="0" x="123"/>
        <item sd="0" x="87"/>
        <item sd="0" x="152"/>
        <item sd="0" x="194"/>
        <item sd="0" x="246"/>
        <item sd="0" x="263"/>
        <item sd="0" x="162"/>
        <item sd="0" x="17"/>
        <item sd="0" x="206"/>
        <item sd="0" x="38"/>
        <item sd="0" x="191"/>
        <item sd="0" x="46"/>
        <item sd="0" x="228"/>
        <item sd="0" x="258"/>
        <item sd="0" x="232"/>
        <item sd="0" x="193"/>
        <item sd="0" x="93"/>
        <item sd="0" x="147"/>
        <item sd="0" x="235"/>
        <item sd="0" x="171"/>
        <item sd="0" x="23"/>
        <item sd="0" x="3"/>
        <item sd="0" x="186"/>
        <item sd="0" x="20"/>
        <item sd="0" x="36"/>
        <item sd="0" x="39"/>
        <item sd="0" x="41"/>
        <item sd="0" x="43"/>
        <item sd="0" x="49"/>
        <item sd="0" x="53"/>
        <item sd="0" x="55"/>
        <item sd="0" x="66"/>
        <item sd="0" x="78"/>
        <item sd="0" x="82"/>
        <item sd="0" x="88"/>
        <item sd="0" x="90"/>
        <item sd="0" x="92"/>
        <item sd="0" x="95"/>
        <item sd="0" x="98"/>
        <item sd="0" x="120"/>
        <item sd="0" x="122"/>
        <item sd="0" x="129"/>
        <item sd="0" x="151"/>
        <item sd="0" x="165"/>
        <item sd="0" x="169"/>
        <item sd="0" x="172"/>
        <item sd="0" x="179"/>
        <item sd="0" x="197"/>
        <item sd="0" x="200"/>
        <item sd="0" x="207"/>
        <item sd="0" x="215"/>
        <item sd="0" x="224"/>
        <item sd="0" x="242"/>
        <item sd="0" x="243"/>
        <item sd="0" x="254"/>
        <item sd="0" x="264"/>
        <item sd="0" x="21"/>
        <item sd="0" x="26"/>
        <item sd="0" x="27"/>
        <item sd="0" x="29"/>
        <item sd="0" x="32"/>
        <item sd="0" x="33"/>
        <item sd="0" x="42"/>
        <item sd="0" x="44"/>
        <item sd="0" x="45"/>
        <item sd="0" x="50"/>
        <item sd="0" x="67"/>
        <item sd="0" x="68"/>
        <item sd="0" x="73"/>
        <item sd="0" x="81"/>
        <item sd="0" x="84"/>
        <item sd="0" x="86"/>
        <item sd="0" x="96"/>
        <item sd="0" x="99"/>
        <item sd="0" x="104"/>
        <item sd="0" x="105"/>
        <item sd="0" x="106"/>
        <item sd="0" x="108"/>
        <item sd="0" x="111"/>
        <item sd="0" x="113"/>
        <item sd="0" x="117"/>
        <item sd="0" x="126"/>
        <item sd="0" x="127"/>
        <item sd="0" x="130"/>
        <item sd="0" x="136"/>
        <item sd="0" x="140"/>
        <item sd="0" x="154"/>
        <item sd="0" x="158"/>
        <item sd="0" x="159"/>
        <item sd="0" x="167"/>
        <item sd="0" x="175"/>
        <item sd="0" x="183"/>
        <item sd="0" x="184"/>
        <item sd="0" x="188"/>
        <item sd="0" x="190"/>
        <item sd="0" x="192"/>
        <item sd="0" x="195"/>
        <item sd="0" x="204"/>
        <item sd="0" x="210"/>
        <item sd="0" x="220"/>
        <item sd="0" x="237"/>
        <item sd="0" x="240"/>
        <item sd="0" x="241"/>
        <item sd="0" x="244"/>
        <item sd="0" x="245"/>
        <item sd="0" x="248"/>
        <item sd="0" x="251"/>
        <item sd="0" x="252"/>
        <item sd="0" x="255"/>
        <item sd="0" x="259"/>
        <item sd="0" x="261"/>
        <item sd="0" x="35"/>
        <item sd="0" x="62"/>
        <item sd="0" x="72"/>
        <item sd="0" x="76"/>
        <item sd="0" x="94"/>
        <item sd="0" x="137"/>
        <item sd="0" x="141"/>
        <item sd="0" x="168"/>
        <item sd="0" x="177"/>
        <item sd="0" x="178"/>
        <item sd="0" x="234"/>
        <item x="48"/>
        <item x="58"/>
        <item x="74"/>
        <item x="102"/>
        <item x="116"/>
        <item x="118"/>
        <item x="119"/>
        <item x="132"/>
        <item x="139"/>
        <item x="145"/>
        <item x="150"/>
        <item x="161"/>
        <item x="163"/>
        <item x="181"/>
        <item x="196"/>
        <item x="208"/>
        <item x="209"/>
        <item x="217"/>
        <item x="219"/>
        <item x="238"/>
        <item x="249"/>
        <item x="250"/>
      </items>
    </pivotField>
    <pivotField axis="axisRow" compact="0" outline="0" showAll="0" defaultSubtotal="0">
      <items count="267">
        <item x="0"/>
        <item x="1"/>
        <item x="2"/>
        <item x="5"/>
        <item x="7"/>
        <item x="9"/>
        <item x="10"/>
        <item x="11"/>
        <item x="12"/>
        <item x="171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69"/>
        <item x="71"/>
        <item x="114"/>
        <item x="131"/>
        <item x="160"/>
        <item x="3"/>
        <item x="75"/>
        <item x="80"/>
        <item x="83"/>
        <item x="85"/>
        <item x="191"/>
        <item x="57"/>
        <item x="63"/>
        <item x="203"/>
        <item x="79"/>
        <item x="93"/>
        <item x="100"/>
        <item x="101"/>
        <item x="103"/>
        <item x="109"/>
        <item x="110"/>
        <item x="15"/>
        <item x="121"/>
        <item x="133"/>
        <item x="189"/>
        <item x="22"/>
        <item x="70"/>
        <item x="124"/>
        <item x="125"/>
        <item x="128"/>
        <item x="8"/>
        <item x="134"/>
        <item x="135"/>
        <item x="138"/>
        <item x="142"/>
        <item x="143"/>
        <item x="144"/>
        <item x="146"/>
        <item x="147"/>
        <item x="148"/>
        <item x="149"/>
        <item x="152"/>
        <item x="153"/>
        <item x="155"/>
        <item x="156"/>
        <item x="157"/>
        <item x="162"/>
        <item x="164"/>
        <item x="166"/>
        <item x="89"/>
        <item x="97"/>
        <item x="107"/>
        <item x="170"/>
        <item x="173"/>
        <item x="174"/>
        <item x="176"/>
        <item x="257"/>
        <item x="180"/>
        <item x="182"/>
        <item x="186"/>
        <item x="187"/>
        <item x="230"/>
        <item x="194"/>
        <item x="198"/>
        <item x="77"/>
        <item x="258"/>
        <item x="260"/>
        <item x="185"/>
        <item x="17"/>
        <item x="123"/>
        <item x="201"/>
        <item x="202"/>
        <item x="205"/>
        <item x="206"/>
        <item x="211"/>
        <item x="212"/>
        <item x="213"/>
        <item x="214"/>
        <item x="216"/>
        <item x="65"/>
        <item x="112"/>
        <item x="199"/>
        <item x="218"/>
        <item x="232"/>
        <item x="18"/>
        <item x="221"/>
        <item x="222"/>
        <item x="223"/>
        <item x="225"/>
        <item x="226"/>
        <item x="227"/>
        <item x="229"/>
        <item x="231"/>
        <item x="233"/>
        <item x="235"/>
        <item x="236"/>
        <item x="239"/>
        <item x="4"/>
        <item x="246"/>
        <item x="247"/>
        <item x="253"/>
        <item x="13"/>
        <item x="115"/>
        <item x="256"/>
        <item x="262"/>
        <item x="263"/>
        <item x="56"/>
        <item x="91"/>
        <item x="40"/>
        <item x="46"/>
        <item x="193"/>
        <item x="16"/>
        <item x="265"/>
        <item x="87"/>
        <item x="228"/>
        <item x="266"/>
        <item x="20"/>
        <item x="36"/>
        <item x="39"/>
        <item x="41"/>
        <item x="43"/>
        <item x="49"/>
        <item x="53"/>
        <item x="55"/>
        <item x="66"/>
        <item x="78"/>
        <item x="82"/>
        <item x="88"/>
        <item x="90"/>
        <item x="92"/>
        <item x="95"/>
        <item x="98"/>
        <item x="120"/>
        <item x="122"/>
        <item x="129"/>
        <item x="151"/>
        <item x="165"/>
        <item x="169"/>
        <item x="172"/>
        <item x="179"/>
        <item x="197"/>
        <item x="200"/>
        <item x="207"/>
        <item x="215"/>
        <item x="224"/>
        <item x="242"/>
        <item x="243"/>
        <item x="254"/>
        <item x="264"/>
        <item x="21"/>
        <item x="26"/>
        <item x="27"/>
        <item x="29"/>
        <item x="32"/>
        <item x="33"/>
        <item x="42"/>
        <item x="44"/>
        <item x="45"/>
        <item x="50"/>
        <item x="67"/>
        <item x="68"/>
        <item x="73"/>
        <item x="81"/>
        <item x="84"/>
        <item x="86"/>
        <item x="96"/>
        <item x="99"/>
        <item x="104"/>
        <item x="105"/>
        <item x="106"/>
        <item x="108"/>
        <item x="111"/>
        <item x="113"/>
        <item x="117"/>
        <item x="126"/>
        <item x="127"/>
        <item x="130"/>
        <item x="136"/>
        <item x="140"/>
        <item x="154"/>
        <item x="158"/>
        <item x="159"/>
        <item x="167"/>
        <item x="175"/>
        <item x="183"/>
        <item x="184"/>
        <item x="188"/>
        <item x="190"/>
        <item x="192"/>
        <item x="195"/>
        <item x="204"/>
        <item x="210"/>
        <item x="220"/>
        <item x="237"/>
        <item x="240"/>
        <item x="241"/>
        <item x="244"/>
        <item x="245"/>
        <item x="248"/>
        <item x="251"/>
        <item x="252"/>
        <item x="255"/>
        <item x="259"/>
        <item x="261"/>
        <item x="35"/>
        <item x="62"/>
        <item x="72"/>
        <item x="76"/>
        <item x="94"/>
        <item x="137"/>
        <item x="141"/>
        <item x="168"/>
        <item x="177"/>
        <item x="178"/>
        <item x="234"/>
        <item x="48"/>
        <item x="58"/>
        <item x="74"/>
        <item x="102"/>
        <item x="116"/>
        <item x="118"/>
        <item x="119"/>
        <item x="132"/>
        <item x="139"/>
        <item x="145"/>
        <item x="150"/>
        <item x="161"/>
        <item x="163"/>
        <item x="181"/>
        <item x="196"/>
        <item x="208"/>
        <item x="209"/>
        <item x="217"/>
        <item x="219"/>
        <item x="238"/>
        <item x="249"/>
        <item x="250"/>
      </items>
    </pivotField>
    <pivotField axis="axisRow" compact="0" outline="0" showAll="0" defaultSubtotal="0">
      <items count="25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9"/>
        <item sd="0" x="20"/>
        <item sd="0" x="21"/>
        <item sd="0" x="24"/>
        <item sd="0" x="26"/>
        <item sd="0" x="27"/>
        <item sd="0" x="30"/>
        <item sd="0" x="33"/>
        <item sd="0" x="34"/>
        <item sd="0" x="36"/>
        <item sd="0" x="41"/>
        <item sd="0" x="42"/>
        <item sd="0" x="45"/>
        <item sd="0" x="46"/>
        <item sd="0" x="48"/>
        <item sd="0" x="50"/>
        <item sd="0" x="51"/>
        <item sd="0" x="52"/>
        <item sd="0" x="53"/>
        <item sd="0" x="54"/>
        <item sd="0" x="56"/>
        <item sd="0" x="57"/>
        <item sd="0" x="58"/>
        <item sd="0" x="62"/>
        <item sd="0" x="63"/>
        <item sd="0" x="64"/>
        <item sd="0" x="68"/>
        <item sd="0" x="70"/>
        <item sd="0" x="72"/>
        <item sd="0" x="75"/>
        <item sd="0" x="77"/>
        <item sd="0" x="79"/>
        <item sd="0" x="81"/>
        <item sd="0" x="83"/>
        <item sd="0" x="85"/>
        <item sd="0" x="89"/>
        <item sd="0" x="92"/>
        <item sd="0" x="93"/>
        <item sd="0" x="95"/>
        <item sd="0" x="99"/>
        <item sd="0" x="101"/>
        <item sd="0" x="102"/>
        <item sd="0" x="104"/>
        <item sd="0" x="106"/>
        <item sd="0" x="107"/>
        <item sd="0" x="113"/>
        <item sd="0" x="115"/>
        <item sd="0" x="116"/>
        <item sd="0" x="117"/>
        <item sd="0" x="120"/>
        <item sd="0" x="123"/>
        <item sd="0" x="125"/>
        <item sd="0" x="126"/>
        <item sd="0" x="127"/>
        <item sd="0" x="130"/>
        <item sd="0" x="134"/>
        <item sd="0" x="135"/>
        <item sd="0" x="136"/>
        <item sd="0" x="137"/>
        <item sd="0" x="138"/>
        <item sd="0" x="139"/>
        <item sd="0" x="140"/>
        <item sd="0" x="143"/>
        <item sd="0" x="144"/>
        <item sd="0" x="146"/>
        <item sd="0" x="147"/>
        <item sd="0" x="148"/>
        <item sd="0" x="150"/>
        <item sd="0" x="152"/>
        <item sd="0" x="154"/>
        <item sd="0" x="156"/>
        <item sd="0" x="160"/>
        <item sd="0" x="161"/>
        <item sd="0" x="163"/>
        <item sd="0" x="164"/>
        <item sd="0" x="166"/>
        <item sd="0" x="169"/>
        <item sd="0" x="171"/>
        <item sd="0" x="174"/>
        <item sd="0" x="175"/>
        <item sd="0" x="176"/>
        <item sd="0" x="178"/>
        <item sd="0" x="180"/>
        <item sd="0" x="182"/>
        <item sd="0" x="183"/>
        <item sd="0" x="187"/>
        <item sd="0" x="189"/>
        <item sd="0" x="190"/>
        <item sd="0" x="191"/>
        <item sd="0" x="193"/>
        <item sd="0" x="194"/>
        <item sd="0" x="199"/>
        <item sd="0" x="200"/>
        <item sd="0" x="201"/>
        <item sd="0" x="202"/>
        <item sd="0" x="204"/>
        <item sd="0" x="206"/>
        <item sd="0" x="209"/>
        <item sd="0" x="210"/>
        <item sd="0" x="211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3"/>
        <item sd="0" x="224"/>
        <item sd="0" x="227"/>
        <item sd="0" x="233"/>
        <item sd="0" x="234"/>
        <item sd="0" x="240"/>
        <item sd="0" x="243"/>
        <item sd="0" x="244"/>
        <item sd="0" x="245"/>
        <item sd="0" x="247"/>
        <item sd="0" x="249"/>
        <item sd="0" x="250"/>
        <item sd="0" x="252"/>
        <item sd="0" x="253"/>
        <item sd="0" x="17"/>
        <item sd="0" x="32"/>
        <item sd="0" x="35"/>
        <item sd="0" x="37"/>
        <item sd="0" x="39"/>
        <item sd="0" x="44"/>
        <item sd="0" x="47"/>
        <item sd="0" x="49"/>
        <item sd="0" x="59"/>
        <item sd="0" x="71"/>
        <item sd="0" x="74"/>
        <item sd="0" x="80"/>
        <item sd="0" x="82"/>
        <item sd="0" x="84"/>
        <item sd="0" x="87"/>
        <item sd="0" x="90"/>
        <item sd="0" x="112"/>
        <item sd="0" x="114"/>
        <item sd="0" x="121"/>
        <item sd="0" x="142"/>
        <item sd="0" x="155"/>
        <item sd="0" x="159"/>
        <item sd="0" x="162"/>
        <item sd="0" x="168"/>
        <item sd="0" x="186"/>
        <item sd="0" x="188"/>
        <item sd="0" x="195"/>
        <item sd="0" x="203"/>
        <item sd="0" x="212"/>
        <item sd="0" x="229"/>
        <item sd="0" x="230"/>
        <item sd="0" x="241"/>
        <item sd="0" x="251"/>
        <item sd="0" x="18"/>
        <item sd="0" x="22"/>
        <item sd="0" x="23"/>
        <item sd="0" x="25"/>
        <item sd="0" x="28"/>
        <item sd="0" x="29"/>
        <item sd="0" x="38"/>
        <item sd="0" x="40"/>
        <item sd="0" x="60"/>
        <item sd="0" x="61"/>
        <item sd="0" x="66"/>
        <item sd="0" x="73"/>
        <item sd="0" x="76"/>
        <item sd="0" x="78"/>
        <item sd="0" x="88"/>
        <item sd="0" x="91"/>
        <item sd="0" x="96"/>
        <item sd="0" x="97"/>
        <item sd="0" x="98"/>
        <item sd="0" x="100"/>
        <item sd="0" x="103"/>
        <item sd="0" x="105"/>
        <item sd="0" x="109"/>
        <item sd="0" x="118"/>
        <item sd="0" x="119"/>
        <item sd="0" x="122"/>
        <item sd="0" x="128"/>
        <item sd="0" x="132"/>
        <item sd="0" x="145"/>
        <item sd="0" x="149"/>
        <item sd="0" x="157"/>
        <item sd="0" x="165"/>
        <item sd="0" x="172"/>
        <item sd="0" x="173"/>
        <item sd="0" x="177"/>
        <item sd="0" x="179"/>
        <item sd="0" x="181"/>
        <item sd="0" x="184"/>
        <item sd="0" x="192"/>
        <item sd="0" x="198"/>
        <item sd="0" x="208"/>
        <item sd="0" x="225"/>
        <item sd="0" x="228"/>
        <item sd="0" x="231"/>
        <item sd="0" x="232"/>
        <item sd="0" x="235"/>
        <item sd="0" x="238"/>
        <item sd="0" x="239"/>
        <item sd="0" x="242"/>
        <item sd="0" x="246"/>
        <item sd="0" x="248"/>
        <item sd="0" x="31"/>
        <item sd="0" x="55"/>
        <item sd="0" x="65"/>
        <item sd="0" x="69"/>
        <item sd="0" x="86"/>
        <item sd="0" x="129"/>
        <item sd="0" x="133"/>
        <item sd="0" x="158"/>
        <item sd="0" x="167"/>
        <item sd="0" x="222"/>
        <item sd="0" x="43"/>
        <item sd="0" x="67"/>
        <item sd="0" x="94"/>
        <item sd="0" x="108"/>
        <item sd="0" x="110"/>
        <item sd="0" x="111"/>
        <item sd="0" x="124"/>
        <item sd="0" x="131"/>
        <item sd="0" x="141"/>
        <item sd="0" x="151"/>
        <item sd="0" x="153"/>
        <item sd="0" x="170"/>
        <item sd="0" x="185"/>
        <item sd="0" x="196"/>
        <item sd="0" x="197"/>
        <item sd="0" x="205"/>
        <item sd="0" x="207"/>
        <item sd="0" x="226"/>
        <item sd="0" x="236"/>
        <item sd="0" x="237"/>
      </items>
    </pivotField>
    <pivotField axis="axisPage" compact="0" outline="0" showAll="0" defaultSubtotal="0">
      <items count="6">
        <item x="3"/>
        <item x="0"/>
        <item x="2"/>
        <item x="5"/>
        <item x="1"/>
        <item x="4"/>
      </items>
    </pivotField>
    <pivotField compact="0" outline="0" showAll="0" defaultSubtotal="0"/>
    <pivotField compact="0" outline="0" showAll="0"/>
    <pivotField compact="0" outline="0" multipleItemSelectionAllowed="1" showAll="0"/>
    <pivotField compact="0" outline="0" showAll="0"/>
    <pivotField compact="0" outline="0" showAll="0"/>
    <pivotField axis="axisPage" compact="0" numFmtId="14" outline="0" showAll="0" defaultSubtotal="0">
      <items count="8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3"/>
        <item x="52"/>
        <item x="54"/>
        <item x="55"/>
        <item x="56"/>
        <item x="57"/>
        <item x="58"/>
        <item x="59"/>
        <item x="60"/>
        <item x="61"/>
        <item x="62"/>
        <item x="64"/>
        <item x="63"/>
        <item x="65"/>
        <item x="67"/>
        <item x="66"/>
        <item x="68"/>
        <item x="69"/>
        <item x="71"/>
        <item x="70"/>
        <item x="73"/>
        <item x="72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88"/>
        <item x="90"/>
        <item x="91"/>
        <item x="92"/>
        <item x="93"/>
        <item x="94"/>
        <item x="95"/>
        <item x="96"/>
        <item x="108"/>
        <item x="109"/>
        <item x="110"/>
        <item x="111"/>
        <item x="112"/>
        <item x="113"/>
        <item x="114"/>
        <item x="115"/>
        <item x="116"/>
        <item x="117"/>
        <item x="119"/>
        <item x="118"/>
        <item x="120"/>
        <item x="121"/>
        <item x="122"/>
        <item x="123"/>
        <item x="107"/>
        <item x="124"/>
        <item x="125"/>
        <item x="126"/>
        <item x="127"/>
        <item x="128"/>
        <item x="129"/>
        <item x="130"/>
        <item x="149"/>
        <item x="150"/>
        <item x="151"/>
        <item x="152"/>
        <item x="153"/>
        <item x="154"/>
        <item x="155"/>
        <item x="156"/>
        <item x="157"/>
        <item x="158"/>
        <item x="132"/>
        <item x="166"/>
        <item x="167"/>
        <item x="168"/>
        <item x="169"/>
        <item x="170"/>
        <item x="171"/>
        <item x="172"/>
        <item x="184"/>
        <item x="185"/>
        <item x="186"/>
        <item x="187"/>
        <item x="188"/>
        <item x="189"/>
        <item x="190"/>
        <item x="191"/>
        <item x="175"/>
        <item x="196"/>
        <item x="197"/>
        <item x="198"/>
        <item x="199"/>
        <item x="200"/>
        <item x="201"/>
        <item x="202"/>
        <item x="203"/>
        <item x="204"/>
        <item x="207"/>
        <item x="205"/>
        <item x="206"/>
        <item x="208"/>
        <item x="209"/>
        <item x="216"/>
        <item x="215"/>
        <item x="214"/>
        <item x="213"/>
        <item x="212"/>
        <item x="211"/>
        <item x="210"/>
        <item x="217"/>
        <item x="218"/>
        <item x="219"/>
        <item x="220"/>
        <item x="221"/>
        <item x="222"/>
        <item x="223"/>
        <item x="224"/>
        <item x="137"/>
        <item x="225"/>
        <item x="226"/>
        <item x="227"/>
        <item x="228"/>
        <item x="229"/>
        <item x="230"/>
        <item x="233"/>
        <item x="232"/>
        <item x="231"/>
        <item x="234"/>
        <item x="235"/>
        <item x="236"/>
        <item x="146"/>
        <item x="238"/>
        <item x="237"/>
        <item x="240"/>
        <item x="241"/>
        <item x="242"/>
        <item x="247"/>
        <item x="248"/>
        <item x="249"/>
        <item x="250"/>
        <item x="252"/>
        <item x="251"/>
        <item x="253"/>
        <item x="254"/>
        <item x="262"/>
        <item x="263"/>
        <item x="264"/>
        <item x="265"/>
        <item x="266"/>
        <item x="267"/>
        <item x="268"/>
        <item x="269"/>
        <item x="244"/>
        <item x="270"/>
        <item x="271"/>
        <item x="272"/>
        <item x="274"/>
        <item x="273"/>
        <item x="276"/>
        <item x="275"/>
        <item x="277"/>
        <item x="279"/>
        <item x="278"/>
        <item x="280"/>
        <item x="281"/>
        <item x="282"/>
        <item x="283"/>
        <item x="181"/>
        <item x="284"/>
        <item x="285"/>
        <item x="286"/>
        <item x="192"/>
        <item x="287"/>
        <item x="257"/>
        <item x="288"/>
        <item x="290"/>
        <item x="289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101"/>
        <item x="304"/>
        <item x="303"/>
        <item x="305"/>
        <item x="306"/>
        <item x="307"/>
        <item x="309"/>
        <item x="308"/>
        <item x="310"/>
        <item x="311"/>
        <item x="312"/>
        <item x="313"/>
        <item x="314"/>
        <item x="315"/>
        <item x="316"/>
        <item x="319"/>
        <item x="317"/>
        <item x="318"/>
        <item x="320"/>
        <item x="325"/>
        <item x="326"/>
        <item x="327"/>
        <item x="328"/>
        <item x="329"/>
        <item x="330"/>
        <item x="332"/>
        <item x="331"/>
        <item x="333"/>
        <item x="246"/>
        <item x="334"/>
        <item x="335"/>
        <item x="336"/>
        <item x="337"/>
        <item x="338"/>
        <item x="259"/>
        <item x="339"/>
        <item x="340"/>
        <item x="341"/>
        <item x="342"/>
        <item x="343"/>
        <item x="195"/>
        <item x="344"/>
        <item x="345"/>
        <item x="346"/>
        <item x="347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9"/>
        <item x="384"/>
        <item x="385"/>
        <item x="386"/>
        <item x="387"/>
        <item x="388"/>
        <item x="391"/>
        <item x="390"/>
        <item x="389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256"/>
        <item x="416"/>
        <item x="417"/>
        <item x="374"/>
        <item x="418"/>
        <item x="420"/>
        <item x="421"/>
        <item x="422"/>
        <item x="426"/>
        <item x="427"/>
        <item x="429"/>
        <item x="428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194"/>
        <item x="441"/>
        <item x="442"/>
        <item x="443"/>
        <item x="445"/>
        <item x="444"/>
        <item x="446"/>
        <item x="165"/>
        <item x="447"/>
        <item x="448"/>
        <item x="450"/>
        <item x="453"/>
        <item x="455"/>
        <item x="454"/>
        <item x="456"/>
        <item x="458"/>
        <item x="457"/>
        <item x="459"/>
        <item x="460"/>
        <item x="461"/>
        <item x="462"/>
        <item x="243"/>
        <item x="463"/>
        <item x="464"/>
        <item x="465"/>
        <item x="466"/>
        <item x="472"/>
        <item x="473"/>
        <item x="474"/>
        <item x="245"/>
        <item x="476"/>
        <item x="475"/>
        <item x="477"/>
        <item x="484"/>
        <item x="485"/>
        <item x="488"/>
        <item x="487"/>
        <item x="489"/>
        <item x="490"/>
        <item x="486"/>
        <item x="491"/>
        <item x="492"/>
        <item x="505"/>
        <item x="378"/>
        <item x="506"/>
        <item x="511"/>
        <item x="512"/>
        <item x="513"/>
        <item x="514"/>
        <item x="143"/>
        <item x="515"/>
        <item x="516"/>
        <item x="517"/>
        <item x="520"/>
        <item x="519"/>
        <item x="521"/>
        <item x="522"/>
        <item x="183"/>
        <item x="523"/>
        <item x="322"/>
        <item x="526"/>
        <item x="103"/>
        <item x="527"/>
        <item x="528"/>
        <item x="529"/>
        <item x="534"/>
        <item x="480"/>
        <item x="535"/>
        <item x="536"/>
        <item x="538"/>
        <item x="537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8"/>
        <item x="557"/>
        <item x="562"/>
        <item x="563"/>
        <item x="564"/>
        <item x="565"/>
        <item x="566"/>
        <item x="567"/>
        <item x="133"/>
        <item x="568"/>
        <item x="569"/>
        <item x="571"/>
        <item x="572"/>
        <item x="575"/>
        <item x="574"/>
        <item x="576"/>
        <item x="577"/>
        <item x="578"/>
        <item x="579"/>
        <item x="580"/>
        <item x="590"/>
        <item x="591"/>
        <item x="592"/>
        <item x="601"/>
        <item x="602"/>
        <item x="603"/>
        <item x="471"/>
        <item x="604"/>
        <item x="605"/>
        <item x="493"/>
        <item x="606"/>
        <item x="607"/>
        <item x="608"/>
        <item x="609"/>
        <item x="610"/>
        <item x="611"/>
        <item x="612"/>
        <item x="613"/>
        <item x="383"/>
        <item x="614"/>
        <item x="615"/>
        <item x="468"/>
        <item x="616"/>
        <item x="617"/>
        <item x="618"/>
        <item x="619"/>
        <item x="620"/>
        <item x="621"/>
        <item x="622"/>
        <item x="142"/>
        <item x="625"/>
        <item x="626"/>
        <item x="531"/>
        <item x="587"/>
        <item x="627"/>
        <item x="628"/>
        <item x="629"/>
        <item x="630"/>
        <item x="631"/>
        <item x="632"/>
        <item x="623"/>
        <item x="638"/>
        <item x="639"/>
        <item x="640"/>
        <item x="641"/>
        <item x="642"/>
        <item x="643"/>
        <item x="644"/>
        <item x="649"/>
        <item x="654"/>
        <item x="655"/>
        <item x="657"/>
        <item x="656"/>
        <item x="164"/>
        <item x="658"/>
        <item x="508"/>
        <item x="659"/>
        <item x="660"/>
        <item x="178"/>
        <item x="662"/>
        <item x="661"/>
        <item x="663"/>
        <item x="664"/>
        <item x="665"/>
        <item x="666"/>
        <item x="470"/>
        <item x="667"/>
        <item x="668"/>
        <item x="671"/>
        <item x="672"/>
        <item x="673"/>
        <item x="139"/>
        <item x="674"/>
        <item x="530"/>
        <item x="180"/>
        <item x="675"/>
        <item x="676"/>
        <item x="677"/>
        <item x="678"/>
        <item x="425"/>
        <item x="679"/>
        <item x="680"/>
        <item x="597"/>
        <item x="684"/>
        <item x="685"/>
        <item x="686"/>
        <item x="687"/>
        <item x="688"/>
        <item x="691"/>
        <item x="533"/>
        <item x="692"/>
        <item x="697"/>
        <item x="698"/>
        <item x="699"/>
        <item x="700"/>
        <item x="690"/>
        <item x="701"/>
        <item x="702"/>
        <item x="703"/>
        <item x="704"/>
        <item x="705"/>
        <item x="706"/>
        <item x="708"/>
        <item x="707"/>
        <item x="709"/>
        <item x="710"/>
        <item x="711"/>
        <item x="714"/>
        <item x="719"/>
        <item x="467"/>
        <item x="726"/>
        <item x="727"/>
        <item x="728"/>
        <item x="729"/>
        <item x="730"/>
        <item x="375"/>
        <item x="731"/>
        <item x="732"/>
        <item x="733"/>
        <item x="734"/>
        <item x="735"/>
        <item x="670"/>
        <item x="736"/>
        <item x="737"/>
        <item x="738"/>
        <item x="741"/>
        <item x="742"/>
        <item x="743"/>
        <item x="744"/>
        <item x="745"/>
        <item x="752"/>
        <item x="753"/>
        <item x="754"/>
        <item x="163"/>
        <item x="755"/>
        <item x="756"/>
        <item x="141"/>
        <item x="750"/>
        <item x="712"/>
        <item x="600"/>
        <item x="757"/>
        <item x="759"/>
        <item x="758"/>
        <item x="182"/>
        <item x="760"/>
        <item x="761"/>
        <item x="762"/>
        <item x="763"/>
        <item x="764"/>
        <item x="765"/>
        <item x="766"/>
        <item x="138"/>
        <item x="769"/>
        <item x="148"/>
        <item x="770"/>
        <item x="771"/>
        <item x="772"/>
        <item x="773"/>
        <item x="652"/>
        <item x="782"/>
        <item x="783"/>
        <item x="784"/>
        <item x="785"/>
        <item x="177"/>
        <item x="786"/>
        <item x="788"/>
        <item x="787"/>
        <item x="789"/>
        <item x="790"/>
        <item x="791"/>
        <item x="792"/>
        <item x="596"/>
        <item x="793"/>
        <item x="376"/>
        <item x="794"/>
        <item x="795"/>
        <item x="796"/>
        <item x="797"/>
        <item x="524"/>
        <item x="798"/>
        <item x="799"/>
        <item x="800"/>
        <item x="594"/>
        <item x="801"/>
        <item x="802"/>
        <item x="260"/>
        <item x="803"/>
        <item x="804"/>
        <item x="805"/>
        <item x="806"/>
        <item x="595"/>
        <item x="499"/>
        <item x="807"/>
        <item x="808"/>
        <item x="809"/>
        <item x="810"/>
        <item x="683"/>
        <item x="811"/>
        <item x="812"/>
        <item x="813"/>
        <item x="814"/>
        <item x="815"/>
        <item x="818"/>
        <item x="819"/>
        <item x="824"/>
        <item x="825"/>
        <item x="827"/>
        <item x="830"/>
        <item x="831"/>
        <item x="832"/>
        <item x="780"/>
        <item x="833"/>
        <item x="834"/>
        <item x="835"/>
        <item x="645"/>
        <item x="852"/>
        <item x="853"/>
        <item x="97"/>
        <item x="854"/>
        <item x="855"/>
        <item x="856"/>
        <item x="451"/>
        <item x="858"/>
        <item x="859"/>
        <item x="586"/>
        <item x="860"/>
        <item x="861"/>
        <item x="862"/>
        <item x="863"/>
        <item x="482"/>
        <item x="864"/>
        <item x="865"/>
        <item x="867"/>
        <item x="868"/>
        <item x="869"/>
        <item x="872"/>
        <item x="873"/>
        <item x="874"/>
        <item x="875"/>
        <item x="876"/>
        <item x="878"/>
        <item x="877"/>
        <item x="879"/>
        <item x="880"/>
        <item x="881"/>
        <item x="882"/>
        <item x="98"/>
        <item x="99"/>
        <item x="100"/>
        <item x="102"/>
        <item x="104"/>
        <item x="105"/>
        <item x="106"/>
        <item x="131"/>
        <item x="134"/>
        <item x="135"/>
        <item x="136"/>
        <item x="140"/>
        <item x="144"/>
        <item x="145"/>
        <item x="147"/>
        <item x="159"/>
        <item x="160"/>
        <item x="162"/>
        <item x="161"/>
        <item x="173"/>
        <item x="174"/>
        <item x="176"/>
        <item x="179"/>
        <item x="239"/>
        <item x="348"/>
        <item x="349"/>
        <item x="350"/>
        <item x="351"/>
        <item x="352"/>
        <item x="353"/>
        <item x="354"/>
        <item x="355"/>
        <item x="372"/>
        <item x="373"/>
        <item x="419"/>
        <item x="423"/>
        <item x="424"/>
        <item x="452"/>
        <item x="469"/>
        <item x="494"/>
        <item x="495"/>
        <item x="496"/>
        <item x="497"/>
        <item x="498"/>
        <item x="500"/>
        <item x="501"/>
        <item x="502"/>
        <item x="503"/>
        <item x="504"/>
        <item x="507"/>
        <item x="509"/>
        <item x="510"/>
        <item x="518"/>
        <item x="525"/>
        <item x="532"/>
        <item x="559"/>
        <item x="560"/>
        <item x="561"/>
        <item x="570"/>
        <item x="581"/>
        <item x="582"/>
        <item x="583"/>
        <item x="593"/>
        <item x="633"/>
        <item x="634"/>
        <item x="635"/>
        <item x="636"/>
        <item x="637"/>
        <item x="646"/>
        <item x="647"/>
        <item x="648"/>
        <item x="669"/>
        <item x="693"/>
        <item x="694"/>
        <item x="695"/>
        <item x="696"/>
        <item x="713"/>
        <item x="715"/>
        <item x="716"/>
        <item x="717"/>
        <item x="718"/>
        <item x="720"/>
        <item x="721"/>
        <item x="722"/>
        <item x="739"/>
        <item x="740"/>
        <item x="749"/>
        <item x="751"/>
        <item x="781"/>
        <item x="820"/>
        <item x="821"/>
        <item x="822"/>
        <item x="823"/>
        <item x="826"/>
        <item x="829"/>
        <item x="836"/>
        <item x="837"/>
        <item x="838"/>
        <item x="846"/>
        <item x="847"/>
        <item x="848"/>
        <item x="849"/>
        <item x="850"/>
        <item x="851"/>
        <item x="857"/>
        <item x="866"/>
        <item x="870"/>
        <item x="871"/>
        <item x="193"/>
        <item x="321"/>
        <item x="323"/>
        <item x="324"/>
        <item x="380"/>
        <item x="381"/>
        <item x="382"/>
        <item x="449"/>
        <item x="584"/>
        <item x="585"/>
        <item x="588"/>
        <item x="589"/>
        <item x="598"/>
        <item x="599"/>
        <item x="779"/>
        <item x="481"/>
        <item x="816"/>
        <item x="817"/>
        <item x="828"/>
        <item x="255"/>
        <item x="258"/>
        <item x="261"/>
        <item x="377"/>
        <item x="478"/>
        <item x="479"/>
        <item x="483"/>
        <item x="573"/>
        <item x="624"/>
        <item x="650"/>
        <item x="651"/>
        <item x="653"/>
        <item x="681"/>
        <item x="682"/>
        <item x="689"/>
        <item x="723"/>
        <item x="724"/>
        <item x="725"/>
        <item x="746"/>
        <item x="747"/>
        <item x="748"/>
        <item x="767"/>
        <item x="768"/>
        <item x="774"/>
        <item x="775"/>
        <item x="776"/>
        <item x="777"/>
        <item x="778"/>
        <item x="839"/>
        <item x="840"/>
        <item x="841"/>
        <item x="842"/>
        <item x="843"/>
        <item x="844"/>
        <item x="84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name="Panel" axis="axisRow" compact="0" outline="0" showAll="0">
      <items count="6">
        <item sd="0" x="1"/>
        <item sd="0" x="2"/>
        <item sd="0" x="4"/>
        <item sd="0" x="3"/>
        <item sd="0" x="0"/>
        <item t="default" sd="0"/>
      </items>
    </pivotField>
    <pivotField axis="axisPage" compact="0" outline="0" showAll="0">
      <items count="3">
        <item x="1"/>
        <item x="0"/>
        <item t="default"/>
      </items>
    </pivotField>
    <pivotField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17">
        <item h="1" x="11"/>
        <item h="1" x="2"/>
        <item h="1" x="15"/>
        <item h="1" x="12"/>
        <item h="1" x="16"/>
        <item x="0"/>
        <item x="1"/>
        <item x="10"/>
        <item x="14"/>
        <item x="3"/>
        <item x="7"/>
        <item x="13"/>
        <item x="9"/>
        <item x="6"/>
        <item x="4"/>
        <item x="5"/>
        <item h="1" x="8"/>
      </items>
    </pivotField>
    <pivotField axis="axisPage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Page" compact="0" outline="0" multipleItemSelectionAllowed="1" showAll="0" defaultSubtotal="0">
      <items count="61">
        <item x="28"/>
        <item x="35"/>
        <item x="54"/>
        <item x="26"/>
        <item x="55"/>
        <item x="57"/>
        <item x="13"/>
        <item x="53"/>
        <item x="44"/>
        <item x="56"/>
        <item x="37"/>
        <item x="60"/>
        <item x="48"/>
        <item x="24"/>
        <item x="52"/>
        <item x="14"/>
        <item x="16"/>
        <item x="38"/>
        <item x="36"/>
        <item x="34"/>
        <item x="2"/>
        <item x="10"/>
        <item x="40"/>
        <item x="49"/>
        <item x="58"/>
        <item x="50"/>
        <item x="23"/>
        <item x="21"/>
        <item x="9"/>
        <item x="45"/>
        <item x="32"/>
        <item x="4"/>
        <item x="41"/>
        <item x="46"/>
        <item x="27"/>
        <item x="1"/>
        <item x="59"/>
        <item x="5"/>
        <item x="22"/>
        <item x="31"/>
        <item x="30"/>
        <item x="0"/>
        <item x="18"/>
        <item x="42"/>
        <item x="33"/>
        <item x="19"/>
        <item x="47"/>
        <item x="15"/>
        <item x="11"/>
        <item x="43"/>
        <item x="7"/>
        <item x="20"/>
        <item x="25"/>
        <item x="39"/>
        <item x="51"/>
        <item x="29"/>
        <item x="6"/>
        <item x="17"/>
        <item x="12"/>
        <item x="8"/>
        <item x="3"/>
      </items>
    </pivotField>
    <pivotField dataField="1" compact="0" outline="0" dragToRow="0" dragToCol="0" dragToPage="0" showAll="0" defaultSubtotal="0"/>
  </pivotFields>
  <rowFields count="4">
    <field x="39"/>
    <field x="3"/>
    <field x="1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7">
    <pageField fld="52" hier="-1"/>
    <pageField fld="38" hier="-1"/>
    <pageField fld="40" hier="-1"/>
    <pageField fld="10" hier="-1"/>
    <pageField fld="53" item="0" hier="-1"/>
    <pageField fld="4" hier="-1"/>
    <pageField fld="55" hier="-1"/>
  </pageFields>
  <dataFields count="6">
    <dataField name="Count of general contract" fld="42" subtotal="count" baseField="0" baseItem="0"/>
    <dataField name="Count of quality appendix" fld="43" subtotal="count" baseField="0" baseItem="0"/>
    <dataField name="Count of supply chain appendix" fld="44" subtotal="count" baseField="0" baseItem="0"/>
    <dataField name="Sum of Total Number of Supplier" fld="56" baseField="0" baseItem="0"/>
    <dataField name="Count of Full Signed" fld="46" subtotal="count" baseField="0" baseItem="0"/>
    <dataField name="Count of not Full" fld="47" subtotal="count" baseField="0" baseItem="0"/>
  </dataFields>
  <formats count="24">
    <format dxfId="49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48">
      <pivotArea field="39" type="button" dataOnly="0" labelOnly="1" outline="0" axis="axisRow" fieldPosition="0"/>
    </format>
    <format dxfId="47">
      <pivotArea field="3" type="button" dataOnly="0" labelOnly="1" outline="0" axis="axisRow" fieldPosition="1"/>
    </format>
    <format dxfId="46">
      <pivotArea field="1" type="button" dataOnly="0" labelOnly="1" outline="0" axis="axisRow" fieldPosition="2"/>
    </format>
    <format dxfId="45">
      <pivotArea field="2" type="button" dataOnly="0" labelOnly="1" outline="0" axis="axisRow" fieldPosition="3"/>
    </format>
    <format dxfId="44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43">
      <pivotArea field="39" type="button" dataOnly="0" labelOnly="1" outline="0" axis="axisRow" fieldPosition="0"/>
    </format>
    <format dxfId="42">
      <pivotArea field="3" type="button" dataOnly="0" labelOnly="1" outline="0" axis="axisRow" fieldPosition="1"/>
    </format>
    <format dxfId="41">
      <pivotArea field="1" type="button" dataOnly="0" labelOnly="1" outline="0" axis="axisRow" fieldPosition="2"/>
    </format>
    <format dxfId="40">
      <pivotArea field="2" type="button" dataOnly="0" labelOnly="1" outline="0" axis="axisRow" fieldPosition="3"/>
    </format>
    <format dxfId="39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34">
      <pivotArea field="39" type="button" dataOnly="0" labelOnly="1" outline="0" axis="axisRow" fieldPosition="0"/>
    </format>
    <format dxfId="33">
      <pivotArea field="3" type="button" dataOnly="0" labelOnly="1" outline="0" axis="axisRow" fieldPosition="1"/>
    </format>
    <format dxfId="32">
      <pivotArea field="1" type="button" dataOnly="0" labelOnly="1" outline="0" axis="axisRow" fieldPosition="2"/>
    </format>
    <format dxfId="31">
      <pivotArea field="2" type="button" dataOnly="0" labelOnly="1" outline="0" axis="axisRow" fieldPosition="3"/>
    </format>
    <format dxfId="30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2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7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6">
      <pivotArea dataOnly="0" labelOnly="1" outline="0" fieldPosition="0">
        <references count="1">
          <reference field="4294967294" count="1">
            <x v="3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1:H280" firstHeaderRow="1" firstDataRow="2" firstDataCol="3" rowPageCount="7" colPageCount="1"/>
  <pivotFields count="57">
    <pivotField compact="0" outline="0" showAll="0" defaultSubtotal="0"/>
    <pivotField axis="axisRow" compact="0" outline="0" showAll="0" defaultSubtotal="0">
      <items count="267">
        <item x="153"/>
        <item x="202"/>
        <item x="124"/>
        <item x="7"/>
        <item x="34"/>
        <item x="60"/>
        <item x="101"/>
        <item x="222"/>
        <item x="247"/>
        <item x="205"/>
        <item x="52"/>
        <item x="8"/>
        <item x="85"/>
        <item x="212"/>
        <item x="143"/>
        <item x="227"/>
        <item x="121"/>
        <item x="233"/>
        <item x="28"/>
        <item x="4"/>
        <item x="257"/>
        <item x="164"/>
        <item x="214"/>
        <item x="0"/>
        <item x="13"/>
        <item x="135"/>
        <item x="37"/>
        <item x="134"/>
        <item x="144"/>
        <item x="61"/>
        <item x="125"/>
        <item x="173"/>
        <item x="262"/>
        <item x="65"/>
        <item x="218"/>
        <item x="256"/>
        <item x="11"/>
        <item x="109"/>
        <item x="166"/>
        <item x="201"/>
        <item x="229"/>
        <item x="51"/>
        <item x="83"/>
        <item x="226"/>
        <item x="16"/>
        <item x="5"/>
        <item x="231"/>
        <item x="69"/>
        <item x="149"/>
        <item x="89"/>
        <item x="14"/>
        <item x="103"/>
        <item x="128"/>
        <item x="223"/>
        <item x="91"/>
        <item x="2"/>
        <item x="174"/>
        <item x="1"/>
        <item x="198"/>
        <item x="160"/>
        <item x="71"/>
        <item x="180"/>
        <item x="80"/>
        <item x="63"/>
        <item x="176"/>
        <item x="25"/>
        <item x="253"/>
        <item x="110"/>
        <item x="142"/>
        <item x="187"/>
        <item x="100"/>
        <item x="213"/>
        <item x="133"/>
        <item x="40"/>
        <item x="59"/>
        <item x="10"/>
        <item x="97"/>
        <item x="64"/>
        <item x="30"/>
        <item x="156"/>
        <item x="77"/>
        <item x="57"/>
        <item x="146"/>
        <item x="112"/>
        <item x="221"/>
        <item x="182"/>
        <item x="189"/>
        <item x="22"/>
        <item x="203"/>
        <item x="138"/>
        <item x="185"/>
        <item x="24"/>
        <item x="199"/>
        <item x="31"/>
        <item x="157"/>
        <item x="6"/>
        <item x="107"/>
        <item x="12"/>
        <item x="19"/>
        <item x="47"/>
        <item x="148"/>
        <item x="131"/>
        <item x="114"/>
        <item x="155"/>
        <item x="79"/>
        <item x="266"/>
        <item x="15"/>
        <item x="216"/>
        <item x="236"/>
        <item x="54"/>
        <item x="70"/>
        <item x="265"/>
        <item x="9"/>
        <item x="115"/>
        <item x="239"/>
        <item x="170"/>
        <item x="260"/>
        <item x="75"/>
        <item x="211"/>
        <item x="56"/>
        <item x="230"/>
        <item x="18"/>
        <item x="225"/>
        <item x="123"/>
        <item x="87"/>
        <item x="152"/>
        <item x="194"/>
        <item x="246"/>
        <item x="263"/>
        <item x="162"/>
        <item x="17"/>
        <item x="206"/>
        <item x="38"/>
        <item x="191"/>
        <item x="46"/>
        <item x="228"/>
        <item x="258"/>
        <item x="232"/>
        <item x="193"/>
        <item x="93"/>
        <item x="147"/>
        <item x="235"/>
        <item x="171"/>
        <item x="23"/>
        <item x="3"/>
        <item x="186"/>
        <item x="20"/>
        <item x="36"/>
        <item x="39"/>
        <item x="41"/>
        <item x="43"/>
        <item x="49"/>
        <item x="53"/>
        <item x="55"/>
        <item x="66"/>
        <item x="78"/>
        <item x="82"/>
        <item x="88"/>
        <item x="90"/>
        <item x="92"/>
        <item x="95"/>
        <item x="98"/>
        <item x="120"/>
        <item x="122"/>
        <item x="129"/>
        <item x="151"/>
        <item x="165"/>
        <item x="169"/>
        <item x="172"/>
        <item x="179"/>
        <item x="197"/>
        <item x="200"/>
        <item x="207"/>
        <item x="215"/>
        <item x="224"/>
        <item x="242"/>
        <item x="243"/>
        <item x="254"/>
        <item x="264"/>
        <item x="21"/>
        <item x="26"/>
        <item x="27"/>
        <item x="29"/>
        <item x="32"/>
        <item x="33"/>
        <item x="42"/>
        <item x="44"/>
        <item x="45"/>
        <item x="50"/>
        <item x="67"/>
        <item x="68"/>
        <item x="73"/>
        <item x="81"/>
        <item x="84"/>
        <item x="86"/>
        <item x="96"/>
        <item x="99"/>
        <item x="104"/>
        <item x="105"/>
        <item x="106"/>
        <item x="108"/>
        <item x="111"/>
        <item x="113"/>
        <item x="117"/>
        <item x="126"/>
        <item x="127"/>
        <item x="130"/>
        <item x="136"/>
        <item x="140"/>
        <item x="154"/>
        <item x="158"/>
        <item x="159"/>
        <item x="167"/>
        <item x="175"/>
        <item x="183"/>
        <item x="184"/>
        <item x="188"/>
        <item x="190"/>
        <item x="192"/>
        <item x="195"/>
        <item x="204"/>
        <item x="210"/>
        <item x="220"/>
        <item x="237"/>
        <item x="240"/>
        <item x="241"/>
        <item x="244"/>
        <item x="245"/>
        <item x="248"/>
        <item x="251"/>
        <item x="252"/>
        <item x="255"/>
        <item x="259"/>
        <item x="261"/>
        <item x="35"/>
        <item x="62"/>
        <item x="72"/>
        <item x="76"/>
        <item x="94"/>
        <item x="137"/>
        <item x="141"/>
        <item x="168"/>
        <item x="177"/>
        <item x="178"/>
        <item x="234"/>
        <item x="48"/>
        <item x="58"/>
        <item x="74"/>
        <item x="102"/>
        <item x="116"/>
        <item x="118"/>
        <item x="119"/>
        <item x="132"/>
        <item x="139"/>
        <item x="145"/>
        <item x="150"/>
        <item x="161"/>
        <item x="163"/>
        <item x="181"/>
        <item x="196"/>
        <item x="208"/>
        <item x="209"/>
        <item x="217"/>
        <item x="219"/>
        <item x="238"/>
        <item x="249"/>
        <item x="250"/>
      </items>
    </pivotField>
    <pivotField axis="axisRow" compact="0" outline="0" showAll="0" defaultSubtotal="0">
      <items count="267">
        <item x="0"/>
        <item x="1"/>
        <item x="2"/>
        <item x="5"/>
        <item x="7"/>
        <item x="9"/>
        <item x="10"/>
        <item x="11"/>
        <item x="12"/>
        <item x="171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69"/>
        <item x="71"/>
        <item x="114"/>
        <item x="131"/>
        <item x="160"/>
        <item x="3"/>
        <item x="75"/>
        <item x="80"/>
        <item x="83"/>
        <item x="85"/>
        <item x="191"/>
        <item x="57"/>
        <item x="63"/>
        <item x="203"/>
        <item x="79"/>
        <item x="93"/>
        <item x="100"/>
        <item x="101"/>
        <item x="103"/>
        <item x="109"/>
        <item x="110"/>
        <item x="15"/>
        <item x="121"/>
        <item x="133"/>
        <item x="189"/>
        <item x="22"/>
        <item x="70"/>
        <item x="124"/>
        <item x="125"/>
        <item x="128"/>
        <item x="8"/>
        <item x="134"/>
        <item x="135"/>
        <item x="138"/>
        <item x="142"/>
        <item x="143"/>
        <item x="144"/>
        <item x="146"/>
        <item x="147"/>
        <item x="148"/>
        <item x="149"/>
        <item x="152"/>
        <item x="153"/>
        <item x="155"/>
        <item x="156"/>
        <item x="157"/>
        <item x="162"/>
        <item x="164"/>
        <item x="166"/>
        <item x="89"/>
        <item x="97"/>
        <item x="107"/>
        <item x="170"/>
        <item x="173"/>
        <item x="174"/>
        <item x="176"/>
        <item x="257"/>
        <item x="180"/>
        <item x="182"/>
        <item x="186"/>
        <item x="187"/>
        <item x="230"/>
        <item x="194"/>
        <item x="198"/>
        <item x="77"/>
        <item x="258"/>
        <item x="260"/>
        <item x="185"/>
        <item x="17"/>
        <item x="123"/>
        <item x="201"/>
        <item x="202"/>
        <item x="205"/>
        <item x="206"/>
        <item x="211"/>
        <item x="212"/>
        <item x="213"/>
        <item x="214"/>
        <item x="216"/>
        <item x="65"/>
        <item x="112"/>
        <item x="199"/>
        <item x="218"/>
        <item x="232"/>
        <item x="18"/>
        <item x="221"/>
        <item x="222"/>
        <item x="223"/>
        <item x="225"/>
        <item x="226"/>
        <item x="227"/>
        <item x="229"/>
        <item x="231"/>
        <item x="233"/>
        <item x="235"/>
        <item x="236"/>
        <item x="239"/>
        <item x="4"/>
        <item x="246"/>
        <item x="247"/>
        <item x="253"/>
        <item x="13"/>
        <item x="115"/>
        <item x="256"/>
        <item x="262"/>
        <item x="263"/>
        <item x="56"/>
        <item x="91"/>
        <item x="40"/>
        <item x="46"/>
        <item x="193"/>
        <item x="16"/>
        <item x="265"/>
        <item x="87"/>
        <item x="228"/>
        <item x="266"/>
        <item x="20"/>
        <item x="36"/>
        <item x="39"/>
        <item x="41"/>
        <item x="43"/>
        <item x="49"/>
        <item x="53"/>
        <item x="55"/>
        <item x="66"/>
        <item x="78"/>
        <item x="82"/>
        <item x="88"/>
        <item x="90"/>
        <item x="92"/>
        <item x="95"/>
        <item x="98"/>
        <item x="120"/>
        <item x="122"/>
        <item x="129"/>
        <item x="151"/>
        <item x="165"/>
        <item x="169"/>
        <item x="172"/>
        <item x="179"/>
        <item x="197"/>
        <item x="200"/>
        <item x="207"/>
        <item x="215"/>
        <item x="224"/>
        <item x="242"/>
        <item x="243"/>
        <item x="254"/>
        <item x="264"/>
        <item x="21"/>
        <item x="26"/>
        <item x="27"/>
        <item x="29"/>
        <item x="32"/>
        <item x="33"/>
        <item x="42"/>
        <item x="44"/>
        <item x="45"/>
        <item x="50"/>
        <item x="67"/>
        <item x="68"/>
        <item x="73"/>
        <item x="81"/>
        <item x="84"/>
        <item x="86"/>
        <item x="96"/>
        <item x="99"/>
        <item x="104"/>
        <item x="105"/>
        <item x="106"/>
        <item x="108"/>
        <item x="111"/>
        <item x="113"/>
        <item x="117"/>
        <item x="126"/>
        <item x="127"/>
        <item x="130"/>
        <item x="136"/>
        <item x="140"/>
        <item x="154"/>
        <item x="158"/>
        <item x="159"/>
        <item x="167"/>
        <item x="175"/>
        <item x="183"/>
        <item x="184"/>
        <item x="188"/>
        <item x="190"/>
        <item x="192"/>
        <item x="195"/>
        <item x="204"/>
        <item x="210"/>
        <item x="220"/>
        <item x="237"/>
        <item x="240"/>
        <item x="241"/>
        <item x="244"/>
        <item x="245"/>
        <item x="248"/>
        <item x="251"/>
        <item x="252"/>
        <item x="255"/>
        <item x="259"/>
        <item x="261"/>
        <item x="35"/>
        <item x="62"/>
        <item x="72"/>
        <item x="76"/>
        <item x="94"/>
        <item x="137"/>
        <item x="141"/>
        <item x="168"/>
        <item x="177"/>
        <item x="178"/>
        <item x="234"/>
        <item x="48"/>
        <item x="58"/>
        <item x="74"/>
        <item x="102"/>
        <item x="116"/>
        <item x="118"/>
        <item x="119"/>
        <item x="132"/>
        <item x="139"/>
        <item x="145"/>
        <item x="150"/>
        <item x="161"/>
        <item x="163"/>
        <item x="181"/>
        <item x="196"/>
        <item x="208"/>
        <item x="209"/>
        <item x="217"/>
        <item x="219"/>
        <item x="238"/>
        <item x="249"/>
        <item x="250"/>
      </items>
    </pivotField>
    <pivotField axis="axisRow" compact="0" outline="0" showAll="0" defaultSubtotal="0">
      <items count="2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58"/>
        <item x="62"/>
        <item x="63"/>
        <item x="64"/>
        <item x="68"/>
        <item x="70"/>
        <item x="72"/>
        <item x="75"/>
        <item x="77"/>
        <item x="79"/>
        <item x="81"/>
        <item x="83"/>
        <item x="85"/>
        <item x="89"/>
        <item x="92"/>
        <item x="93"/>
        <item x="95"/>
        <item x="99"/>
        <item x="101"/>
        <item x="102"/>
        <item x="104"/>
        <item x="106"/>
        <item x="107"/>
        <item x="113"/>
        <item x="115"/>
        <item x="116"/>
        <item x="117"/>
        <item x="120"/>
        <item x="123"/>
        <item x="125"/>
        <item x="126"/>
        <item x="127"/>
        <item x="130"/>
        <item x="134"/>
        <item x="135"/>
        <item x="136"/>
        <item x="137"/>
        <item x="138"/>
        <item x="139"/>
        <item x="140"/>
        <item x="143"/>
        <item x="144"/>
        <item x="146"/>
        <item x="147"/>
        <item x="148"/>
        <item x="150"/>
        <item x="152"/>
        <item x="154"/>
        <item x="156"/>
        <item x="160"/>
        <item x="161"/>
        <item x="163"/>
        <item x="164"/>
        <item x="166"/>
        <item x="169"/>
        <item x="171"/>
        <item x="174"/>
        <item x="175"/>
        <item x="176"/>
        <item x="178"/>
        <item x="180"/>
        <item x="182"/>
        <item x="183"/>
        <item x="187"/>
        <item x="189"/>
        <item x="190"/>
        <item x="191"/>
        <item x="193"/>
        <item x="194"/>
        <item x="199"/>
        <item x="200"/>
        <item x="201"/>
        <item x="202"/>
        <item x="204"/>
        <item x="206"/>
        <item x="209"/>
        <item x="210"/>
        <item x="211"/>
        <item x="213"/>
        <item x="214"/>
        <item x="215"/>
        <item x="216"/>
        <item x="217"/>
        <item x="218"/>
        <item x="219"/>
        <item x="220"/>
        <item x="221"/>
        <item x="223"/>
        <item x="224"/>
        <item x="227"/>
        <item x="233"/>
        <item x="234"/>
        <item x="240"/>
        <item x="243"/>
        <item x="244"/>
        <item x="245"/>
        <item x="247"/>
        <item x="249"/>
        <item x="250"/>
        <item x="252"/>
        <item x="253"/>
        <item x="17"/>
        <item x="32"/>
        <item x="35"/>
        <item x="37"/>
        <item x="39"/>
        <item x="44"/>
        <item x="47"/>
        <item x="49"/>
        <item x="59"/>
        <item x="71"/>
        <item x="74"/>
        <item x="80"/>
        <item x="82"/>
        <item x="84"/>
        <item x="87"/>
        <item x="90"/>
        <item x="112"/>
        <item x="114"/>
        <item x="121"/>
        <item x="142"/>
        <item x="155"/>
        <item x="159"/>
        <item x="162"/>
        <item x="168"/>
        <item x="186"/>
        <item x="188"/>
        <item x="195"/>
        <item x="203"/>
        <item x="212"/>
        <item x="229"/>
        <item x="230"/>
        <item x="241"/>
        <item x="251"/>
        <item x="18"/>
        <item x="22"/>
        <item x="23"/>
        <item x="25"/>
        <item x="28"/>
        <item x="29"/>
        <item x="38"/>
        <item x="40"/>
        <item x="60"/>
        <item x="61"/>
        <item x="66"/>
        <item x="73"/>
        <item x="76"/>
        <item x="78"/>
        <item x="88"/>
        <item x="91"/>
        <item x="96"/>
        <item x="97"/>
        <item x="98"/>
        <item x="100"/>
        <item x="103"/>
        <item x="105"/>
        <item x="109"/>
        <item x="118"/>
        <item x="119"/>
        <item x="122"/>
        <item x="128"/>
        <item x="132"/>
        <item x="145"/>
        <item x="149"/>
        <item x="157"/>
        <item x="165"/>
        <item x="172"/>
        <item x="173"/>
        <item x="177"/>
        <item x="179"/>
        <item x="181"/>
        <item x="184"/>
        <item x="192"/>
        <item x="198"/>
        <item x="208"/>
        <item x="225"/>
        <item x="228"/>
        <item x="231"/>
        <item x="232"/>
        <item x="235"/>
        <item x="238"/>
        <item x="239"/>
        <item x="242"/>
        <item x="246"/>
        <item x="248"/>
        <item x="31"/>
        <item x="55"/>
        <item x="65"/>
        <item x="69"/>
        <item x="86"/>
        <item x="129"/>
        <item x="133"/>
        <item x="158"/>
        <item x="167"/>
        <item x="222"/>
        <item x="43"/>
        <item x="67"/>
        <item x="94"/>
        <item x="108"/>
        <item x="110"/>
        <item x="111"/>
        <item x="124"/>
        <item x="131"/>
        <item x="141"/>
        <item x="151"/>
        <item x="153"/>
        <item x="170"/>
        <item x="185"/>
        <item x="196"/>
        <item x="197"/>
        <item x="205"/>
        <item x="207"/>
        <item x="226"/>
        <item x="236"/>
        <item x="237"/>
      </items>
    </pivotField>
    <pivotField axis="axisPage" compact="0" outline="0" showAll="0" defaultSubtotal="0">
      <items count="6">
        <item x="3"/>
        <item x="0"/>
        <item x="2"/>
        <item x="5"/>
        <item x="1"/>
        <item x="4"/>
      </items>
    </pivotField>
    <pivotField compact="0" outline="0" showAll="0" defaultSubtotal="0"/>
    <pivotField compact="0" outline="0" showAll="0"/>
    <pivotField compact="0" outline="0" multipleItemSelectionAllowed="1" showAll="0"/>
    <pivotField compact="0" outline="0" showAll="0"/>
    <pivotField compact="0" outline="0" showAll="0"/>
    <pivotField axis="axisPage" compact="0" numFmtId="14" outline="0" showAll="0" defaultSubtotal="0">
      <items count="883">
        <item x="272"/>
        <item x="771"/>
        <item x="534"/>
        <item x="276"/>
        <item x="868"/>
        <item x="145"/>
        <item x="200"/>
        <item x="171"/>
        <item x="274"/>
        <item x="541"/>
        <item x="799"/>
        <item x="275"/>
        <item x="41"/>
        <item x="585"/>
        <item x="742"/>
        <item x="679"/>
        <item x="126"/>
        <item x="851"/>
        <item x="215"/>
        <item x="495"/>
        <item x="404"/>
        <item x="84"/>
        <item x="279"/>
        <item x="739"/>
        <item x="609"/>
        <item x="343"/>
        <item x="191"/>
        <item x="606"/>
        <item x="654"/>
        <item x="474"/>
        <item x="854"/>
        <item x="368"/>
        <item x="570"/>
        <item x="500"/>
        <item x="876"/>
        <item x="469"/>
        <item x="206"/>
        <item x="612"/>
        <item x="692"/>
        <item x="325"/>
        <item x="417"/>
        <item x="410"/>
        <item x="255"/>
        <item x="457"/>
        <item x="6"/>
        <item x="176"/>
        <item x="4"/>
        <item x="836"/>
        <item x="837"/>
        <item x="298"/>
        <item x="846"/>
        <item x="698"/>
        <item x="574"/>
        <item x="750"/>
        <item x="691"/>
        <item x="301"/>
        <item x="770"/>
        <item x="505"/>
        <item x="243"/>
        <item x="741"/>
        <item x="15"/>
        <item x="681"/>
        <item x="812"/>
        <item x="504"/>
        <item x="329"/>
        <item x="756"/>
        <item x="388"/>
        <item x="269"/>
        <item x="315"/>
        <item x="130"/>
        <item x="716"/>
        <item x="728"/>
        <item x="607"/>
        <item x="177"/>
        <item x="515"/>
        <item x="436"/>
        <item x="711"/>
        <item x="372"/>
        <item x="820"/>
        <item x="462"/>
        <item x="98"/>
        <item x="822"/>
        <item x="715"/>
        <item x="99"/>
        <item x="498"/>
        <item x="573"/>
        <item x="520"/>
        <item x="784"/>
        <item x="552"/>
        <item x="56"/>
        <item x="644"/>
        <item x="571"/>
        <item x="767"/>
        <item x="424"/>
        <item x="57"/>
        <item x="703"/>
        <item x="629"/>
        <item x="453"/>
        <item x="455"/>
        <item x="356"/>
        <item x="338"/>
        <item x="58"/>
        <item x="839"/>
        <item x="273"/>
        <item x="437"/>
        <item x="625"/>
        <item x="468"/>
        <item x="598"/>
        <item x="92"/>
        <item x="384"/>
        <item x="473"/>
        <item x="616"/>
        <item x="811"/>
        <item x="808"/>
        <item x="422"/>
        <item x="443"/>
        <item x="879"/>
        <item x="328"/>
        <item x="874"/>
        <item x="833"/>
        <item x="870"/>
        <item x="838"/>
        <item x="291"/>
        <item x="506"/>
        <item x="402"/>
        <item x="867"/>
        <item x="774"/>
        <item x="835"/>
        <item x="655"/>
        <item x="398"/>
        <item x="327"/>
        <item x="261"/>
        <item x="781"/>
        <item x="503"/>
        <item x="188"/>
        <item x="42"/>
        <item x="635"/>
        <item x="673"/>
        <item x="724"/>
        <item x="0"/>
        <item x="643"/>
        <item x="604"/>
        <item x="40"/>
        <item x="708"/>
        <item x="160"/>
        <item x="412"/>
        <item x="380"/>
        <item x="787"/>
        <item x="880"/>
        <item x="217"/>
        <item x="783"/>
        <item x="563"/>
        <item x="863"/>
        <item x="549"/>
        <item x="858"/>
        <item x="859"/>
        <item x="743"/>
        <item x="586"/>
        <item x="547"/>
        <item x="538"/>
        <item x="619"/>
        <item x="577"/>
        <item x="152"/>
        <item x="671"/>
        <item x="672"/>
        <item x="414"/>
        <item x="790"/>
        <item x="646"/>
        <item x="591"/>
        <item x="862"/>
        <item x="240"/>
        <item x="413"/>
        <item x="861"/>
        <item x="815"/>
        <item x="312"/>
        <item x="537"/>
        <item x="452"/>
        <item x="572"/>
        <item x="432"/>
        <item x="881"/>
        <item x="734"/>
        <item x="551"/>
        <item x="747"/>
        <item x="197"/>
        <item x="359"/>
        <item x="806"/>
        <item x="451"/>
        <item x="627"/>
        <item x="357"/>
        <item x="554"/>
        <item x="438"/>
        <item x="91"/>
        <item x="239"/>
        <item x="688"/>
        <item x="450"/>
        <item x="358"/>
        <item x="664"/>
        <item x="253"/>
        <item x="280"/>
        <item x="62"/>
        <item x="7"/>
        <item x="381"/>
        <item x="363"/>
        <item x="59"/>
        <item x="80"/>
        <item x="225"/>
        <item x="511"/>
        <item x="316"/>
        <item x="345"/>
        <item x="584"/>
        <item x="421"/>
        <item x="618"/>
        <item x="603"/>
        <item x="696"/>
        <item x="665"/>
        <item x="661"/>
        <item x="594"/>
        <item x="324"/>
        <item x="278"/>
        <item x="210"/>
        <item x="219"/>
        <item x="3"/>
        <item x="267"/>
        <item x="2"/>
        <item x="334"/>
        <item x="642"/>
        <item x="101"/>
        <item x="583"/>
        <item x="218"/>
        <item x="725"/>
        <item x="326"/>
        <item x="628"/>
        <item x="522"/>
        <item x="68"/>
        <item x="110"/>
        <item x="813"/>
        <item x="660"/>
        <item x="277"/>
        <item x="518"/>
        <item x="50"/>
        <item x="186"/>
        <item x="397"/>
        <item x="757"/>
        <item x="800"/>
        <item x="733"/>
        <item x="85"/>
        <item x="411"/>
        <item x="144"/>
        <item x="762"/>
        <item x="853"/>
        <item x="744"/>
        <item x="608"/>
        <item x="882"/>
        <item x="723"/>
        <item x="855"/>
        <item x="435"/>
        <item x="803"/>
        <item x="207"/>
        <item x="211"/>
        <item x="529"/>
        <item x="746"/>
        <item x="834"/>
        <item x="285"/>
        <item x="527"/>
        <item x="491"/>
        <item x="528"/>
        <item x="849"/>
        <item x="294"/>
        <item x="309"/>
        <item x="258"/>
        <item x="536"/>
        <item x="745"/>
        <item x="336"/>
        <item x="758"/>
        <item x="446"/>
        <item x="1"/>
        <item x="785"/>
        <item x="367"/>
        <item x="748"/>
        <item x="804"/>
        <item x="296"/>
        <item x="330"/>
        <item x="630"/>
        <item x="14"/>
        <item x="701"/>
        <item x="292"/>
        <item x="866"/>
        <item x="213"/>
        <item x="729"/>
        <item x="365"/>
        <item x="656"/>
        <item x="136"/>
        <item x="755"/>
        <item x="666"/>
        <item x="153"/>
        <item x="244"/>
        <item x="102"/>
        <item x="364"/>
        <item x="439"/>
        <item x="156"/>
        <item x="374"/>
        <item x="390"/>
        <item x="687"/>
        <item x="796"/>
        <item x="845"/>
        <item x="501"/>
        <item x="340"/>
        <item x="684"/>
        <item x="525"/>
        <item x="220"/>
        <item x="209"/>
        <item x="759"/>
        <item x="878"/>
        <item x="667"/>
        <item x="313"/>
        <item x="633"/>
        <item x="458"/>
        <item x="415"/>
        <item x="18"/>
        <item x="877"/>
        <item x="470"/>
        <item x="634"/>
        <item x="844"/>
        <item x="283"/>
        <item x="766"/>
        <item x="637"/>
        <item x="71"/>
        <item x="67"/>
        <item x="842"/>
        <item x="843"/>
        <item x="323"/>
        <item x="814"/>
        <item x="763"/>
        <item x="214"/>
        <item x="63"/>
        <item x="314"/>
        <item x="760"/>
        <item x="794"/>
        <item x="66"/>
        <item x="517"/>
        <item x="514"/>
        <item x="128"/>
        <item x="17"/>
        <item x="754"/>
        <item x="87"/>
        <item x="502"/>
        <item x="639"/>
        <item x="227"/>
        <item x="212"/>
        <item x="442"/>
        <item x="366"/>
        <item x="732"/>
        <item x="545"/>
        <item x="295"/>
        <item x="797"/>
        <item x="663"/>
        <item x="512"/>
        <item x="162"/>
        <item x="369"/>
        <item x="513"/>
        <item x="776"/>
        <item x="817"/>
        <item x="161"/>
        <item x="389"/>
        <item x="496"/>
        <item x="178"/>
        <item x="379"/>
        <item x="544"/>
        <item x="823"/>
        <item x="657"/>
        <item x="848"/>
        <item x="342"/>
        <item x="582"/>
        <item x="543"/>
        <item x="32"/>
        <item x="391"/>
        <item x="680"/>
        <item x="768"/>
        <item x="841"/>
        <item x="198"/>
        <item x="700"/>
        <item x="587"/>
        <item x="562"/>
        <item x="293"/>
        <item x="350"/>
        <item x="682"/>
        <item x="86"/>
        <item x="480"/>
        <item x="875"/>
        <item x="22"/>
        <item x="478"/>
        <item x="479"/>
        <item x="710"/>
        <item x="795"/>
        <item x="840"/>
        <item x="428"/>
        <item x="810"/>
        <item x="852"/>
        <item x="775"/>
        <item x="427"/>
        <item x="693"/>
        <item x="353"/>
        <item x="429"/>
        <item x="423"/>
        <item x="694"/>
        <item x="426"/>
        <item x="70"/>
        <item x="246"/>
        <item x="5"/>
        <item x="223"/>
        <item x="181"/>
        <item x="535"/>
        <item x="707"/>
        <item x="447"/>
        <item x="149"/>
        <item x="731"/>
        <item x="383"/>
        <item x="780"/>
        <item x="779"/>
        <item x="526"/>
        <item x="97"/>
        <item x="403"/>
        <item x="831"/>
        <item x="204"/>
        <item x="318"/>
        <item x="185"/>
        <item x="730"/>
        <item x="475"/>
        <item x="333"/>
        <item x="151"/>
        <item x="143"/>
        <item x="33"/>
        <item x="706"/>
        <item x="777"/>
        <item x="575"/>
        <item x="651"/>
        <item x="830"/>
        <item x="83"/>
        <item x="499"/>
        <item x="531"/>
        <item x="37"/>
        <item x="169"/>
        <item x="303"/>
        <item x="670"/>
        <item x="12"/>
        <item x="400"/>
        <item x="492"/>
        <item x="195"/>
        <item x="826"/>
        <item x="341"/>
        <item x="675"/>
        <item x="141"/>
        <item x="406"/>
        <item x="463"/>
        <item x="165"/>
        <item x="346"/>
        <item x="121"/>
        <item x="408"/>
        <item x="20"/>
        <item x="335"/>
        <item x="638"/>
        <item x="175"/>
        <item x="650"/>
        <item x="712"/>
        <item x="28"/>
        <item x="441"/>
        <item x="229"/>
        <item x="317"/>
        <item x="182"/>
        <item x="224"/>
        <item x="699"/>
        <item x="150"/>
        <item x="49"/>
        <item x="653"/>
        <item x="288"/>
        <item x="483"/>
        <item x="180"/>
        <item x="199"/>
        <item x="31"/>
        <item x="319"/>
        <item x="48"/>
        <item x="816"/>
        <item x="119"/>
        <item x="302"/>
        <item x="10"/>
        <item x="299"/>
        <item x="856"/>
        <item x="104"/>
        <item x="123"/>
        <item x="321"/>
        <item x="614"/>
        <item x="75"/>
        <item x="449"/>
        <item x="184"/>
        <item x="146"/>
        <item x="137"/>
        <item x="183"/>
        <item x="354"/>
        <item x="600"/>
        <item x="290"/>
        <item x="686"/>
        <item x="106"/>
        <item x="44"/>
        <item x="238"/>
        <item x="64"/>
        <item x="472"/>
        <item x="510"/>
        <item x="16"/>
        <item x="300"/>
        <item x="782"/>
        <item x="208"/>
        <item x="30"/>
        <item x="322"/>
        <item x="533"/>
        <item x="769"/>
        <item x="793"/>
        <item x="516"/>
        <item x="540"/>
        <item x="55"/>
        <item x="377"/>
        <item x="378"/>
        <item x="471"/>
        <item x="722"/>
        <item x="641"/>
        <item x="387"/>
        <item x="385"/>
        <item x="53"/>
        <item x="721"/>
        <item x="331"/>
        <item x="620"/>
        <item x="668"/>
        <item x="778"/>
        <item x="865"/>
        <item x="393"/>
        <item x="829"/>
        <item x="47"/>
        <item x="376"/>
        <item x="125"/>
        <item x="124"/>
        <item x="166"/>
        <item x="232"/>
        <item x="282"/>
        <item x="466"/>
        <item x="579"/>
        <item x="289"/>
        <item x="493"/>
        <item x="82"/>
        <item x="112"/>
        <item x="580"/>
        <item x="555"/>
        <item x="39"/>
        <item x="337"/>
        <item x="196"/>
        <item x="257"/>
        <item x="791"/>
        <item x="444"/>
        <item x="362"/>
        <item x="235"/>
        <item x="51"/>
        <item x="205"/>
        <item x="550"/>
        <item x="242"/>
        <item x="19"/>
        <item x="8"/>
        <item x="69"/>
        <item x="245"/>
        <item x="228"/>
        <item x="320"/>
        <item x="35"/>
        <item x="103"/>
        <item x="154"/>
        <item x="430"/>
        <item x="60"/>
        <item x="659"/>
        <item x="576"/>
        <item x="29"/>
        <item x="524"/>
        <item x="564"/>
        <item x="270"/>
        <item x="440"/>
        <item x="259"/>
        <item x="167"/>
        <item x="132"/>
        <item x="454"/>
        <item x="281"/>
        <item x="45"/>
        <item x="93"/>
        <item x="621"/>
        <item x="652"/>
        <item x="685"/>
        <item x="749"/>
        <item x="127"/>
        <item x="623"/>
        <item x="297"/>
        <item x="221"/>
        <item x="420"/>
        <item x="697"/>
        <item x="611"/>
        <item x="736"/>
        <item x="805"/>
        <item x="251"/>
        <item x="72"/>
        <item x="247"/>
        <item x="81"/>
        <item x="249"/>
        <item x="824"/>
        <item x="115"/>
        <item x="873"/>
        <item x="567"/>
        <item x="108"/>
        <item x="481"/>
        <item x="52"/>
        <item x="105"/>
        <item x="847"/>
        <item x="173"/>
        <item x="26"/>
        <item x="595"/>
        <item x="662"/>
        <item x="548"/>
        <item x="864"/>
        <item x="236"/>
        <item x="636"/>
        <item x="107"/>
        <item x="752"/>
        <item x="401"/>
        <item x="266"/>
        <item x="371"/>
        <item x="720"/>
        <item x="36"/>
        <item x="802"/>
        <item x="566"/>
        <item x="818"/>
        <item x="602"/>
        <item x="465"/>
        <item x="241"/>
        <item x="268"/>
        <item x="405"/>
        <item x="615"/>
        <item x="557"/>
        <item x="264"/>
        <item x="250"/>
        <item x="201"/>
        <item x="416"/>
        <item x="704"/>
        <item x="792"/>
        <item x="96"/>
        <item x="386"/>
        <item x="216"/>
        <item x="89"/>
        <item x="113"/>
        <item x="265"/>
        <item x="76"/>
        <item x="79"/>
        <item x="464"/>
        <item x="809"/>
        <item x="311"/>
        <item x="448"/>
        <item x="222"/>
        <item x="13"/>
        <item x="519"/>
        <item x="676"/>
        <item x="233"/>
        <item x="260"/>
        <item x="256"/>
        <item x="860"/>
        <item x="399"/>
        <item x="109"/>
        <item x="484"/>
        <item x="287"/>
        <item x="172"/>
        <item x="192"/>
        <item x="95"/>
        <item x="170"/>
        <item x="304"/>
        <item x="801"/>
        <item x="370"/>
        <item x="187"/>
        <item x="11"/>
        <item x="164"/>
        <item x="25"/>
        <item x="77"/>
        <item x="21"/>
        <item x="147"/>
        <item x="556"/>
        <item x="226"/>
        <item x="138"/>
        <item x="786"/>
        <item x="157"/>
        <item x="203"/>
        <item x="482"/>
        <item x="271"/>
        <item x="476"/>
        <item x="163"/>
        <item x="38"/>
        <item x="523"/>
        <item x="622"/>
        <item x="578"/>
        <item x="617"/>
        <item x="490"/>
        <item x="740"/>
        <item x="565"/>
        <item x="419"/>
        <item x="347"/>
        <item x="477"/>
        <item x="54"/>
        <item x="467"/>
        <item x="139"/>
        <item x="640"/>
        <item x="648"/>
        <item x="521"/>
        <item x="530"/>
        <item x="626"/>
        <item x="375"/>
        <item x="546"/>
        <item x="407"/>
        <item x="431"/>
        <item x="497"/>
        <item x="857"/>
        <item x="605"/>
        <item x="751"/>
        <item x="486"/>
        <item x="433"/>
        <item x="179"/>
        <item x="559"/>
        <item x="360"/>
        <item x="735"/>
        <item x="117"/>
        <item x="658"/>
        <item x="542"/>
        <item x="310"/>
        <item x="590"/>
        <item x="286"/>
        <item x="155"/>
        <item x="252"/>
        <item x="158"/>
        <item x="677"/>
        <item x="396"/>
        <item x="737"/>
        <item x="308"/>
        <item x="610"/>
        <item x="190"/>
        <item x="140"/>
        <item x="445"/>
        <item x="27"/>
        <item x="88"/>
        <item x="168"/>
        <item x="118"/>
        <item x="262"/>
        <item x="9"/>
        <item x="394"/>
        <item x="395"/>
        <item x="231"/>
        <item x="761"/>
        <item x="819"/>
        <item x="532"/>
        <item x="460"/>
        <item x="305"/>
        <item x="409"/>
        <item x="189"/>
        <item x="592"/>
        <item x="418"/>
        <item x="355"/>
        <item x="332"/>
        <item x="90"/>
        <item x="553"/>
        <item x="133"/>
        <item x="351"/>
        <item x="116"/>
        <item x="237"/>
        <item x="669"/>
        <item x="306"/>
        <item x="344"/>
        <item x="284"/>
        <item x="596"/>
        <item x="307"/>
        <item x="717"/>
        <item x="34"/>
        <item x="718"/>
        <item x="825"/>
        <item x="647"/>
        <item x="78"/>
        <item x="695"/>
        <item x="202"/>
        <item x="461"/>
        <item x="248"/>
        <item x="361"/>
        <item x="74"/>
        <item x="339"/>
        <item x="373"/>
        <item x="234"/>
        <item x="94"/>
        <item x="134"/>
        <item x="539"/>
        <item x="174"/>
        <item x="159"/>
        <item x="494"/>
        <item x="593"/>
        <item x="788"/>
        <item x="713"/>
        <item x="601"/>
        <item x="434"/>
        <item x="558"/>
        <item x="599"/>
        <item x="485"/>
        <item x="122"/>
        <item x="487"/>
        <item x="129"/>
        <item x="807"/>
        <item x="674"/>
        <item x="850"/>
        <item x="581"/>
        <item x="456"/>
        <item x="142"/>
        <item x="632"/>
        <item x="726"/>
        <item x="509"/>
        <item x="588"/>
        <item x="508"/>
        <item x="727"/>
        <item x="489"/>
        <item x="714"/>
        <item x="678"/>
        <item x="425"/>
        <item x="148"/>
        <item x="560"/>
        <item x="100"/>
        <item x="683"/>
        <item x="24"/>
        <item x="753"/>
        <item x="120"/>
        <item x="702"/>
        <item x="649"/>
        <item x="488"/>
        <item x="73"/>
        <item x="352"/>
        <item x="507"/>
        <item x="348"/>
        <item x="689"/>
        <item x="772"/>
        <item x="789"/>
        <item x="773"/>
        <item x="569"/>
        <item x="349"/>
        <item x="705"/>
        <item x="821"/>
        <item x="135"/>
        <item x="872"/>
        <item x="765"/>
        <item x="869"/>
        <item x="764"/>
        <item x="798"/>
        <item x="690"/>
        <item x="827"/>
        <item x="23"/>
        <item x="382"/>
        <item x="46"/>
        <item x="43"/>
        <item x="597"/>
        <item x="719"/>
        <item x="131"/>
        <item x="263"/>
        <item x="392"/>
        <item x="194"/>
        <item x="589"/>
        <item x="114"/>
        <item x="561"/>
        <item x="111"/>
        <item x="613"/>
        <item x="230"/>
        <item x="631"/>
        <item x="645"/>
        <item x="738"/>
        <item x="61"/>
        <item x="65"/>
        <item x="709"/>
        <item x="254"/>
        <item x="832"/>
        <item x="568"/>
        <item x="828"/>
        <item x="871"/>
        <item x="193"/>
        <item x="624"/>
        <item x="459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7">
        <item x="11"/>
        <item x="2"/>
        <item x="15"/>
        <item x="12"/>
        <item x="16"/>
        <item x="0"/>
        <item x="1"/>
        <item x="10"/>
        <item x="14"/>
        <item x="3"/>
        <item x="7"/>
        <item x="13"/>
        <item x="9"/>
        <item x="6"/>
        <item x="4"/>
        <item x="5"/>
        <item x="8"/>
      </items>
    </pivotField>
    <pivotField axis="axisPage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Page" compact="0" outline="0" showAll="0" defaultSubtotal="0">
      <items count="61">
        <item x="28"/>
        <item x="35"/>
        <item x="54"/>
        <item x="26"/>
        <item x="55"/>
        <item x="57"/>
        <item x="13"/>
        <item x="53"/>
        <item x="44"/>
        <item x="56"/>
        <item x="37"/>
        <item x="60"/>
        <item x="48"/>
        <item x="24"/>
        <item x="52"/>
        <item x="14"/>
        <item x="16"/>
        <item x="38"/>
        <item x="36"/>
        <item x="34"/>
        <item x="2"/>
        <item x="10"/>
        <item x="40"/>
        <item x="49"/>
        <item x="58"/>
        <item x="50"/>
        <item x="23"/>
        <item x="21"/>
        <item x="9"/>
        <item x="45"/>
        <item x="32"/>
        <item x="4"/>
        <item x="41"/>
        <item x="46"/>
        <item x="27"/>
        <item x="1"/>
        <item x="59"/>
        <item x="5"/>
        <item x="22"/>
        <item x="31"/>
        <item x="30"/>
        <item x="0"/>
        <item x="18"/>
        <item x="42"/>
        <item x="33"/>
        <item x="19"/>
        <item x="47"/>
        <item x="15"/>
        <item x="11"/>
        <item x="43"/>
        <item x="7"/>
        <item x="20"/>
        <item x="25"/>
        <item x="39"/>
        <item x="51"/>
        <item x="29"/>
        <item x="6"/>
        <item x="17"/>
        <item x="12"/>
        <item x="8"/>
        <item x="3"/>
      </items>
    </pivotField>
    <pivotField compact="0" outline="0" dragToRow="0" dragToCol="0" dragToPage="0" showAll="0" defaultSubtotal="0"/>
  </pivotFields>
  <rowFields count="3">
    <field x="3"/>
    <field x="1"/>
    <field x="2"/>
  </rowFields>
  <rowItems count="268">
    <i>
      <x/>
      <x v="23"/>
      <x/>
    </i>
    <i>
      <x v="1"/>
      <x v="57"/>
      <x v="1"/>
    </i>
    <i>
      <x v="2"/>
      <x v="55"/>
      <x v="2"/>
    </i>
    <i>
      <x v="3"/>
      <x v="144"/>
      <x v="35"/>
    </i>
    <i>
      <x v="4"/>
      <x v="19"/>
      <x v="127"/>
    </i>
    <i>
      <x v="5"/>
      <x v="45"/>
      <x v="3"/>
    </i>
    <i>
      <x v="6"/>
      <x v="3"/>
      <x v="4"/>
    </i>
    <i r="1">
      <x v="11"/>
      <x v="60"/>
    </i>
    <i r="1">
      <x v="95"/>
      <x v="20"/>
    </i>
    <i>
      <x v="7"/>
      <x v="112"/>
      <x v="5"/>
    </i>
    <i>
      <x v="8"/>
      <x v="75"/>
      <x v="6"/>
    </i>
    <i>
      <x v="9"/>
      <x v="36"/>
      <x v="7"/>
    </i>
    <i>
      <x v="10"/>
      <x v="97"/>
      <x v="8"/>
    </i>
    <i>
      <x v="11"/>
      <x v="24"/>
      <x v="131"/>
    </i>
    <i>
      <x v="12"/>
      <x v="50"/>
      <x v="10"/>
    </i>
    <i>
      <x v="13"/>
      <x v="44"/>
      <x v="141"/>
    </i>
    <i r="1">
      <x v="106"/>
      <x v="51"/>
    </i>
    <i>
      <x v="14"/>
      <x v="130"/>
      <x v="98"/>
    </i>
    <i>
      <x v="15"/>
      <x v="121"/>
      <x v="114"/>
    </i>
    <i>
      <x v="16"/>
      <x v="98"/>
      <x v="11"/>
    </i>
    <i>
      <x v="17"/>
      <x v="87"/>
      <x v="55"/>
    </i>
    <i>
      <x v="18"/>
      <x v="91"/>
      <x v="12"/>
    </i>
    <i r="1">
      <x v="143"/>
      <x v="13"/>
    </i>
    <i>
      <x v="19"/>
      <x v="65"/>
      <x v="14"/>
    </i>
    <i>
      <x v="20"/>
      <x v="18"/>
      <x v="15"/>
    </i>
    <i>
      <x v="21"/>
      <x v="78"/>
      <x v="16"/>
    </i>
    <i>
      <x v="22"/>
      <x v="93"/>
      <x v="17"/>
    </i>
    <i>
      <x v="23"/>
      <x v="4"/>
      <x v="18"/>
    </i>
    <i>
      <x v="24"/>
      <x v="26"/>
      <x v="19"/>
    </i>
    <i>
      <x v="25"/>
      <x v="132"/>
      <x v="21"/>
    </i>
    <i>
      <x v="26"/>
      <x v="73"/>
      <x v="138"/>
    </i>
    <i>
      <x v="27"/>
      <x v="134"/>
      <x v="139"/>
    </i>
    <i>
      <x v="28"/>
      <x v="99"/>
      <x v="22"/>
    </i>
    <i>
      <x v="29"/>
      <x v="41"/>
      <x v="24"/>
    </i>
    <i r="1">
      <x v="188"/>
      <x v="188"/>
    </i>
    <i>
      <x v="30"/>
      <x v="10"/>
      <x v="23"/>
    </i>
    <i>
      <x v="31"/>
      <x v="109"/>
      <x v="25"/>
    </i>
    <i>
      <x v="32"/>
      <x v="119"/>
      <x v="136"/>
    </i>
    <i>
      <x v="33"/>
      <x v="81"/>
      <x v="41"/>
    </i>
    <i r="1">
      <x v="246"/>
      <x v="246"/>
    </i>
    <i>
      <x v="34"/>
      <x v="74"/>
      <x v="26"/>
    </i>
    <i>
      <x v="35"/>
      <x v="5"/>
      <x v="29"/>
    </i>
    <i>
      <x v="36"/>
      <x v="29"/>
      <x v="27"/>
    </i>
    <i>
      <x v="37"/>
      <x v="63"/>
      <x v="42"/>
    </i>
    <i>
      <x v="38"/>
      <x v="77"/>
      <x v="28"/>
    </i>
    <i>
      <x v="39"/>
      <x v="33"/>
      <x v="109"/>
    </i>
    <i>
      <x v="40"/>
      <x v="47"/>
      <x v="30"/>
    </i>
    <i>
      <x v="41"/>
      <x v="110"/>
      <x v="56"/>
    </i>
    <i>
      <x v="42"/>
      <x v="60"/>
      <x v="31"/>
    </i>
    <i>
      <x v="43"/>
      <x v="117"/>
      <x v="36"/>
    </i>
    <i>
      <x v="44"/>
      <x v="80"/>
      <x v="94"/>
    </i>
    <i>
      <x v="45"/>
      <x v="62"/>
      <x v="37"/>
    </i>
    <i r="1">
      <x v="104"/>
      <x v="44"/>
    </i>
    <i>
      <x v="46"/>
      <x v="42"/>
      <x v="38"/>
    </i>
    <i>
      <x v="47"/>
      <x v="12"/>
      <x v="39"/>
    </i>
    <i>
      <x v="48"/>
      <x v="124"/>
      <x v="143"/>
    </i>
    <i>
      <x v="49"/>
      <x v="49"/>
      <x v="79"/>
    </i>
    <i>
      <x v="50"/>
      <x v="54"/>
      <x v="137"/>
    </i>
    <i>
      <x v="51"/>
      <x v="139"/>
      <x v="45"/>
    </i>
    <i>
      <x v="52"/>
      <x v="76"/>
      <x v="80"/>
    </i>
    <i>
      <x v="53"/>
      <x v="70"/>
      <x v="46"/>
    </i>
    <i>
      <x v="54"/>
      <x v="6"/>
      <x v="47"/>
    </i>
    <i>
      <x v="55"/>
      <x v="51"/>
      <x v="48"/>
    </i>
    <i>
      <x v="56"/>
      <x v="96"/>
      <x v="81"/>
    </i>
    <i>
      <x v="57"/>
      <x v="37"/>
      <x v="49"/>
    </i>
    <i>
      <x v="58"/>
      <x v="67"/>
      <x v="50"/>
    </i>
    <i>
      <x v="59"/>
      <x v="83"/>
      <x v="110"/>
    </i>
    <i>
      <x v="60"/>
      <x v="102"/>
      <x v="32"/>
    </i>
    <i>
      <x v="61"/>
      <x v="113"/>
      <x v="132"/>
    </i>
    <i>
      <x v="62"/>
      <x v="16"/>
      <x v="52"/>
    </i>
    <i>
      <x v="63"/>
      <x v="123"/>
      <x v="99"/>
    </i>
    <i>
      <x v="64"/>
      <x v="2"/>
      <x v="57"/>
    </i>
    <i>
      <x v="65"/>
      <x v="30"/>
      <x v="58"/>
    </i>
    <i>
      <x v="66"/>
      <x v="52"/>
      <x v="59"/>
    </i>
    <i>
      <x v="67"/>
      <x v="101"/>
      <x v="33"/>
    </i>
    <i>
      <x v="68"/>
      <x v="72"/>
      <x v="53"/>
    </i>
    <i>
      <x v="69"/>
      <x v="27"/>
      <x v="61"/>
    </i>
    <i>
      <x v="70"/>
      <x v="25"/>
      <x v="62"/>
    </i>
    <i>
      <x v="71"/>
      <x v="89"/>
      <x v="63"/>
    </i>
    <i>
      <x v="72"/>
      <x v="68"/>
      <x v="64"/>
    </i>
    <i>
      <x v="73"/>
      <x v="14"/>
      <x v="65"/>
    </i>
    <i>
      <x v="74"/>
      <x v="28"/>
      <x v="66"/>
    </i>
    <i r="1">
      <x v="254"/>
      <x v="254"/>
    </i>
    <i>
      <x v="75"/>
      <x v="82"/>
      <x v="67"/>
    </i>
    <i>
      <x v="76"/>
      <x v="140"/>
      <x v="68"/>
    </i>
    <i>
      <x v="77"/>
      <x v="100"/>
      <x v="69"/>
    </i>
    <i>
      <x v="78"/>
      <x v="48"/>
      <x v="70"/>
    </i>
    <i>
      <x v="79"/>
      <x v="125"/>
      <x v="71"/>
    </i>
    <i>
      <x v="80"/>
      <x/>
      <x v="72"/>
    </i>
    <i>
      <x v="81"/>
      <x v="103"/>
      <x v="73"/>
    </i>
    <i>
      <x v="82"/>
      <x v="79"/>
      <x v="74"/>
    </i>
    <i>
      <x v="83"/>
      <x v="94"/>
      <x v="75"/>
    </i>
    <i>
      <x v="84"/>
      <x v="59"/>
      <x v="34"/>
    </i>
    <i>
      <x v="85"/>
      <x v="129"/>
      <x v="76"/>
    </i>
    <i>
      <x v="86"/>
      <x v="21"/>
      <x v="77"/>
    </i>
    <i>
      <x v="87"/>
      <x v="38"/>
      <x v="78"/>
    </i>
    <i>
      <x v="88"/>
      <x v="115"/>
      <x v="82"/>
    </i>
    <i>
      <x v="89"/>
      <x v="142"/>
      <x v="9"/>
    </i>
    <i>
      <x v="90"/>
      <x v="31"/>
      <x v="83"/>
    </i>
    <i>
      <x v="91"/>
      <x v="56"/>
      <x v="84"/>
    </i>
    <i>
      <x v="92"/>
      <x v="64"/>
      <x v="85"/>
    </i>
    <i>
      <x v="93"/>
      <x v="61"/>
      <x v="87"/>
    </i>
    <i>
      <x v="94"/>
      <x v="85"/>
      <x v="88"/>
    </i>
    <i>
      <x v="95"/>
      <x v="90"/>
      <x v="97"/>
    </i>
    <i>
      <x v="96"/>
      <x v="145"/>
      <x v="89"/>
    </i>
    <i>
      <x v="97"/>
      <x v="69"/>
      <x v="90"/>
    </i>
    <i>
      <x v="98"/>
      <x v="86"/>
      <x v="54"/>
    </i>
    <i>
      <x v="99"/>
      <x v="133"/>
      <x v="40"/>
    </i>
    <i>
      <x v="100"/>
      <x v="138"/>
      <x v="140"/>
    </i>
    <i>
      <x v="101"/>
      <x v="126"/>
      <x v="92"/>
    </i>
    <i>
      <x v="102"/>
      <x v="58"/>
      <x v="93"/>
    </i>
    <i r="1">
      <x v="92"/>
      <x v="111"/>
    </i>
    <i>
      <x v="103"/>
      <x v="39"/>
      <x v="100"/>
    </i>
    <i>
      <x v="104"/>
      <x v="1"/>
      <x v="101"/>
    </i>
    <i>
      <x v="105"/>
      <x v="88"/>
      <x v="43"/>
    </i>
    <i>
      <x v="106"/>
      <x v="9"/>
      <x v="102"/>
    </i>
    <i>
      <x v="107"/>
      <x v="131"/>
      <x v="103"/>
    </i>
    <i>
      <x v="108"/>
      <x v="118"/>
      <x v="104"/>
    </i>
    <i>
      <x v="109"/>
      <x v="13"/>
      <x v="105"/>
    </i>
    <i>
      <x v="110"/>
      <x v="71"/>
      <x v="106"/>
    </i>
    <i>
      <x v="111"/>
      <x v="22"/>
      <x v="107"/>
    </i>
    <i>
      <x v="112"/>
      <x v="107"/>
      <x v="108"/>
    </i>
    <i>
      <x v="113"/>
      <x v="34"/>
      <x v="112"/>
    </i>
    <i>
      <x v="114"/>
      <x v="84"/>
      <x v="115"/>
    </i>
    <i>
      <x v="115"/>
      <x v="7"/>
      <x v="116"/>
    </i>
    <i>
      <x v="116"/>
      <x v="53"/>
      <x v="117"/>
    </i>
    <i>
      <x v="117"/>
      <x v="122"/>
      <x v="118"/>
    </i>
    <i>
      <x v="118"/>
      <x v="43"/>
      <x v="119"/>
    </i>
    <i>
      <x v="119"/>
      <x v="15"/>
      <x v="120"/>
    </i>
    <i>
      <x v="120"/>
      <x v="135"/>
      <x v="144"/>
    </i>
    <i>
      <x v="121"/>
      <x v="40"/>
      <x v="121"/>
    </i>
    <i>
      <x v="122"/>
      <x v="120"/>
      <x v="91"/>
    </i>
    <i>
      <x v="123"/>
      <x v="46"/>
      <x v="122"/>
    </i>
    <i>
      <x v="124"/>
      <x v="137"/>
      <x v="113"/>
    </i>
    <i>
      <x v="125"/>
      <x v="17"/>
      <x v="123"/>
    </i>
    <i>
      <x v="126"/>
      <x v="141"/>
      <x v="124"/>
    </i>
    <i>
      <x v="127"/>
      <x v="108"/>
      <x v="125"/>
    </i>
    <i>
      <x v="128"/>
      <x v="114"/>
      <x v="126"/>
    </i>
    <i>
      <x v="129"/>
      <x v="127"/>
      <x v="128"/>
    </i>
    <i>
      <x v="130"/>
      <x v="8"/>
      <x v="129"/>
    </i>
    <i>
      <x v="131"/>
      <x v="66"/>
      <x v="130"/>
    </i>
    <i>
      <x v="132"/>
      <x v="35"/>
      <x v="133"/>
    </i>
    <i>
      <x v="133"/>
      <x v="20"/>
      <x v="86"/>
    </i>
    <i>
      <x v="134"/>
      <x v="136"/>
      <x v="95"/>
    </i>
    <i>
      <x v="135"/>
      <x v="116"/>
      <x v="96"/>
    </i>
    <i>
      <x v="136"/>
      <x v="32"/>
      <x v="134"/>
    </i>
    <i>
      <x v="137"/>
      <x v="128"/>
      <x v="135"/>
    </i>
    <i>
      <x v="138"/>
      <x v="111"/>
      <x v="142"/>
    </i>
    <i>
      <x v="139"/>
      <x v="105"/>
      <x v="145"/>
    </i>
    <i>
      <x v="140"/>
      <x v="146"/>
      <x v="146"/>
    </i>
    <i>
      <x v="141"/>
      <x v="147"/>
      <x v="147"/>
    </i>
    <i>
      <x v="142"/>
      <x v="148"/>
      <x v="148"/>
    </i>
    <i>
      <x v="143"/>
      <x v="149"/>
      <x v="149"/>
    </i>
    <i>
      <x v="144"/>
      <x v="150"/>
      <x v="150"/>
    </i>
    <i>
      <x v="145"/>
      <x v="151"/>
      <x v="151"/>
    </i>
    <i>
      <x v="146"/>
      <x v="152"/>
      <x v="152"/>
    </i>
    <i>
      <x v="147"/>
      <x v="153"/>
      <x v="153"/>
    </i>
    <i>
      <x v="148"/>
      <x v="154"/>
      <x v="154"/>
    </i>
    <i>
      <x v="149"/>
      <x v="155"/>
      <x v="155"/>
    </i>
    <i>
      <x v="150"/>
      <x v="156"/>
      <x v="156"/>
    </i>
    <i>
      <x v="151"/>
      <x v="157"/>
      <x v="157"/>
    </i>
    <i>
      <x v="152"/>
      <x v="158"/>
      <x v="158"/>
    </i>
    <i>
      <x v="153"/>
      <x v="159"/>
      <x v="159"/>
    </i>
    <i>
      <x v="154"/>
      <x v="160"/>
      <x v="160"/>
    </i>
    <i>
      <x v="155"/>
      <x v="161"/>
      <x v="161"/>
    </i>
    <i>
      <x v="156"/>
      <x v="162"/>
      <x v="162"/>
    </i>
    <i>
      <x v="157"/>
      <x v="163"/>
      <x v="163"/>
    </i>
    <i>
      <x v="158"/>
      <x v="164"/>
      <x v="164"/>
    </i>
    <i>
      <x v="159"/>
      <x v="165"/>
      <x v="165"/>
    </i>
    <i>
      <x v="160"/>
      <x v="166"/>
      <x v="166"/>
    </i>
    <i>
      <x v="161"/>
      <x v="167"/>
      <x v="167"/>
    </i>
    <i>
      <x v="162"/>
      <x v="168"/>
      <x v="168"/>
    </i>
    <i>
      <x v="163"/>
      <x v="169"/>
      <x v="169"/>
    </i>
    <i>
      <x v="164"/>
      <x v="170"/>
      <x v="170"/>
    </i>
    <i>
      <x v="165"/>
      <x v="171"/>
      <x v="171"/>
    </i>
    <i>
      <x v="166"/>
      <x v="172"/>
      <x v="172"/>
    </i>
    <i>
      <x v="167"/>
      <x v="173"/>
      <x v="173"/>
    </i>
    <i>
      <x v="168"/>
      <x v="174"/>
      <x v="174"/>
    </i>
    <i>
      <x v="169"/>
      <x v="175"/>
      <x v="175"/>
    </i>
    <i>
      <x v="170"/>
      <x v="176"/>
      <x v="176"/>
    </i>
    <i>
      <x v="171"/>
      <x v="177"/>
      <x v="177"/>
    </i>
    <i>
      <x v="172"/>
      <x v="178"/>
      <x v="178"/>
    </i>
    <i>
      <x v="173"/>
      <x v="179"/>
      <x v="179"/>
    </i>
    <i>
      <x v="174"/>
      <x v="180"/>
      <x v="180"/>
    </i>
    <i>
      <x v="175"/>
      <x v="181"/>
      <x v="181"/>
    </i>
    <i>
      <x v="176"/>
      <x v="182"/>
      <x v="182"/>
    </i>
    <i>
      <x v="177"/>
      <x v="183"/>
      <x v="183"/>
    </i>
    <i>
      <x v="178"/>
      <x v="184"/>
      <x v="184"/>
    </i>
    <i>
      <x v="179"/>
      <x v="185"/>
      <x v="185"/>
    </i>
    <i>
      <x v="180"/>
      <x v="186"/>
      <x v="186"/>
    </i>
    <i r="1">
      <x v="187"/>
      <x v="187"/>
    </i>
    <i>
      <x v="181"/>
      <x v="189"/>
      <x v="189"/>
    </i>
    <i>
      <x v="182"/>
      <x v="190"/>
      <x v="190"/>
    </i>
    <i>
      <x v="183"/>
      <x v="191"/>
      <x v="191"/>
    </i>
    <i>
      <x v="184"/>
      <x v="192"/>
      <x v="192"/>
    </i>
    <i>
      <x v="185"/>
      <x v="193"/>
      <x v="193"/>
    </i>
    <i>
      <x v="186"/>
      <x v="194"/>
      <x v="194"/>
    </i>
    <i>
      <x v="187"/>
      <x v="195"/>
      <x v="195"/>
    </i>
    <i>
      <x v="188"/>
      <x v="196"/>
      <x v="196"/>
    </i>
    <i>
      <x v="189"/>
      <x v="197"/>
      <x v="197"/>
    </i>
    <i>
      <x v="190"/>
      <x v="198"/>
      <x v="198"/>
    </i>
    <i>
      <x v="191"/>
      <x v="199"/>
      <x v="199"/>
    </i>
    <i>
      <x v="192"/>
      <x v="200"/>
      <x v="200"/>
    </i>
    <i>
      <x v="193"/>
      <x v="201"/>
      <x v="201"/>
    </i>
    <i>
      <x v="194"/>
      <x v="202"/>
      <x v="202"/>
    </i>
    <i>
      <x v="195"/>
      <x v="203"/>
      <x v="203"/>
    </i>
    <i>
      <x v="196"/>
      <x v="204"/>
      <x v="204"/>
    </i>
    <i>
      <x v="197"/>
      <x v="205"/>
      <x v="205"/>
    </i>
    <i>
      <x v="198"/>
      <x v="206"/>
      <x v="206"/>
    </i>
    <i>
      <x v="199"/>
      <x v="207"/>
      <x v="207"/>
    </i>
    <i>
      <x v="200"/>
      <x v="208"/>
      <x v="208"/>
    </i>
    <i>
      <x v="201"/>
      <x v="209"/>
      <x v="209"/>
    </i>
    <i>
      <x v="202"/>
      <x v="210"/>
      <x v="210"/>
    </i>
    <i r="1">
      <x v="211"/>
      <x v="211"/>
    </i>
    <i>
      <x v="203"/>
      <x v="212"/>
      <x v="212"/>
    </i>
    <i>
      <x v="204"/>
      <x v="213"/>
      <x v="213"/>
    </i>
    <i>
      <x v="205"/>
      <x v="214"/>
      <x v="214"/>
    </i>
    <i>
      <x v="206"/>
      <x v="215"/>
      <x v="215"/>
    </i>
    <i>
      <x v="207"/>
      <x v="216"/>
      <x v="216"/>
    </i>
    <i>
      <x v="208"/>
      <x v="217"/>
      <x v="217"/>
    </i>
    <i>
      <x v="209"/>
      <x v="218"/>
      <x v="218"/>
    </i>
    <i>
      <x v="210"/>
      <x v="219"/>
      <x v="219"/>
    </i>
    <i>
      <x v="211"/>
      <x v="220"/>
      <x v="220"/>
    </i>
    <i>
      <x v="212"/>
      <x v="221"/>
      <x v="221"/>
    </i>
    <i>
      <x v="213"/>
      <x v="222"/>
      <x v="222"/>
    </i>
    <i>
      <x v="214"/>
      <x v="223"/>
      <x v="223"/>
    </i>
    <i>
      <x v="215"/>
      <x v="224"/>
      <x v="224"/>
    </i>
    <i r="1">
      <x v="225"/>
      <x v="225"/>
    </i>
    <i>
      <x v="216"/>
      <x v="226"/>
      <x v="226"/>
    </i>
    <i>
      <x v="217"/>
      <x v="227"/>
      <x v="227"/>
    </i>
    <i>
      <x v="218"/>
      <x v="228"/>
      <x v="228"/>
    </i>
    <i>
      <x v="219"/>
      <x v="229"/>
      <x v="229"/>
    </i>
    <i>
      <x v="220"/>
      <x v="230"/>
      <x v="230"/>
    </i>
    <i>
      <x v="221"/>
      <x v="231"/>
      <x v="231"/>
    </i>
    <i>
      <x v="222"/>
      <x v="232"/>
      <x v="232"/>
    </i>
    <i>
      <x v="223"/>
      <x v="233"/>
      <x v="233"/>
    </i>
    <i>
      <x v="224"/>
      <x v="234"/>
      <x v="234"/>
    </i>
    <i>
      <x v="225"/>
      <x v="235"/>
      <x v="235"/>
    </i>
    <i>
      <x v="226"/>
      <x v="236"/>
      <x v="236"/>
    </i>
    <i>
      <x v="227"/>
      <x v="237"/>
      <x v="237"/>
    </i>
    <i>
      <x v="228"/>
      <x v="238"/>
      <x v="238"/>
    </i>
    <i>
      <x v="229"/>
      <x v="239"/>
      <x v="239"/>
    </i>
    <i>
      <x v="230"/>
      <x v="240"/>
      <x v="240"/>
    </i>
    <i>
      <x v="231"/>
      <x v="241"/>
      <x v="241"/>
    </i>
    <i>
      <x v="232"/>
      <x v="242"/>
      <x v="242"/>
    </i>
    <i r="1">
      <x v="243"/>
      <x v="243"/>
    </i>
    <i>
      <x v="233"/>
      <x v="244"/>
      <x v="244"/>
    </i>
    <i>
      <x v="234"/>
      <x v="245"/>
      <x v="245"/>
    </i>
    <i>
      <x v="235"/>
      <x v="247"/>
      <x v="247"/>
    </i>
    <i>
      <x v="236"/>
      <x v="248"/>
      <x v="248"/>
    </i>
    <i>
      <x v="237"/>
      <x v="249"/>
      <x v="249"/>
    </i>
    <i>
      <x v="238"/>
      <x v="250"/>
      <x v="250"/>
    </i>
    <i>
      <x v="239"/>
      <x v="251"/>
      <x v="251"/>
    </i>
    <i>
      <x v="240"/>
      <x v="252"/>
      <x v="252"/>
    </i>
    <i>
      <x v="241"/>
      <x v="253"/>
      <x v="253"/>
    </i>
    <i>
      <x v="242"/>
      <x v="255"/>
      <x v="255"/>
    </i>
    <i>
      <x v="243"/>
      <x v="256"/>
      <x v="256"/>
    </i>
    <i>
      <x v="244"/>
      <x v="257"/>
      <x v="257"/>
    </i>
    <i>
      <x v="245"/>
      <x v="258"/>
      <x v="258"/>
    </i>
    <i>
      <x v="246"/>
      <x v="259"/>
      <x v="259"/>
    </i>
    <i>
      <x v="247"/>
      <x v="260"/>
      <x v="260"/>
    </i>
    <i>
      <x v="248"/>
      <x v="261"/>
      <x v="261"/>
    </i>
    <i>
      <x v="249"/>
      <x v="262"/>
      <x v="262"/>
    </i>
    <i>
      <x v="250"/>
      <x v="263"/>
      <x v="263"/>
    </i>
    <i>
      <x v="251"/>
      <x v="264"/>
      <x v="264"/>
    </i>
    <i>
      <x v="252"/>
      <x v="265"/>
      <x v="265"/>
    </i>
    <i>
      <x v="253"/>
      <x v="266"/>
      <x v="26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7">
    <pageField fld="52" hier="-1"/>
    <pageField fld="38" hier="-1"/>
    <pageField fld="40" hier="-1"/>
    <pageField fld="10" hier="-1"/>
    <pageField fld="53" hier="-1"/>
    <pageField fld="4" hier="-1"/>
    <pageField fld="55" hier="-1"/>
  </pageFields>
  <dataFields count="5">
    <dataField name="Count of generalcontract" fld="42" subtotal="count" baseField="0" baseItem="0"/>
    <dataField name="Count of qualityappendix" fld="43" subtotal="count" baseField="0" baseItem="0"/>
    <dataField name="Count of supplychainappendix" fld="44" subtotal="count" baseField="0" baseItem="0"/>
    <dataField name="Sum of countFull" fld="46" baseField="0" baseItem="0"/>
    <dataField name="Count of countnotfull" fld="47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1:I140" firstHeaderRow="1" firstDataRow="2" firstDataCol="4" rowPageCount="7" colPageCount="1"/>
  <pivotFields count="57">
    <pivotField compact="0" outline="0" showAll="0" defaultSubtotal="0"/>
    <pivotField axis="axisRow" compact="0" outline="0" showAll="0" defaultSubtotal="0">
      <items count="267">
        <item x="153"/>
        <item x="202"/>
        <item x="124"/>
        <item x="7"/>
        <item x="34"/>
        <item x="60"/>
        <item x="101"/>
        <item x="222"/>
        <item x="247"/>
        <item x="205"/>
        <item x="52"/>
        <item x="8"/>
        <item x="85"/>
        <item x="212"/>
        <item x="143"/>
        <item x="227"/>
        <item x="121"/>
        <item x="233"/>
        <item x="28"/>
        <item x="4"/>
        <item x="257"/>
        <item x="164"/>
        <item x="214"/>
        <item x="0"/>
        <item x="13"/>
        <item x="135"/>
        <item x="37"/>
        <item x="134"/>
        <item x="144"/>
        <item x="61"/>
        <item x="125"/>
        <item x="173"/>
        <item x="262"/>
        <item x="65"/>
        <item x="218"/>
        <item x="256"/>
        <item x="11"/>
        <item x="109"/>
        <item x="166"/>
        <item x="201"/>
        <item x="229"/>
        <item x="51"/>
        <item x="83"/>
        <item x="226"/>
        <item x="16"/>
        <item x="5"/>
        <item x="231"/>
        <item x="69"/>
        <item x="149"/>
        <item x="89"/>
        <item x="14"/>
        <item x="103"/>
        <item x="128"/>
        <item x="223"/>
        <item x="91"/>
        <item x="2"/>
        <item x="174"/>
        <item x="1"/>
        <item x="198"/>
        <item x="160"/>
        <item x="71"/>
        <item x="180"/>
        <item x="80"/>
        <item x="63"/>
        <item x="176"/>
        <item x="25"/>
        <item x="253"/>
        <item x="110"/>
        <item x="142"/>
        <item x="187"/>
        <item x="100"/>
        <item x="213"/>
        <item x="133"/>
        <item x="40"/>
        <item x="59"/>
        <item x="10"/>
        <item x="97"/>
        <item x="64"/>
        <item x="30"/>
        <item x="156"/>
        <item x="77"/>
        <item x="57"/>
        <item x="146"/>
        <item x="112"/>
        <item x="221"/>
        <item x="182"/>
        <item x="189"/>
        <item x="22"/>
        <item x="203"/>
        <item x="138"/>
        <item x="185"/>
        <item x="24"/>
        <item x="199"/>
        <item x="31"/>
        <item x="157"/>
        <item x="6"/>
        <item x="107"/>
        <item x="12"/>
        <item x="19"/>
        <item x="47"/>
        <item x="148"/>
        <item x="131"/>
        <item x="114"/>
        <item x="155"/>
        <item x="79"/>
        <item x="266"/>
        <item x="15"/>
        <item x="216"/>
        <item x="236"/>
        <item x="54"/>
        <item x="70"/>
        <item x="265"/>
        <item x="9"/>
        <item x="115"/>
        <item x="239"/>
        <item x="170"/>
        <item x="260"/>
        <item x="75"/>
        <item x="211"/>
        <item x="56"/>
        <item x="230"/>
        <item x="18"/>
        <item x="225"/>
        <item x="123"/>
        <item x="87"/>
        <item x="152"/>
        <item x="194"/>
        <item x="246"/>
        <item x="263"/>
        <item x="162"/>
        <item x="17"/>
        <item x="206"/>
        <item x="38"/>
        <item x="191"/>
        <item x="46"/>
        <item x="228"/>
        <item x="258"/>
        <item x="232"/>
        <item x="193"/>
        <item x="93"/>
        <item x="147"/>
        <item x="235"/>
        <item x="171"/>
        <item x="23"/>
        <item x="3"/>
        <item x="186"/>
        <item x="20"/>
        <item x="36"/>
        <item x="39"/>
        <item x="41"/>
        <item x="43"/>
        <item x="49"/>
        <item x="53"/>
        <item x="55"/>
        <item x="66"/>
        <item x="78"/>
        <item x="82"/>
        <item x="88"/>
        <item x="90"/>
        <item x="92"/>
        <item x="95"/>
        <item x="98"/>
        <item x="120"/>
        <item x="122"/>
        <item x="129"/>
        <item x="151"/>
        <item x="165"/>
        <item x="169"/>
        <item x="172"/>
        <item x="179"/>
        <item x="197"/>
        <item x="200"/>
        <item x="207"/>
        <item x="215"/>
        <item x="224"/>
        <item x="242"/>
        <item x="243"/>
        <item x="254"/>
        <item x="264"/>
        <item x="21"/>
        <item x="26"/>
        <item x="27"/>
        <item x="29"/>
        <item x="32"/>
        <item x="33"/>
        <item x="42"/>
        <item x="44"/>
        <item x="45"/>
        <item x="50"/>
        <item x="67"/>
        <item x="68"/>
        <item x="73"/>
        <item x="81"/>
        <item x="84"/>
        <item x="86"/>
        <item x="96"/>
        <item x="99"/>
        <item x="104"/>
        <item x="105"/>
        <item x="106"/>
        <item x="108"/>
        <item x="111"/>
        <item x="113"/>
        <item x="117"/>
        <item x="126"/>
        <item x="127"/>
        <item x="130"/>
        <item x="136"/>
        <item x="140"/>
        <item x="154"/>
        <item x="158"/>
        <item x="159"/>
        <item x="167"/>
        <item x="175"/>
        <item x="183"/>
        <item x="184"/>
        <item x="188"/>
        <item x="190"/>
        <item x="192"/>
        <item x="195"/>
        <item x="204"/>
        <item x="210"/>
        <item x="220"/>
        <item x="237"/>
        <item x="240"/>
        <item x="241"/>
        <item x="244"/>
        <item x="245"/>
        <item x="248"/>
        <item x="251"/>
        <item x="252"/>
        <item x="255"/>
        <item x="259"/>
        <item x="261"/>
        <item x="35"/>
        <item x="62"/>
        <item x="72"/>
        <item x="76"/>
        <item x="94"/>
        <item x="137"/>
        <item x="141"/>
        <item x="168"/>
        <item x="177"/>
        <item x="178"/>
        <item x="234"/>
        <item x="48"/>
        <item x="58"/>
        <item x="74"/>
        <item x="102"/>
        <item x="116"/>
        <item x="118"/>
        <item x="119"/>
        <item x="132"/>
        <item x="139"/>
        <item x="145"/>
        <item x="150"/>
        <item x="161"/>
        <item x="163"/>
        <item x="181"/>
        <item x="196"/>
        <item x="208"/>
        <item x="209"/>
        <item x="217"/>
        <item x="219"/>
        <item x="238"/>
        <item x="249"/>
        <item x="250"/>
      </items>
    </pivotField>
    <pivotField axis="axisRow" compact="0" outline="0" showAll="0" defaultSubtotal="0">
      <items count="267">
        <item x="0"/>
        <item x="1"/>
        <item x="2"/>
        <item x="5"/>
        <item x="7"/>
        <item x="9"/>
        <item x="10"/>
        <item x="11"/>
        <item x="12"/>
        <item x="171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69"/>
        <item x="71"/>
        <item x="114"/>
        <item x="131"/>
        <item x="160"/>
        <item x="3"/>
        <item x="75"/>
        <item x="80"/>
        <item x="83"/>
        <item x="85"/>
        <item x="191"/>
        <item x="57"/>
        <item x="63"/>
        <item x="203"/>
        <item x="79"/>
        <item x="93"/>
        <item x="100"/>
        <item x="101"/>
        <item x="103"/>
        <item x="109"/>
        <item x="110"/>
        <item x="15"/>
        <item x="121"/>
        <item x="133"/>
        <item x="189"/>
        <item x="22"/>
        <item x="70"/>
        <item x="124"/>
        <item x="125"/>
        <item x="128"/>
        <item x="8"/>
        <item x="134"/>
        <item x="135"/>
        <item x="138"/>
        <item x="142"/>
        <item x="143"/>
        <item x="144"/>
        <item x="146"/>
        <item x="147"/>
        <item x="148"/>
        <item x="149"/>
        <item x="152"/>
        <item x="153"/>
        <item x="155"/>
        <item x="156"/>
        <item x="157"/>
        <item x="162"/>
        <item x="164"/>
        <item x="166"/>
        <item x="89"/>
        <item x="97"/>
        <item x="107"/>
        <item x="170"/>
        <item x="173"/>
        <item x="174"/>
        <item x="176"/>
        <item x="257"/>
        <item x="180"/>
        <item x="182"/>
        <item x="186"/>
        <item x="187"/>
        <item x="230"/>
        <item x="194"/>
        <item x="198"/>
        <item x="77"/>
        <item x="258"/>
        <item x="260"/>
        <item x="185"/>
        <item x="17"/>
        <item x="123"/>
        <item x="201"/>
        <item x="202"/>
        <item x="205"/>
        <item x="206"/>
        <item x="211"/>
        <item x="212"/>
        <item x="213"/>
        <item x="214"/>
        <item x="216"/>
        <item x="65"/>
        <item x="112"/>
        <item x="199"/>
        <item x="218"/>
        <item x="232"/>
        <item x="18"/>
        <item x="221"/>
        <item x="222"/>
        <item x="223"/>
        <item x="225"/>
        <item x="226"/>
        <item x="227"/>
        <item x="229"/>
        <item x="231"/>
        <item x="233"/>
        <item x="235"/>
        <item x="236"/>
        <item x="239"/>
        <item x="4"/>
        <item x="246"/>
        <item x="247"/>
        <item x="253"/>
        <item x="13"/>
        <item x="115"/>
        <item x="256"/>
        <item x="262"/>
        <item x="263"/>
        <item x="56"/>
        <item x="91"/>
        <item x="40"/>
        <item x="46"/>
        <item x="193"/>
        <item x="16"/>
        <item x="265"/>
        <item x="87"/>
        <item x="228"/>
        <item x="266"/>
        <item x="20"/>
        <item x="36"/>
        <item x="39"/>
        <item x="41"/>
        <item x="43"/>
        <item x="49"/>
        <item x="53"/>
        <item x="55"/>
        <item x="66"/>
        <item x="78"/>
        <item x="82"/>
        <item x="88"/>
        <item x="90"/>
        <item x="92"/>
        <item x="95"/>
        <item x="98"/>
        <item x="120"/>
        <item x="122"/>
        <item x="129"/>
        <item x="151"/>
        <item x="165"/>
        <item x="169"/>
        <item x="172"/>
        <item x="179"/>
        <item x="197"/>
        <item x="200"/>
        <item x="207"/>
        <item x="215"/>
        <item x="224"/>
        <item x="242"/>
        <item x="243"/>
        <item x="254"/>
        <item x="264"/>
        <item x="21"/>
        <item x="26"/>
        <item x="27"/>
        <item x="29"/>
        <item x="32"/>
        <item x="33"/>
        <item x="42"/>
        <item x="44"/>
        <item x="45"/>
        <item x="50"/>
        <item x="67"/>
        <item x="68"/>
        <item x="73"/>
        <item x="81"/>
        <item x="84"/>
        <item x="86"/>
        <item x="96"/>
        <item x="99"/>
        <item x="104"/>
        <item x="105"/>
        <item x="106"/>
        <item x="108"/>
        <item x="111"/>
        <item x="113"/>
        <item x="117"/>
        <item x="126"/>
        <item x="127"/>
        <item x="130"/>
        <item x="136"/>
        <item x="140"/>
        <item x="154"/>
        <item x="158"/>
        <item x="159"/>
        <item x="167"/>
        <item x="175"/>
        <item x="183"/>
        <item x="184"/>
        <item x="188"/>
        <item x="190"/>
        <item x="192"/>
        <item x="195"/>
        <item x="204"/>
        <item x="210"/>
        <item x="220"/>
        <item x="237"/>
        <item x="240"/>
        <item x="241"/>
        <item x="244"/>
        <item x="245"/>
        <item x="248"/>
        <item x="251"/>
        <item x="252"/>
        <item x="255"/>
        <item x="259"/>
        <item x="261"/>
        <item x="35"/>
        <item x="62"/>
        <item x="72"/>
        <item x="76"/>
        <item x="94"/>
        <item x="137"/>
        <item x="141"/>
        <item x="168"/>
        <item x="177"/>
        <item x="178"/>
        <item x="234"/>
        <item x="48"/>
        <item x="58"/>
        <item x="74"/>
        <item x="102"/>
        <item x="116"/>
        <item x="118"/>
        <item x="119"/>
        <item x="132"/>
        <item x="139"/>
        <item x="145"/>
        <item x="150"/>
        <item x="161"/>
        <item x="163"/>
        <item x="181"/>
        <item x="196"/>
        <item x="208"/>
        <item x="209"/>
        <item x="217"/>
        <item x="219"/>
        <item x="238"/>
        <item x="249"/>
        <item x="250"/>
      </items>
    </pivotField>
    <pivotField axis="axisRow" compact="0" outline="0" showAll="0" defaultSubtotal="0">
      <items count="2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58"/>
        <item x="62"/>
        <item x="63"/>
        <item x="64"/>
        <item x="68"/>
        <item x="70"/>
        <item x="72"/>
        <item x="75"/>
        <item x="77"/>
        <item x="79"/>
        <item x="81"/>
        <item x="83"/>
        <item x="85"/>
        <item x="89"/>
        <item x="92"/>
        <item x="93"/>
        <item x="95"/>
        <item x="99"/>
        <item x="101"/>
        <item x="102"/>
        <item x="104"/>
        <item x="106"/>
        <item x="107"/>
        <item x="113"/>
        <item x="115"/>
        <item x="116"/>
        <item x="117"/>
        <item x="120"/>
        <item x="123"/>
        <item x="125"/>
        <item x="126"/>
        <item x="127"/>
        <item x="130"/>
        <item x="134"/>
        <item x="135"/>
        <item x="136"/>
        <item x="137"/>
        <item x="138"/>
        <item x="139"/>
        <item x="140"/>
        <item x="143"/>
        <item x="144"/>
        <item x="146"/>
        <item x="147"/>
        <item x="148"/>
        <item x="150"/>
        <item x="152"/>
        <item x="154"/>
        <item x="156"/>
        <item x="160"/>
        <item x="161"/>
        <item x="163"/>
        <item x="164"/>
        <item x="166"/>
        <item x="169"/>
        <item x="171"/>
        <item x="174"/>
        <item x="175"/>
        <item x="176"/>
        <item x="178"/>
        <item x="180"/>
        <item x="182"/>
        <item x="183"/>
        <item x="187"/>
        <item x="189"/>
        <item x="190"/>
        <item x="191"/>
        <item x="193"/>
        <item x="194"/>
        <item x="199"/>
        <item x="200"/>
        <item x="201"/>
        <item x="202"/>
        <item x="204"/>
        <item x="206"/>
        <item x="209"/>
        <item x="210"/>
        <item x="211"/>
        <item x="213"/>
        <item x="214"/>
        <item x="215"/>
        <item x="216"/>
        <item x="217"/>
        <item x="218"/>
        <item x="219"/>
        <item x="220"/>
        <item x="221"/>
        <item x="223"/>
        <item x="224"/>
        <item x="227"/>
        <item x="233"/>
        <item x="234"/>
        <item x="240"/>
        <item x="243"/>
        <item x="244"/>
        <item x="245"/>
        <item x="247"/>
        <item x="249"/>
        <item x="250"/>
        <item x="252"/>
        <item x="253"/>
        <item x="17"/>
        <item x="32"/>
        <item x="35"/>
        <item x="37"/>
        <item x="39"/>
        <item x="44"/>
        <item x="47"/>
        <item x="49"/>
        <item x="59"/>
        <item x="71"/>
        <item x="74"/>
        <item x="80"/>
        <item x="82"/>
        <item x="84"/>
        <item x="87"/>
        <item x="90"/>
        <item x="112"/>
        <item x="114"/>
        <item x="121"/>
        <item x="142"/>
        <item x="155"/>
        <item x="159"/>
        <item x="162"/>
        <item x="168"/>
        <item x="186"/>
        <item x="188"/>
        <item x="195"/>
        <item x="203"/>
        <item x="212"/>
        <item x="229"/>
        <item x="230"/>
        <item x="241"/>
        <item x="251"/>
        <item x="18"/>
        <item x="22"/>
        <item x="23"/>
        <item x="25"/>
        <item x="28"/>
        <item x="29"/>
        <item x="38"/>
        <item x="40"/>
        <item x="60"/>
        <item x="61"/>
        <item x="66"/>
        <item x="73"/>
        <item x="76"/>
        <item x="78"/>
        <item x="88"/>
        <item x="91"/>
        <item x="96"/>
        <item x="97"/>
        <item x="98"/>
        <item x="100"/>
        <item x="103"/>
        <item x="105"/>
        <item x="109"/>
        <item x="118"/>
        <item x="119"/>
        <item x="122"/>
        <item x="128"/>
        <item x="132"/>
        <item x="145"/>
        <item x="149"/>
        <item x="157"/>
        <item x="165"/>
        <item x="172"/>
        <item x="173"/>
        <item x="177"/>
        <item x="179"/>
        <item x="181"/>
        <item x="184"/>
        <item x="192"/>
        <item x="198"/>
        <item x="208"/>
        <item x="225"/>
        <item x="228"/>
        <item x="231"/>
        <item x="232"/>
        <item x="235"/>
        <item x="238"/>
        <item x="239"/>
        <item x="242"/>
        <item x="246"/>
        <item x="248"/>
        <item x="31"/>
        <item x="55"/>
        <item x="65"/>
        <item x="69"/>
        <item x="86"/>
        <item x="129"/>
        <item x="133"/>
        <item x="158"/>
        <item x="167"/>
        <item x="222"/>
        <item x="43"/>
        <item x="67"/>
        <item x="94"/>
        <item x="108"/>
        <item x="110"/>
        <item x="111"/>
        <item x="124"/>
        <item x="131"/>
        <item x="141"/>
        <item x="151"/>
        <item x="153"/>
        <item x="170"/>
        <item x="185"/>
        <item x="196"/>
        <item x="197"/>
        <item x="205"/>
        <item x="207"/>
        <item x="226"/>
        <item x="236"/>
        <item x="237"/>
      </items>
    </pivotField>
    <pivotField axis="axisPage" compact="0" outline="0" showAll="0" defaultSubtotal="0">
      <items count="6">
        <item x="3"/>
        <item x="0"/>
        <item x="2"/>
        <item x="5"/>
        <item x="1"/>
        <item x="4"/>
      </items>
    </pivotField>
    <pivotField compact="0" outline="0" showAll="0" defaultSubtotal="0"/>
    <pivotField compact="0" outline="0" showAll="0"/>
    <pivotField compact="0" outline="0" multipleItemSelectionAllowed="1" showAll="0"/>
    <pivotField compact="0" outline="0" showAll="0"/>
    <pivotField compact="0" outline="0" showAll="0"/>
    <pivotField axis="axisPage" compact="0" numFmtId="14" outline="0" showAll="0" defaultSubtotal="0">
      <items count="883">
        <item x="272"/>
        <item x="771"/>
        <item x="534"/>
        <item x="276"/>
        <item x="868"/>
        <item x="145"/>
        <item x="200"/>
        <item x="171"/>
        <item x="274"/>
        <item x="541"/>
        <item x="799"/>
        <item x="275"/>
        <item x="41"/>
        <item x="585"/>
        <item x="742"/>
        <item x="679"/>
        <item x="126"/>
        <item x="851"/>
        <item x="215"/>
        <item x="495"/>
        <item x="404"/>
        <item x="84"/>
        <item x="279"/>
        <item x="739"/>
        <item x="609"/>
        <item x="343"/>
        <item x="191"/>
        <item x="606"/>
        <item x="654"/>
        <item x="474"/>
        <item x="854"/>
        <item x="368"/>
        <item x="570"/>
        <item x="500"/>
        <item x="876"/>
        <item x="469"/>
        <item x="206"/>
        <item x="612"/>
        <item x="692"/>
        <item x="325"/>
        <item x="417"/>
        <item x="410"/>
        <item x="255"/>
        <item x="457"/>
        <item x="6"/>
        <item x="176"/>
        <item x="4"/>
        <item x="836"/>
        <item x="837"/>
        <item x="298"/>
        <item x="846"/>
        <item x="698"/>
        <item x="574"/>
        <item x="750"/>
        <item x="691"/>
        <item x="301"/>
        <item x="770"/>
        <item x="505"/>
        <item x="243"/>
        <item x="741"/>
        <item x="15"/>
        <item x="681"/>
        <item x="812"/>
        <item x="504"/>
        <item x="329"/>
        <item x="756"/>
        <item x="388"/>
        <item x="269"/>
        <item x="315"/>
        <item x="130"/>
        <item x="716"/>
        <item x="728"/>
        <item x="607"/>
        <item x="177"/>
        <item x="515"/>
        <item x="436"/>
        <item x="711"/>
        <item x="372"/>
        <item x="820"/>
        <item x="462"/>
        <item x="98"/>
        <item x="822"/>
        <item x="715"/>
        <item x="99"/>
        <item x="498"/>
        <item x="573"/>
        <item x="520"/>
        <item x="784"/>
        <item x="552"/>
        <item x="56"/>
        <item x="644"/>
        <item x="571"/>
        <item x="767"/>
        <item x="424"/>
        <item x="57"/>
        <item x="703"/>
        <item x="629"/>
        <item x="453"/>
        <item x="455"/>
        <item x="356"/>
        <item x="338"/>
        <item x="58"/>
        <item x="839"/>
        <item x="273"/>
        <item x="437"/>
        <item x="625"/>
        <item x="468"/>
        <item x="598"/>
        <item x="92"/>
        <item x="384"/>
        <item x="473"/>
        <item x="616"/>
        <item x="811"/>
        <item x="808"/>
        <item x="422"/>
        <item x="443"/>
        <item x="879"/>
        <item x="328"/>
        <item x="874"/>
        <item x="833"/>
        <item x="870"/>
        <item x="838"/>
        <item x="291"/>
        <item x="506"/>
        <item x="402"/>
        <item x="867"/>
        <item x="774"/>
        <item x="835"/>
        <item x="655"/>
        <item x="398"/>
        <item x="327"/>
        <item x="261"/>
        <item x="781"/>
        <item x="503"/>
        <item x="188"/>
        <item x="42"/>
        <item x="635"/>
        <item x="673"/>
        <item x="724"/>
        <item x="0"/>
        <item x="643"/>
        <item x="604"/>
        <item x="40"/>
        <item x="708"/>
        <item x="160"/>
        <item x="412"/>
        <item x="380"/>
        <item x="787"/>
        <item x="880"/>
        <item x="217"/>
        <item x="783"/>
        <item x="563"/>
        <item x="863"/>
        <item x="549"/>
        <item x="858"/>
        <item x="859"/>
        <item x="743"/>
        <item x="586"/>
        <item x="547"/>
        <item x="538"/>
        <item x="619"/>
        <item x="577"/>
        <item x="152"/>
        <item x="671"/>
        <item x="672"/>
        <item x="414"/>
        <item x="790"/>
        <item x="646"/>
        <item x="591"/>
        <item x="862"/>
        <item x="240"/>
        <item x="413"/>
        <item x="861"/>
        <item x="815"/>
        <item x="312"/>
        <item x="537"/>
        <item x="452"/>
        <item x="572"/>
        <item x="432"/>
        <item x="881"/>
        <item x="734"/>
        <item x="551"/>
        <item x="747"/>
        <item x="197"/>
        <item x="359"/>
        <item x="806"/>
        <item x="451"/>
        <item x="627"/>
        <item x="357"/>
        <item x="554"/>
        <item x="438"/>
        <item x="91"/>
        <item x="239"/>
        <item x="688"/>
        <item x="450"/>
        <item x="358"/>
        <item x="664"/>
        <item x="253"/>
        <item x="280"/>
        <item x="62"/>
        <item x="7"/>
        <item x="381"/>
        <item x="363"/>
        <item x="59"/>
        <item x="80"/>
        <item x="225"/>
        <item x="511"/>
        <item x="316"/>
        <item x="345"/>
        <item x="584"/>
        <item x="421"/>
        <item x="618"/>
        <item x="603"/>
        <item x="696"/>
        <item x="665"/>
        <item x="661"/>
        <item x="594"/>
        <item x="324"/>
        <item x="278"/>
        <item x="210"/>
        <item x="219"/>
        <item x="3"/>
        <item x="267"/>
        <item x="2"/>
        <item x="334"/>
        <item x="642"/>
        <item x="101"/>
        <item x="583"/>
        <item x="218"/>
        <item x="725"/>
        <item x="326"/>
        <item x="628"/>
        <item x="522"/>
        <item x="68"/>
        <item x="110"/>
        <item x="813"/>
        <item x="660"/>
        <item x="277"/>
        <item x="518"/>
        <item x="50"/>
        <item x="186"/>
        <item x="397"/>
        <item x="757"/>
        <item x="800"/>
        <item x="733"/>
        <item x="85"/>
        <item x="411"/>
        <item x="144"/>
        <item x="762"/>
        <item x="853"/>
        <item x="744"/>
        <item x="608"/>
        <item x="882"/>
        <item x="723"/>
        <item x="855"/>
        <item x="435"/>
        <item x="803"/>
        <item x="207"/>
        <item x="211"/>
        <item x="529"/>
        <item x="746"/>
        <item x="834"/>
        <item x="285"/>
        <item x="527"/>
        <item x="491"/>
        <item x="528"/>
        <item x="849"/>
        <item x="294"/>
        <item x="309"/>
        <item x="258"/>
        <item x="536"/>
        <item x="745"/>
        <item x="336"/>
        <item x="758"/>
        <item x="446"/>
        <item x="1"/>
        <item x="785"/>
        <item x="367"/>
        <item x="748"/>
        <item x="804"/>
        <item x="296"/>
        <item x="330"/>
        <item x="630"/>
        <item x="14"/>
        <item x="701"/>
        <item x="292"/>
        <item x="866"/>
        <item x="213"/>
        <item x="729"/>
        <item x="365"/>
        <item x="656"/>
        <item x="136"/>
        <item x="755"/>
        <item x="666"/>
        <item x="153"/>
        <item x="244"/>
        <item x="102"/>
        <item x="364"/>
        <item x="439"/>
        <item x="156"/>
        <item x="374"/>
        <item x="390"/>
        <item x="687"/>
        <item x="796"/>
        <item x="845"/>
        <item x="501"/>
        <item x="340"/>
        <item x="684"/>
        <item x="525"/>
        <item x="220"/>
        <item x="209"/>
        <item x="759"/>
        <item x="878"/>
        <item x="667"/>
        <item x="313"/>
        <item x="633"/>
        <item x="458"/>
        <item x="415"/>
        <item x="18"/>
        <item x="877"/>
        <item x="470"/>
        <item x="634"/>
        <item x="844"/>
        <item x="283"/>
        <item x="766"/>
        <item x="637"/>
        <item x="71"/>
        <item x="67"/>
        <item x="842"/>
        <item x="843"/>
        <item x="323"/>
        <item x="814"/>
        <item x="763"/>
        <item x="214"/>
        <item x="63"/>
        <item x="314"/>
        <item x="760"/>
        <item x="794"/>
        <item x="66"/>
        <item x="517"/>
        <item x="514"/>
        <item x="128"/>
        <item x="17"/>
        <item x="754"/>
        <item x="87"/>
        <item x="502"/>
        <item x="639"/>
        <item x="227"/>
        <item x="212"/>
        <item x="442"/>
        <item x="366"/>
        <item x="732"/>
        <item x="545"/>
        <item x="295"/>
        <item x="797"/>
        <item x="663"/>
        <item x="512"/>
        <item x="162"/>
        <item x="369"/>
        <item x="513"/>
        <item x="776"/>
        <item x="817"/>
        <item x="161"/>
        <item x="389"/>
        <item x="496"/>
        <item x="178"/>
        <item x="379"/>
        <item x="544"/>
        <item x="823"/>
        <item x="657"/>
        <item x="848"/>
        <item x="342"/>
        <item x="582"/>
        <item x="543"/>
        <item x="32"/>
        <item x="391"/>
        <item x="680"/>
        <item x="768"/>
        <item x="841"/>
        <item x="198"/>
        <item x="700"/>
        <item x="587"/>
        <item x="562"/>
        <item x="293"/>
        <item x="350"/>
        <item x="682"/>
        <item x="86"/>
        <item x="480"/>
        <item x="875"/>
        <item x="22"/>
        <item x="478"/>
        <item x="479"/>
        <item x="710"/>
        <item x="795"/>
        <item x="840"/>
        <item x="428"/>
        <item x="810"/>
        <item x="852"/>
        <item x="775"/>
        <item x="427"/>
        <item x="693"/>
        <item x="353"/>
        <item x="429"/>
        <item x="423"/>
        <item x="694"/>
        <item x="426"/>
        <item x="70"/>
        <item x="246"/>
        <item x="5"/>
        <item x="223"/>
        <item x="181"/>
        <item x="535"/>
        <item x="707"/>
        <item x="447"/>
        <item x="149"/>
        <item x="731"/>
        <item x="383"/>
        <item x="780"/>
        <item x="779"/>
        <item x="526"/>
        <item x="97"/>
        <item x="403"/>
        <item x="831"/>
        <item x="204"/>
        <item x="318"/>
        <item x="185"/>
        <item x="730"/>
        <item x="475"/>
        <item x="333"/>
        <item x="151"/>
        <item x="143"/>
        <item x="33"/>
        <item x="706"/>
        <item x="777"/>
        <item x="575"/>
        <item x="651"/>
        <item x="830"/>
        <item x="83"/>
        <item x="499"/>
        <item x="531"/>
        <item x="37"/>
        <item x="169"/>
        <item x="303"/>
        <item x="670"/>
        <item x="12"/>
        <item x="400"/>
        <item x="492"/>
        <item x="195"/>
        <item x="826"/>
        <item x="341"/>
        <item x="675"/>
        <item x="141"/>
        <item x="406"/>
        <item x="463"/>
        <item x="165"/>
        <item x="346"/>
        <item x="121"/>
        <item x="408"/>
        <item x="20"/>
        <item x="335"/>
        <item x="638"/>
        <item x="175"/>
        <item x="650"/>
        <item x="712"/>
        <item x="28"/>
        <item x="441"/>
        <item x="229"/>
        <item x="317"/>
        <item x="182"/>
        <item x="224"/>
        <item x="699"/>
        <item x="150"/>
        <item x="49"/>
        <item x="653"/>
        <item x="288"/>
        <item x="483"/>
        <item x="180"/>
        <item x="199"/>
        <item x="31"/>
        <item x="319"/>
        <item x="48"/>
        <item x="816"/>
        <item x="119"/>
        <item x="302"/>
        <item x="10"/>
        <item x="299"/>
        <item x="856"/>
        <item x="104"/>
        <item x="123"/>
        <item x="321"/>
        <item x="614"/>
        <item x="75"/>
        <item x="449"/>
        <item x="184"/>
        <item x="146"/>
        <item x="137"/>
        <item x="183"/>
        <item x="354"/>
        <item x="600"/>
        <item x="290"/>
        <item x="686"/>
        <item x="106"/>
        <item x="44"/>
        <item x="238"/>
        <item x="64"/>
        <item x="472"/>
        <item x="510"/>
        <item x="16"/>
        <item x="300"/>
        <item x="782"/>
        <item x="208"/>
        <item x="30"/>
        <item x="322"/>
        <item x="533"/>
        <item x="769"/>
        <item x="793"/>
        <item x="516"/>
        <item x="540"/>
        <item x="55"/>
        <item x="377"/>
        <item x="378"/>
        <item x="471"/>
        <item x="722"/>
        <item x="641"/>
        <item x="387"/>
        <item x="385"/>
        <item x="53"/>
        <item x="721"/>
        <item x="331"/>
        <item x="620"/>
        <item x="668"/>
        <item x="778"/>
        <item x="865"/>
        <item x="393"/>
        <item x="829"/>
        <item x="47"/>
        <item x="376"/>
        <item x="125"/>
        <item x="124"/>
        <item x="166"/>
        <item x="232"/>
        <item x="282"/>
        <item x="466"/>
        <item x="579"/>
        <item x="289"/>
        <item x="493"/>
        <item x="82"/>
        <item x="112"/>
        <item x="580"/>
        <item x="555"/>
        <item x="39"/>
        <item x="337"/>
        <item x="196"/>
        <item x="257"/>
        <item x="791"/>
        <item x="444"/>
        <item x="362"/>
        <item x="235"/>
        <item x="51"/>
        <item x="205"/>
        <item x="550"/>
        <item x="242"/>
        <item x="19"/>
        <item x="8"/>
        <item x="69"/>
        <item x="245"/>
        <item x="228"/>
        <item x="320"/>
        <item x="35"/>
        <item x="103"/>
        <item x="154"/>
        <item x="430"/>
        <item x="60"/>
        <item x="659"/>
        <item x="576"/>
        <item x="29"/>
        <item x="524"/>
        <item x="564"/>
        <item x="270"/>
        <item x="440"/>
        <item x="259"/>
        <item x="167"/>
        <item x="132"/>
        <item x="454"/>
        <item x="281"/>
        <item x="45"/>
        <item x="93"/>
        <item x="621"/>
        <item x="652"/>
        <item x="685"/>
        <item x="749"/>
        <item x="127"/>
        <item x="623"/>
        <item x="297"/>
        <item x="221"/>
        <item x="420"/>
        <item x="697"/>
        <item x="611"/>
        <item x="736"/>
        <item x="805"/>
        <item x="251"/>
        <item x="72"/>
        <item x="247"/>
        <item x="81"/>
        <item x="249"/>
        <item x="824"/>
        <item x="115"/>
        <item x="873"/>
        <item x="567"/>
        <item x="108"/>
        <item x="481"/>
        <item x="52"/>
        <item x="105"/>
        <item x="847"/>
        <item x="173"/>
        <item x="26"/>
        <item x="595"/>
        <item x="662"/>
        <item x="548"/>
        <item x="864"/>
        <item x="236"/>
        <item x="636"/>
        <item x="107"/>
        <item x="752"/>
        <item x="401"/>
        <item x="266"/>
        <item x="371"/>
        <item x="720"/>
        <item x="36"/>
        <item x="802"/>
        <item x="566"/>
        <item x="818"/>
        <item x="602"/>
        <item x="465"/>
        <item x="241"/>
        <item x="268"/>
        <item x="405"/>
        <item x="615"/>
        <item x="557"/>
        <item x="264"/>
        <item x="250"/>
        <item x="201"/>
        <item x="416"/>
        <item x="704"/>
        <item x="792"/>
        <item x="96"/>
        <item x="386"/>
        <item x="216"/>
        <item x="89"/>
        <item x="113"/>
        <item x="265"/>
        <item x="76"/>
        <item x="79"/>
        <item x="464"/>
        <item x="809"/>
        <item x="311"/>
        <item x="448"/>
        <item x="222"/>
        <item x="13"/>
        <item x="519"/>
        <item x="676"/>
        <item x="233"/>
        <item x="260"/>
        <item x="256"/>
        <item x="860"/>
        <item x="399"/>
        <item x="109"/>
        <item x="484"/>
        <item x="287"/>
        <item x="172"/>
        <item x="192"/>
        <item x="95"/>
        <item x="170"/>
        <item x="304"/>
        <item x="801"/>
        <item x="370"/>
        <item x="187"/>
        <item x="11"/>
        <item x="164"/>
        <item x="25"/>
        <item x="77"/>
        <item x="21"/>
        <item x="147"/>
        <item x="556"/>
        <item x="226"/>
        <item x="138"/>
        <item x="786"/>
        <item x="157"/>
        <item x="203"/>
        <item x="482"/>
        <item x="271"/>
        <item x="476"/>
        <item x="163"/>
        <item x="38"/>
        <item x="523"/>
        <item x="622"/>
        <item x="578"/>
        <item x="617"/>
        <item x="490"/>
        <item x="740"/>
        <item x="565"/>
        <item x="419"/>
        <item x="347"/>
        <item x="477"/>
        <item x="54"/>
        <item x="467"/>
        <item x="139"/>
        <item x="640"/>
        <item x="648"/>
        <item x="521"/>
        <item x="530"/>
        <item x="626"/>
        <item x="375"/>
        <item x="546"/>
        <item x="407"/>
        <item x="431"/>
        <item x="497"/>
        <item x="857"/>
        <item x="605"/>
        <item x="751"/>
        <item x="486"/>
        <item x="433"/>
        <item x="179"/>
        <item x="559"/>
        <item x="360"/>
        <item x="735"/>
        <item x="117"/>
        <item x="658"/>
        <item x="542"/>
        <item x="310"/>
        <item x="590"/>
        <item x="286"/>
        <item x="155"/>
        <item x="252"/>
        <item x="158"/>
        <item x="677"/>
        <item x="396"/>
        <item x="737"/>
        <item x="308"/>
        <item x="610"/>
        <item x="190"/>
        <item x="140"/>
        <item x="445"/>
        <item x="27"/>
        <item x="88"/>
        <item x="168"/>
        <item x="118"/>
        <item x="262"/>
        <item x="9"/>
        <item x="394"/>
        <item x="395"/>
        <item x="231"/>
        <item x="761"/>
        <item x="819"/>
        <item x="532"/>
        <item x="460"/>
        <item x="305"/>
        <item x="409"/>
        <item x="189"/>
        <item x="592"/>
        <item x="418"/>
        <item x="355"/>
        <item x="332"/>
        <item x="90"/>
        <item x="553"/>
        <item x="133"/>
        <item x="351"/>
        <item x="116"/>
        <item x="237"/>
        <item x="669"/>
        <item x="306"/>
        <item x="344"/>
        <item x="284"/>
        <item x="596"/>
        <item x="307"/>
        <item x="717"/>
        <item x="34"/>
        <item x="718"/>
        <item x="825"/>
        <item x="647"/>
        <item x="78"/>
        <item x="695"/>
        <item x="202"/>
        <item x="461"/>
        <item x="248"/>
        <item x="361"/>
        <item x="74"/>
        <item x="339"/>
        <item x="373"/>
        <item x="234"/>
        <item x="94"/>
        <item x="134"/>
        <item x="539"/>
        <item x="174"/>
        <item x="159"/>
        <item x="494"/>
        <item x="593"/>
        <item x="788"/>
        <item x="713"/>
        <item x="601"/>
        <item x="434"/>
        <item x="558"/>
        <item x="599"/>
        <item x="485"/>
        <item x="122"/>
        <item x="487"/>
        <item x="129"/>
        <item x="807"/>
        <item x="674"/>
        <item x="850"/>
        <item x="581"/>
        <item x="456"/>
        <item x="142"/>
        <item x="632"/>
        <item x="726"/>
        <item x="509"/>
        <item x="588"/>
        <item x="508"/>
        <item x="727"/>
        <item x="489"/>
        <item x="714"/>
        <item x="678"/>
        <item x="425"/>
        <item x="148"/>
        <item x="560"/>
        <item x="100"/>
        <item x="683"/>
        <item x="24"/>
        <item x="753"/>
        <item x="120"/>
        <item x="702"/>
        <item x="649"/>
        <item x="488"/>
        <item x="73"/>
        <item x="352"/>
        <item x="507"/>
        <item x="348"/>
        <item x="689"/>
        <item x="772"/>
        <item x="789"/>
        <item x="773"/>
        <item x="569"/>
        <item x="349"/>
        <item x="705"/>
        <item x="821"/>
        <item x="135"/>
        <item x="872"/>
        <item x="765"/>
        <item x="869"/>
        <item x="764"/>
        <item x="798"/>
        <item x="690"/>
        <item x="827"/>
        <item x="23"/>
        <item x="382"/>
        <item x="46"/>
        <item x="43"/>
        <item x="597"/>
        <item x="719"/>
        <item x="131"/>
        <item x="263"/>
        <item x="392"/>
        <item x="194"/>
        <item x="589"/>
        <item x="114"/>
        <item x="561"/>
        <item x="111"/>
        <item x="613"/>
        <item x="230"/>
        <item x="631"/>
        <item x="645"/>
        <item x="738"/>
        <item x="61"/>
        <item x="65"/>
        <item x="709"/>
        <item x="254"/>
        <item x="832"/>
        <item x="568"/>
        <item x="828"/>
        <item x="871"/>
        <item x="193"/>
        <item x="624"/>
        <item x="459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axis="axisRow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17">
        <item h="1" x="11"/>
        <item h="1" x="2"/>
        <item h="1" x="15"/>
        <item h="1" x="12"/>
        <item h="1" x="16"/>
        <item x="0"/>
        <item x="1"/>
        <item x="10"/>
        <item x="14"/>
        <item x="3"/>
        <item x="7"/>
        <item x="13"/>
        <item x="9"/>
        <item x="6"/>
        <item x="4"/>
        <item x="5"/>
        <item h="1" x="8"/>
      </items>
    </pivotField>
    <pivotField axis="axisPage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Page" compact="0" outline="0" showAll="0" defaultSubtotal="0">
      <items count="61">
        <item x="28"/>
        <item x="35"/>
        <item x="54"/>
        <item x="26"/>
        <item x="55"/>
        <item x="57"/>
        <item x="13"/>
        <item x="53"/>
        <item x="44"/>
        <item x="56"/>
        <item x="37"/>
        <item x="60"/>
        <item x="48"/>
        <item x="24"/>
        <item x="52"/>
        <item x="14"/>
        <item x="16"/>
        <item x="38"/>
        <item x="36"/>
        <item x="34"/>
        <item x="2"/>
        <item x="10"/>
        <item x="40"/>
        <item x="49"/>
        <item x="58"/>
        <item x="50"/>
        <item x="23"/>
        <item x="21"/>
        <item x="9"/>
        <item x="45"/>
        <item x="32"/>
        <item x="4"/>
        <item x="41"/>
        <item x="46"/>
        <item x="27"/>
        <item x="1"/>
        <item x="59"/>
        <item x="5"/>
        <item x="22"/>
        <item x="31"/>
        <item x="30"/>
        <item x="0"/>
        <item x="18"/>
        <item x="42"/>
        <item x="33"/>
        <item x="19"/>
        <item x="47"/>
        <item x="15"/>
        <item x="11"/>
        <item x="43"/>
        <item x="7"/>
        <item x="20"/>
        <item x="25"/>
        <item x="39"/>
        <item x="51"/>
        <item x="29"/>
        <item x="6"/>
        <item x="17"/>
        <item x="12"/>
        <item x="8"/>
        <item x="3"/>
      </items>
    </pivotField>
    <pivotField compact="0" outline="0" dragToRow="0" dragToCol="0" dragToPage="0" showAll="0" defaultSubtotal="0"/>
  </pivotFields>
  <rowFields count="4">
    <field x="39"/>
    <field x="3"/>
    <field x="1"/>
    <field x="2"/>
  </rowFields>
  <rowItems count="128">
    <i>
      <x/>
      <x v="4"/>
      <x v="19"/>
      <x v="127"/>
    </i>
    <i r="1">
      <x v="5"/>
      <x v="45"/>
      <x v="3"/>
    </i>
    <i r="1">
      <x v="6"/>
      <x v="3"/>
      <x v="4"/>
    </i>
    <i r="2">
      <x v="11"/>
      <x v="60"/>
    </i>
    <i r="2">
      <x v="95"/>
      <x v="20"/>
    </i>
    <i r="1">
      <x v="39"/>
      <x v="33"/>
      <x v="109"/>
    </i>
    <i r="1">
      <x v="53"/>
      <x v="70"/>
      <x v="46"/>
    </i>
    <i r="1">
      <x v="55"/>
      <x v="51"/>
      <x v="48"/>
    </i>
    <i r="1">
      <x v="69"/>
      <x v="27"/>
      <x v="61"/>
    </i>
    <i r="1">
      <x v="74"/>
      <x v="28"/>
      <x v="66"/>
    </i>
    <i r="2">
      <x v="254"/>
      <x v="254"/>
    </i>
    <i r="1">
      <x v="86"/>
      <x v="21"/>
      <x v="77"/>
    </i>
    <i r="1">
      <x v="104"/>
      <x v="1"/>
      <x v="101"/>
    </i>
    <i r="1">
      <x v="110"/>
      <x v="71"/>
      <x v="106"/>
    </i>
    <i r="1">
      <x v="149"/>
      <x v="155"/>
      <x v="155"/>
    </i>
    <i r="1">
      <x v="159"/>
      <x v="165"/>
      <x v="165"/>
    </i>
    <i r="1">
      <x v="213"/>
      <x v="222"/>
      <x v="222"/>
    </i>
    <i r="1">
      <x v="230"/>
      <x v="240"/>
      <x v="240"/>
    </i>
    <i r="1">
      <x v="232"/>
      <x v="242"/>
      <x v="242"/>
    </i>
    <i r="2">
      <x v="243"/>
      <x v="243"/>
    </i>
    <i r="1">
      <x v="243"/>
      <x v="256"/>
      <x v="256"/>
    </i>
    <i r="1">
      <x v="247"/>
      <x v="260"/>
      <x v="260"/>
    </i>
    <i r="1">
      <x v="250"/>
      <x v="263"/>
      <x v="263"/>
    </i>
    <i t="default">
      <x/>
    </i>
    <i>
      <x v="1"/>
      <x v="26"/>
      <x v="73"/>
      <x v="138"/>
    </i>
    <i r="1">
      <x v="62"/>
      <x v="16"/>
      <x v="52"/>
    </i>
    <i r="1">
      <x v="66"/>
      <x v="52"/>
      <x v="59"/>
    </i>
    <i r="1">
      <x v="78"/>
      <x v="48"/>
      <x v="70"/>
    </i>
    <i r="1">
      <x v="80"/>
      <x/>
      <x v="72"/>
    </i>
    <i r="1">
      <x v="83"/>
      <x v="94"/>
      <x v="75"/>
    </i>
    <i r="1">
      <x v="87"/>
      <x v="38"/>
      <x v="78"/>
    </i>
    <i r="1">
      <x v="95"/>
      <x v="90"/>
      <x v="97"/>
    </i>
    <i r="1">
      <x v="97"/>
      <x v="69"/>
      <x v="90"/>
    </i>
    <i r="1">
      <x v="128"/>
      <x v="114"/>
      <x v="126"/>
    </i>
    <i r="1">
      <x v="130"/>
      <x v="8"/>
      <x v="129"/>
    </i>
    <i r="1">
      <x v="136"/>
      <x v="32"/>
      <x v="134"/>
    </i>
    <i r="1">
      <x v="138"/>
      <x v="111"/>
      <x v="142"/>
    </i>
    <i r="1">
      <x v="236"/>
      <x v="248"/>
      <x v="248"/>
    </i>
    <i r="1">
      <x v="240"/>
      <x v="252"/>
      <x v="252"/>
    </i>
    <i r="1">
      <x v="252"/>
      <x v="265"/>
      <x v="265"/>
    </i>
    <i t="default">
      <x v="1"/>
    </i>
    <i>
      <x v="2"/>
      <x v="89"/>
      <x v="142"/>
      <x v="9"/>
    </i>
    <i r="1">
      <x v="102"/>
      <x v="58"/>
      <x v="93"/>
    </i>
    <i r="2">
      <x v="92"/>
      <x v="111"/>
    </i>
    <i r="1">
      <x v="117"/>
      <x v="122"/>
      <x v="118"/>
    </i>
    <i r="1">
      <x v="120"/>
      <x v="135"/>
      <x v="144"/>
    </i>
    <i r="1">
      <x v="122"/>
      <x v="120"/>
      <x v="91"/>
    </i>
    <i r="1">
      <x v="137"/>
      <x v="128"/>
      <x v="135"/>
    </i>
    <i r="1">
      <x v="241"/>
      <x v="253"/>
      <x v="253"/>
    </i>
    <i r="1">
      <x v="253"/>
      <x v="266"/>
      <x v="266"/>
    </i>
    <i t="default">
      <x v="2"/>
    </i>
    <i>
      <x v="3"/>
      <x v="40"/>
      <x v="47"/>
      <x v="30"/>
    </i>
    <i r="1">
      <x v="42"/>
      <x v="60"/>
      <x v="31"/>
    </i>
    <i r="1">
      <x v="121"/>
      <x v="40"/>
      <x v="121"/>
    </i>
    <i r="1">
      <x v="125"/>
      <x v="17"/>
      <x v="123"/>
    </i>
    <i r="1">
      <x v="150"/>
      <x v="156"/>
      <x v="156"/>
    </i>
    <i t="default">
      <x v="3"/>
    </i>
    <i>
      <x v="4"/>
      <x/>
      <x v="23"/>
      <x/>
    </i>
    <i r="1">
      <x v="1"/>
      <x v="57"/>
      <x v="1"/>
    </i>
    <i r="1">
      <x v="3"/>
      <x v="144"/>
      <x v="35"/>
    </i>
    <i r="1">
      <x v="12"/>
      <x v="50"/>
      <x v="10"/>
    </i>
    <i r="1">
      <x v="13"/>
      <x v="44"/>
      <x v="141"/>
    </i>
    <i r="2">
      <x v="106"/>
      <x v="51"/>
    </i>
    <i r="1">
      <x v="19"/>
      <x v="65"/>
      <x v="14"/>
    </i>
    <i r="1">
      <x v="23"/>
      <x v="4"/>
      <x v="18"/>
    </i>
    <i r="1">
      <x v="25"/>
      <x v="132"/>
      <x v="21"/>
    </i>
    <i r="1">
      <x v="33"/>
      <x v="81"/>
      <x v="41"/>
    </i>
    <i r="2">
      <x v="246"/>
      <x v="246"/>
    </i>
    <i r="1">
      <x v="35"/>
      <x v="5"/>
      <x v="29"/>
    </i>
    <i r="1">
      <x v="36"/>
      <x v="29"/>
      <x v="27"/>
    </i>
    <i r="1">
      <x v="37"/>
      <x v="63"/>
      <x v="42"/>
    </i>
    <i r="1">
      <x v="38"/>
      <x v="77"/>
      <x v="28"/>
    </i>
    <i r="1">
      <x v="45"/>
      <x v="62"/>
      <x v="37"/>
    </i>
    <i r="2">
      <x v="104"/>
      <x v="44"/>
    </i>
    <i r="1">
      <x v="48"/>
      <x v="124"/>
      <x v="143"/>
    </i>
    <i r="1">
      <x v="50"/>
      <x v="54"/>
      <x v="137"/>
    </i>
    <i r="1">
      <x v="51"/>
      <x v="139"/>
      <x v="45"/>
    </i>
    <i r="1">
      <x v="56"/>
      <x v="96"/>
      <x v="81"/>
    </i>
    <i r="1">
      <x v="57"/>
      <x v="37"/>
      <x v="49"/>
    </i>
    <i r="1">
      <x v="60"/>
      <x v="102"/>
      <x v="32"/>
    </i>
    <i r="1">
      <x v="65"/>
      <x v="30"/>
      <x v="58"/>
    </i>
    <i r="1">
      <x v="71"/>
      <x v="89"/>
      <x v="63"/>
    </i>
    <i r="1">
      <x v="73"/>
      <x v="14"/>
      <x v="65"/>
    </i>
    <i r="1">
      <x v="77"/>
      <x v="100"/>
      <x v="69"/>
    </i>
    <i r="1">
      <x v="79"/>
      <x v="125"/>
      <x v="71"/>
    </i>
    <i r="1">
      <x v="84"/>
      <x v="59"/>
      <x v="34"/>
    </i>
    <i r="1">
      <x v="90"/>
      <x v="31"/>
      <x v="83"/>
    </i>
    <i r="1">
      <x v="98"/>
      <x v="86"/>
      <x v="54"/>
    </i>
    <i r="1">
      <x v="105"/>
      <x v="88"/>
      <x v="43"/>
    </i>
    <i r="1">
      <x v="108"/>
      <x v="118"/>
      <x v="104"/>
    </i>
    <i r="1">
      <x v="124"/>
      <x v="137"/>
      <x v="113"/>
    </i>
    <i r="1">
      <x v="129"/>
      <x v="127"/>
      <x v="128"/>
    </i>
    <i r="1">
      <x v="131"/>
      <x v="66"/>
      <x v="130"/>
    </i>
    <i r="1">
      <x v="132"/>
      <x v="35"/>
      <x v="133"/>
    </i>
    <i r="1">
      <x v="133"/>
      <x v="20"/>
      <x v="86"/>
    </i>
    <i r="1">
      <x v="142"/>
      <x v="148"/>
      <x v="148"/>
    </i>
    <i r="1">
      <x v="146"/>
      <x v="152"/>
      <x v="152"/>
    </i>
    <i r="1">
      <x v="153"/>
      <x v="159"/>
      <x v="159"/>
    </i>
    <i r="1">
      <x v="155"/>
      <x v="161"/>
      <x v="161"/>
    </i>
    <i r="1">
      <x v="157"/>
      <x v="163"/>
      <x v="163"/>
    </i>
    <i r="1">
      <x v="161"/>
      <x v="167"/>
      <x v="167"/>
    </i>
    <i r="1">
      <x v="164"/>
      <x v="170"/>
      <x v="170"/>
    </i>
    <i r="1">
      <x v="166"/>
      <x v="172"/>
      <x v="172"/>
    </i>
    <i r="1">
      <x v="170"/>
      <x v="176"/>
      <x v="176"/>
    </i>
    <i r="1">
      <x v="172"/>
      <x v="178"/>
      <x v="178"/>
    </i>
    <i r="1">
      <x v="209"/>
      <x v="218"/>
      <x v="218"/>
    </i>
    <i r="1">
      <x v="218"/>
      <x v="228"/>
      <x v="228"/>
    </i>
    <i r="1">
      <x v="219"/>
      <x v="229"/>
      <x v="229"/>
    </i>
    <i r="1">
      <x v="224"/>
      <x v="234"/>
      <x v="234"/>
    </i>
    <i r="1">
      <x v="225"/>
      <x v="235"/>
      <x v="235"/>
    </i>
    <i r="1">
      <x v="227"/>
      <x v="237"/>
      <x v="237"/>
    </i>
    <i r="1">
      <x v="228"/>
      <x v="238"/>
      <x v="238"/>
    </i>
    <i r="1">
      <x v="229"/>
      <x v="239"/>
      <x v="239"/>
    </i>
    <i r="1">
      <x v="231"/>
      <x v="241"/>
      <x v="241"/>
    </i>
    <i r="1">
      <x v="234"/>
      <x v="245"/>
      <x v="245"/>
    </i>
    <i r="1">
      <x v="235"/>
      <x v="247"/>
      <x v="247"/>
    </i>
    <i r="1">
      <x v="237"/>
      <x v="249"/>
      <x v="249"/>
    </i>
    <i r="1">
      <x v="238"/>
      <x v="250"/>
      <x v="250"/>
    </i>
    <i r="1">
      <x v="239"/>
      <x v="251"/>
      <x v="251"/>
    </i>
    <i r="1">
      <x v="242"/>
      <x v="255"/>
      <x v="255"/>
    </i>
    <i r="1">
      <x v="244"/>
      <x v="257"/>
      <x v="257"/>
    </i>
    <i r="1">
      <x v="245"/>
      <x v="258"/>
      <x v="258"/>
    </i>
    <i r="1">
      <x v="246"/>
      <x v="259"/>
      <x v="259"/>
    </i>
    <i r="1">
      <x v="248"/>
      <x v="261"/>
      <x v="261"/>
    </i>
    <i r="1">
      <x v="249"/>
      <x v="262"/>
      <x v="262"/>
    </i>
    <i r="1">
      <x v="251"/>
      <x v="264"/>
      <x v="264"/>
    </i>
    <i t="default">
      <x v="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7">
    <pageField fld="52" hier="-1"/>
    <pageField fld="38" hier="-1"/>
    <pageField fld="40" hier="-1"/>
    <pageField fld="10" hier="-1"/>
    <pageField fld="53" hier="-1"/>
    <pageField fld="4" hier="-1"/>
    <pageField fld="55" hier="-1"/>
  </pageFields>
  <dataFields count="5">
    <dataField name="Count of generalcontract" fld="42" subtotal="count" baseField="0" baseItem="0"/>
    <dataField name="Count of qualityappendix" fld="43" subtotal="count" baseField="0" baseItem="0"/>
    <dataField name="Count of supplychainappendix" fld="44" subtotal="count" baseField="0" baseItem="0"/>
    <dataField name="Sum of countFull" fld="46" baseField="0" baseItem="0"/>
    <dataField name="Count of countnotfull" fld="47" subtotal="count" baseField="0" baseItem="0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1:I192" firstHeaderRow="1" firstDataRow="2" firstDataCol="4" rowPageCount="7" colPageCount="1"/>
  <pivotFields count="57">
    <pivotField compact="0" outline="0" showAll="0" defaultSubtotal="0"/>
    <pivotField axis="axisRow" compact="0" outline="0" showAll="0" defaultSubtotal="0">
      <items count="267">
        <item x="153"/>
        <item x="202"/>
        <item x="124"/>
        <item x="7"/>
        <item x="34"/>
        <item x="60"/>
        <item x="101"/>
        <item x="222"/>
        <item x="247"/>
        <item x="205"/>
        <item x="52"/>
        <item x="8"/>
        <item x="85"/>
        <item x="212"/>
        <item x="143"/>
        <item x="227"/>
        <item x="121"/>
        <item x="233"/>
        <item x="28"/>
        <item x="4"/>
        <item x="257"/>
        <item x="164"/>
        <item x="214"/>
        <item x="0"/>
        <item x="13"/>
        <item x="135"/>
        <item x="37"/>
        <item x="134"/>
        <item x="144"/>
        <item x="61"/>
        <item x="125"/>
        <item x="173"/>
        <item x="262"/>
        <item x="65"/>
        <item x="218"/>
        <item x="256"/>
        <item x="11"/>
        <item x="109"/>
        <item x="166"/>
        <item x="201"/>
        <item x="229"/>
        <item x="51"/>
        <item x="83"/>
        <item x="226"/>
        <item x="16"/>
        <item x="5"/>
        <item x="231"/>
        <item x="69"/>
        <item x="149"/>
        <item x="89"/>
        <item x="14"/>
        <item x="103"/>
        <item x="128"/>
        <item x="223"/>
        <item x="91"/>
        <item x="2"/>
        <item x="174"/>
        <item x="1"/>
        <item x="198"/>
        <item x="160"/>
        <item x="71"/>
        <item x="180"/>
        <item x="80"/>
        <item x="63"/>
        <item x="176"/>
        <item x="25"/>
        <item x="253"/>
        <item x="110"/>
        <item x="142"/>
        <item x="187"/>
        <item x="100"/>
        <item x="213"/>
        <item x="133"/>
        <item x="40"/>
        <item x="59"/>
        <item x="10"/>
        <item x="97"/>
        <item x="64"/>
        <item x="30"/>
        <item x="156"/>
        <item x="77"/>
        <item x="57"/>
        <item x="146"/>
        <item x="112"/>
        <item x="221"/>
        <item x="182"/>
        <item x="189"/>
        <item x="22"/>
        <item x="203"/>
        <item x="138"/>
        <item x="185"/>
        <item x="24"/>
        <item x="199"/>
        <item x="31"/>
        <item x="157"/>
        <item x="6"/>
        <item x="107"/>
        <item x="12"/>
        <item x="19"/>
        <item x="47"/>
        <item x="148"/>
        <item x="131"/>
        <item x="114"/>
        <item x="155"/>
        <item x="79"/>
        <item x="266"/>
        <item x="15"/>
        <item x="216"/>
        <item x="236"/>
        <item x="54"/>
        <item x="70"/>
        <item x="265"/>
        <item x="9"/>
        <item x="115"/>
        <item x="239"/>
        <item x="170"/>
        <item x="260"/>
        <item x="75"/>
        <item x="211"/>
        <item x="56"/>
        <item x="230"/>
        <item x="18"/>
        <item x="225"/>
        <item x="123"/>
        <item x="87"/>
        <item x="152"/>
        <item x="194"/>
        <item x="246"/>
        <item x="263"/>
        <item x="162"/>
        <item x="17"/>
        <item x="206"/>
        <item x="38"/>
        <item x="191"/>
        <item x="46"/>
        <item x="228"/>
        <item x="258"/>
        <item x="232"/>
        <item x="193"/>
        <item x="93"/>
        <item x="147"/>
        <item x="235"/>
        <item x="171"/>
        <item x="23"/>
        <item x="3"/>
        <item x="186"/>
        <item x="20"/>
        <item x="36"/>
        <item x="39"/>
        <item x="41"/>
        <item x="43"/>
        <item x="49"/>
        <item x="53"/>
        <item x="55"/>
        <item x="66"/>
        <item x="78"/>
        <item x="82"/>
        <item x="88"/>
        <item x="90"/>
        <item x="92"/>
        <item x="95"/>
        <item x="98"/>
        <item x="120"/>
        <item x="122"/>
        <item x="129"/>
        <item x="151"/>
        <item x="165"/>
        <item x="169"/>
        <item x="172"/>
        <item x="179"/>
        <item x="197"/>
        <item x="200"/>
        <item x="207"/>
        <item x="215"/>
        <item x="224"/>
        <item x="242"/>
        <item x="243"/>
        <item x="254"/>
        <item x="264"/>
        <item x="21"/>
        <item x="26"/>
        <item x="27"/>
        <item x="29"/>
        <item x="32"/>
        <item x="33"/>
        <item x="42"/>
        <item x="44"/>
        <item x="45"/>
        <item x="50"/>
        <item x="67"/>
        <item x="68"/>
        <item x="73"/>
        <item x="81"/>
        <item x="84"/>
        <item x="86"/>
        <item x="96"/>
        <item x="99"/>
        <item x="104"/>
        <item x="105"/>
        <item x="106"/>
        <item x="108"/>
        <item x="111"/>
        <item x="113"/>
        <item x="117"/>
        <item x="126"/>
        <item x="127"/>
        <item x="130"/>
        <item x="136"/>
        <item x="140"/>
        <item x="154"/>
        <item x="158"/>
        <item x="159"/>
        <item x="167"/>
        <item x="175"/>
        <item x="183"/>
        <item x="184"/>
        <item x="188"/>
        <item x="190"/>
        <item x="192"/>
        <item x="195"/>
        <item x="204"/>
        <item x="210"/>
        <item x="220"/>
        <item x="237"/>
        <item x="240"/>
        <item x="241"/>
        <item x="244"/>
        <item x="245"/>
        <item x="248"/>
        <item x="251"/>
        <item x="252"/>
        <item x="255"/>
        <item x="259"/>
        <item x="261"/>
        <item x="35"/>
        <item x="62"/>
        <item x="72"/>
        <item x="76"/>
        <item x="94"/>
        <item x="137"/>
        <item x="141"/>
        <item x="168"/>
        <item x="177"/>
        <item x="178"/>
        <item x="234"/>
        <item x="48"/>
        <item x="58"/>
        <item x="74"/>
        <item x="102"/>
        <item x="116"/>
        <item x="118"/>
        <item x="119"/>
        <item x="132"/>
        <item x="139"/>
        <item x="145"/>
        <item x="150"/>
        <item x="161"/>
        <item x="163"/>
        <item x="181"/>
        <item x="196"/>
        <item x="208"/>
        <item x="209"/>
        <item x="217"/>
        <item x="219"/>
        <item x="238"/>
        <item x="249"/>
        <item x="250"/>
      </items>
    </pivotField>
    <pivotField axis="axisRow" compact="0" outline="0" showAll="0" defaultSubtotal="0">
      <items count="267">
        <item x="0"/>
        <item x="1"/>
        <item x="2"/>
        <item x="5"/>
        <item x="7"/>
        <item x="9"/>
        <item x="10"/>
        <item x="11"/>
        <item x="12"/>
        <item x="171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69"/>
        <item x="71"/>
        <item x="114"/>
        <item x="131"/>
        <item x="160"/>
        <item x="3"/>
        <item x="75"/>
        <item x="80"/>
        <item x="83"/>
        <item x="85"/>
        <item x="191"/>
        <item x="57"/>
        <item x="63"/>
        <item x="203"/>
        <item x="79"/>
        <item x="93"/>
        <item x="100"/>
        <item x="101"/>
        <item x="103"/>
        <item x="109"/>
        <item x="110"/>
        <item x="15"/>
        <item x="121"/>
        <item x="133"/>
        <item x="189"/>
        <item x="22"/>
        <item x="70"/>
        <item x="124"/>
        <item x="125"/>
        <item x="128"/>
        <item x="8"/>
        <item x="134"/>
        <item x="135"/>
        <item x="138"/>
        <item x="142"/>
        <item x="143"/>
        <item x="144"/>
        <item x="146"/>
        <item x="147"/>
        <item x="148"/>
        <item x="149"/>
        <item x="152"/>
        <item x="153"/>
        <item x="155"/>
        <item x="156"/>
        <item x="157"/>
        <item x="162"/>
        <item x="164"/>
        <item x="166"/>
        <item x="89"/>
        <item x="97"/>
        <item x="107"/>
        <item x="170"/>
        <item x="173"/>
        <item x="174"/>
        <item x="176"/>
        <item x="257"/>
        <item x="180"/>
        <item x="182"/>
        <item x="186"/>
        <item x="187"/>
        <item x="230"/>
        <item x="194"/>
        <item x="198"/>
        <item x="77"/>
        <item x="258"/>
        <item x="260"/>
        <item x="185"/>
        <item x="17"/>
        <item x="123"/>
        <item x="201"/>
        <item x="202"/>
        <item x="205"/>
        <item x="206"/>
        <item x="211"/>
        <item x="212"/>
        <item x="213"/>
        <item x="214"/>
        <item x="216"/>
        <item x="65"/>
        <item x="112"/>
        <item x="199"/>
        <item x="218"/>
        <item x="232"/>
        <item x="18"/>
        <item x="221"/>
        <item x="222"/>
        <item x="223"/>
        <item x="225"/>
        <item x="226"/>
        <item x="227"/>
        <item x="229"/>
        <item x="231"/>
        <item x="233"/>
        <item x="235"/>
        <item x="236"/>
        <item x="239"/>
        <item x="4"/>
        <item x="246"/>
        <item x="247"/>
        <item x="253"/>
        <item x="13"/>
        <item x="115"/>
        <item x="256"/>
        <item x="262"/>
        <item x="263"/>
        <item x="56"/>
        <item x="91"/>
        <item x="40"/>
        <item x="46"/>
        <item x="193"/>
        <item x="16"/>
        <item x="265"/>
        <item x="87"/>
        <item x="228"/>
        <item x="266"/>
        <item x="20"/>
        <item x="36"/>
        <item x="39"/>
        <item x="41"/>
        <item x="43"/>
        <item x="49"/>
        <item x="53"/>
        <item x="55"/>
        <item x="66"/>
        <item x="78"/>
        <item x="82"/>
        <item x="88"/>
        <item x="90"/>
        <item x="92"/>
        <item x="95"/>
        <item x="98"/>
        <item x="120"/>
        <item x="122"/>
        <item x="129"/>
        <item x="151"/>
        <item x="165"/>
        <item x="169"/>
        <item x="172"/>
        <item x="179"/>
        <item x="197"/>
        <item x="200"/>
        <item x="207"/>
        <item x="215"/>
        <item x="224"/>
        <item x="242"/>
        <item x="243"/>
        <item x="254"/>
        <item x="264"/>
        <item x="21"/>
        <item x="26"/>
        <item x="27"/>
        <item x="29"/>
        <item x="32"/>
        <item x="33"/>
        <item x="42"/>
        <item x="44"/>
        <item x="45"/>
        <item x="50"/>
        <item x="67"/>
        <item x="68"/>
        <item x="73"/>
        <item x="81"/>
        <item x="84"/>
        <item x="86"/>
        <item x="96"/>
        <item x="99"/>
        <item x="104"/>
        <item x="105"/>
        <item x="106"/>
        <item x="108"/>
        <item x="111"/>
        <item x="113"/>
        <item x="117"/>
        <item x="126"/>
        <item x="127"/>
        <item x="130"/>
        <item x="136"/>
        <item x="140"/>
        <item x="154"/>
        <item x="158"/>
        <item x="159"/>
        <item x="167"/>
        <item x="175"/>
        <item x="183"/>
        <item x="184"/>
        <item x="188"/>
        <item x="190"/>
        <item x="192"/>
        <item x="195"/>
        <item x="204"/>
        <item x="210"/>
        <item x="220"/>
        <item x="237"/>
        <item x="240"/>
        <item x="241"/>
        <item x="244"/>
        <item x="245"/>
        <item x="248"/>
        <item x="251"/>
        <item x="252"/>
        <item x="255"/>
        <item x="259"/>
        <item x="261"/>
        <item x="35"/>
        <item x="62"/>
        <item x="72"/>
        <item x="76"/>
        <item x="94"/>
        <item x="137"/>
        <item x="141"/>
        <item x="168"/>
        <item x="177"/>
        <item x="178"/>
        <item x="234"/>
        <item x="48"/>
        <item x="58"/>
        <item x="74"/>
        <item x="102"/>
        <item x="116"/>
        <item x="118"/>
        <item x="119"/>
        <item x="132"/>
        <item x="139"/>
        <item x="145"/>
        <item x="150"/>
        <item x="161"/>
        <item x="163"/>
        <item x="181"/>
        <item x="196"/>
        <item x="208"/>
        <item x="209"/>
        <item x="217"/>
        <item x="219"/>
        <item x="238"/>
        <item x="249"/>
        <item x="250"/>
      </items>
    </pivotField>
    <pivotField axis="axisRow" compact="0" outline="0" showAll="0" defaultSubtotal="0">
      <items count="2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58"/>
        <item x="62"/>
        <item x="63"/>
        <item x="64"/>
        <item x="68"/>
        <item x="70"/>
        <item x="72"/>
        <item x="75"/>
        <item x="77"/>
        <item x="79"/>
        <item x="81"/>
        <item x="83"/>
        <item x="85"/>
        <item x="89"/>
        <item x="92"/>
        <item x="93"/>
        <item x="95"/>
        <item x="99"/>
        <item x="101"/>
        <item x="102"/>
        <item x="104"/>
        <item x="106"/>
        <item x="107"/>
        <item x="113"/>
        <item x="115"/>
        <item x="116"/>
        <item x="117"/>
        <item x="120"/>
        <item x="123"/>
        <item x="125"/>
        <item x="126"/>
        <item x="127"/>
        <item x="130"/>
        <item x="134"/>
        <item x="135"/>
        <item x="136"/>
        <item x="137"/>
        <item x="138"/>
        <item x="139"/>
        <item x="140"/>
        <item x="143"/>
        <item x="144"/>
        <item x="146"/>
        <item x="147"/>
        <item x="148"/>
        <item x="150"/>
        <item x="152"/>
        <item x="154"/>
        <item x="156"/>
        <item x="160"/>
        <item x="161"/>
        <item x="163"/>
        <item x="164"/>
        <item x="166"/>
        <item x="169"/>
        <item x="171"/>
        <item x="174"/>
        <item x="175"/>
        <item x="176"/>
        <item x="178"/>
        <item x="180"/>
        <item x="182"/>
        <item x="183"/>
        <item x="187"/>
        <item x="189"/>
        <item x="190"/>
        <item x="191"/>
        <item x="193"/>
        <item x="194"/>
        <item x="199"/>
        <item x="200"/>
        <item x="201"/>
        <item x="202"/>
        <item x="204"/>
        <item x="206"/>
        <item x="209"/>
        <item x="210"/>
        <item x="211"/>
        <item x="213"/>
        <item x="214"/>
        <item x="215"/>
        <item x="216"/>
        <item x="217"/>
        <item x="218"/>
        <item x="219"/>
        <item x="220"/>
        <item x="221"/>
        <item x="223"/>
        <item x="224"/>
        <item x="227"/>
        <item x="233"/>
        <item x="234"/>
        <item x="240"/>
        <item x="243"/>
        <item x="244"/>
        <item x="245"/>
        <item x="247"/>
        <item x="249"/>
        <item x="250"/>
        <item x="252"/>
        <item x="253"/>
        <item x="17"/>
        <item x="32"/>
        <item x="35"/>
        <item x="37"/>
        <item x="39"/>
        <item x="44"/>
        <item x="47"/>
        <item x="49"/>
        <item x="59"/>
        <item x="71"/>
        <item x="74"/>
        <item x="80"/>
        <item x="82"/>
        <item x="84"/>
        <item x="87"/>
        <item x="90"/>
        <item x="112"/>
        <item x="114"/>
        <item x="121"/>
        <item x="142"/>
        <item x="155"/>
        <item x="159"/>
        <item x="162"/>
        <item x="168"/>
        <item x="186"/>
        <item x="188"/>
        <item x="195"/>
        <item x="203"/>
        <item x="212"/>
        <item x="229"/>
        <item x="230"/>
        <item x="241"/>
        <item x="251"/>
        <item x="18"/>
        <item x="22"/>
        <item x="23"/>
        <item x="25"/>
        <item x="28"/>
        <item x="29"/>
        <item x="38"/>
        <item x="40"/>
        <item x="60"/>
        <item x="61"/>
        <item x="66"/>
        <item x="73"/>
        <item x="76"/>
        <item x="78"/>
        <item x="88"/>
        <item x="91"/>
        <item x="96"/>
        <item x="97"/>
        <item x="98"/>
        <item x="100"/>
        <item x="103"/>
        <item x="105"/>
        <item x="109"/>
        <item x="118"/>
        <item x="119"/>
        <item x="122"/>
        <item x="128"/>
        <item x="132"/>
        <item x="145"/>
        <item x="149"/>
        <item x="157"/>
        <item x="165"/>
        <item x="172"/>
        <item x="173"/>
        <item x="177"/>
        <item x="179"/>
        <item x="181"/>
        <item x="184"/>
        <item x="192"/>
        <item x="198"/>
        <item x="208"/>
        <item x="225"/>
        <item x="228"/>
        <item x="231"/>
        <item x="232"/>
        <item x="235"/>
        <item x="238"/>
        <item x="239"/>
        <item x="242"/>
        <item x="246"/>
        <item x="248"/>
        <item x="31"/>
        <item x="55"/>
        <item x="65"/>
        <item x="69"/>
        <item x="86"/>
        <item x="129"/>
        <item x="133"/>
        <item x="158"/>
        <item x="167"/>
        <item x="222"/>
        <item x="43"/>
        <item x="67"/>
        <item x="94"/>
        <item x="108"/>
        <item x="110"/>
        <item x="111"/>
        <item x="124"/>
        <item x="131"/>
        <item x="141"/>
        <item x="151"/>
        <item x="153"/>
        <item x="170"/>
        <item x="185"/>
        <item x="196"/>
        <item x="197"/>
        <item x="205"/>
        <item x="207"/>
        <item x="226"/>
        <item x="236"/>
        <item x="237"/>
      </items>
    </pivotField>
    <pivotField axis="axisPage" compact="0" outline="0" showAll="0" defaultSubtotal="0">
      <items count="6">
        <item x="3"/>
        <item x="0"/>
        <item x="2"/>
        <item x="5"/>
        <item x="1"/>
        <item x="4"/>
      </items>
    </pivotField>
    <pivotField compact="0" outline="0" showAll="0" defaultSubtotal="0"/>
    <pivotField compact="0" outline="0" showAll="0"/>
    <pivotField compact="0" outline="0" multipleItemSelectionAllowed="1" showAll="0"/>
    <pivotField compact="0" outline="0" showAll="0"/>
    <pivotField compact="0" outline="0" showAll="0"/>
    <pivotField axis="axisPage" compact="0" numFmtId="14" outline="0" showAll="0" defaultSubtotal="0">
      <items count="883">
        <item x="272"/>
        <item x="771"/>
        <item x="534"/>
        <item x="276"/>
        <item x="868"/>
        <item x="145"/>
        <item x="200"/>
        <item x="171"/>
        <item x="274"/>
        <item x="541"/>
        <item x="799"/>
        <item x="275"/>
        <item x="41"/>
        <item x="585"/>
        <item x="742"/>
        <item x="679"/>
        <item x="126"/>
        <item x="851"/>
        <item x="215"/>
        <item x="495"/>
        <item x="404"/>
        <item x="84"/>
        <item x="279"/>
        <item x="739"/>
        <item x="609"/>
        <item x="343"/>
        <item x="191"/>
        <item x="606"/>
        <item x="654"/>
        <item x="474"/>
        <item x="854"/>
        <item x="368"/>
        <item x="570"/>
        <item x="500"/>
        <item x="876"/>
        <item x="469"/>
        <item x="206"/>
        <item x="612"/>
        <item x="692"/>
        <item x="325"/>
        <item x="417"/>
        <item x="410"/>
        <item x="255"/>
        <item x="457"/>
        <item x="6"/>
        <item x="176"/>
        <item x="4"/>
        <item x="836"/>
        <item x="837"/>
        <item x="298"/>
        <item x="846"/>
        <item x="698"/>
        <item x="574"/>
        <item x="750"/>
        <item x="691"/>
        <item x="301"/>
        <item x="770"/>
        <item x="505"/>
        <item x="243"/>
        <item x="741"/>
        <item x="15"/>
        <item x="681"/>
        <item x="812"/>
        <item x="504"/>
        <item x="329"/>
        <item x="756"/>
        <item x="388"/>
        <item x="269"/>
        <item x="315"/>
        <item x="130"/>
        <item x="716"/>
        <item x="728"/>
        <item x="607"/>
        <item x="177"/>
        <item x="515"/>
        <item x="436"/>
        <item x="711"/>
        <item x="372"/>
        <item x="820"/>
        <item x="462"/>
        <item x="98"/>
        <item x="822"/>
        <item x="715"/>
        <item x="99"/>
        <item x="498"/>
        <item x="573"/>
        <item x="520"/>
        <item x="784"/>
        <item x="552"/>
        <item x="56"/>
        <item x="644"/>
        <item x="571"/>
        <item x="767"/>
        <item x="424"/>
        <item x="57"/>
        <item x="703"/>
        <item x="629"/>
        <item x="453"/>
        <item x="455"/>
        <item x="356"/>
        <item x="338"/>
        <item x="58"/>
        <item x="839"/>
        <item x="273"/>
        <item x="437"/>
        <item x="625"/>
        <item x="468"/>
        <item x="598"/>
        <item x="92"/>
        <item x="384"/>
        <item x="473"/>
        <item x="616"/>
        <item x="811"/>
        <item x="808"/>
        <item x="422"/>
        <item x="443"/>
        <item x="879"/>
        <item x="328"/>
        <item x="874"/>
        <item x="833"/>
        <item x="870"/>
        <item x="838"/>
        <item x="291"/>
        <item x="506"/>
        <item x="402"/>
        <item x="867"/>
        <item x="774"/>
        <item x="835"/>
        <item x="655"/>
        <item x="398"/>
        <item x="327"/>
        <item x="261"/>
        <item x="781"/>
        <item x="503"/>
        <item x="188"/>
        <item x="42"/>
        <item x="635"/>
        <item x="673"/>
        <item x="724"/>
        <item x="0"/>
        <item x="643"/>
        <item x="604"/>
        <item x="40"/>
        <item x="708"/>
        <item x="160"/>
        <item x="412"/>
        <item x="380"/>
        <item x="787"/>
        <item x="880"/>
        <item x="217"/>
        <item x="783"/>
        <item x="563"/>
        <item x="863"/>
        <item x="549"/>
        <item x="858"/>
        <item x="859"/>
        <item x="743"/>
        <item x="586"/>
        <item x="547"/>
        <item x="538"/>
        <item x="619"/>
        <item x="577"/>
        <item x="152"/>
        <item x="671"/>
        <item x="672"/>
        <item x="414"/>
        <item x="790"/>
        <item x="646"/>
        <item x="591"/>
        <item x="862"/>
        <item x="240"/>
        <item x="413"/>
        <item x="861"/>
        <item x="815"/>
        <item x="312"/>
        <item x="537"/>
        <item x="452"/>
        <item x="572"/>
        <item x="432"/>
        <item x="881"/>
        <item x="734"/>
        <item x="551"/>
        <item x="747"/>
        <item x="197"/>
        <item x="359"/>
        <item x="806"/>
        <item x="451"/>
        <item x="627"/>
        <item x="357"/>
        <item x="554"/>
        <item x="438"/>
        <item x="91"/>
        <item x="239"/>
        <item x="688"/>
        <item x="450"/>
        <item x="358"/>
        <item x="664"/>
        <item x="253"/>
        <item x="280"/>
        <item x="62"/>
        <item x="7"/>
        <item x="381"/>
        <item x="363"/>
        <item x="59"/>
        <item x="80"/>
        <item x="225"/>
        <item x="511"/>
        <item x="316"/>
        <item x="345"/>
        <item x="584"/>
        <item x="421"/>
        <item x="618"/>
        <item x="603"/>
        <item x="696"/>
        <item x="665"/>
        <item x="661"/>
        <item x="594"/>
        <item x="324"/>
        <item x="278"/>
        <item x="210"/>
        <item x="219"/>
        <item x="3"/>
        <item x="267"/>
        <item x="2"/>
        <item x="334"/>
        <item x="642"/>
        <item x="101"/>
        <item x="583"/>
        <item x="218"/>
        <item x="725"/>
        <item x="326"/>
        <item x="628"/>
        <item x="522"/>
        <item x="68"/>
        <item x="110"/>
        <item x="813"/>
        <item x="660"/>
        <item x="277"/>
        <item x="518"/>
        <item x="50"/>
        <item x="186"/>
        <item x="397"/>
        <item x="757"/>
        <item x="800"/>
        <item x="733"/>
        <item x="85"/>
        <item x="411"/>
        <item x="144"/>
        <item x="762"/>
        <item x="853"/>
        <item x="744"/>
        <item x="608"/>
        <item x="882"/>
        <item x="723"/>
        <item x="855"/>
        <item x="435"/>
        <item x="803"/>
        <item x="207"/>
        <item x="211"/>
        <item x="529"/>
        <item x="746"/>
        <item x="834"/>
        <item x="285"/>
        <item x="527"/>
        <item x="491"/>
        <item x="528"/>
        <item x="849"/>
        <item x="294"/>
        <item x="309"/>
        <item x="258"/>
        <item x="536"/>
        <item x="745"/>
        <item x="336"/>
        <item x="758"/>
        <item x="446"/>
        <item x="1"/>
        <item x="785"/>
        <item x="367"/>
        <item x="748"/>
        <item x="804"/>
        <item x="296"/>
        <item x="330"/>
        <item x="630"/>
        <item x="14"/>
        <item x="701"/>
        <item x="292"/>
        <item x="866"/>
        <item x="213"/>
        <item x="729"/>
        <item x="365"/>
        <item x="656"/>
        <item x="136"/>
        <item x="755"/>
        <item x="666"/>
        <item x="153"/>
        <item x="244"/>
        <item x="102"/>
        <item x="364"/>
        <item x="439"/>
        <item x="156"/>
        <item x="374"/>
        <item x="390"/>
        <item x="687"/>
        <item x="796"/>
        <item x="845"/>
        <item x="501"/>
        <item x="340"/>
        <item x="684"/>
        <item x="525"/>
        <item x="220"/>
        <item x="209"/>
        <item x="759"/>
        <item x="878"/>
        <item x="667"/>
        <item x="313"/>
        <item x="633"/>
        <item x="458"/>
        <item x="415"/>
        <item x="18"/>
        <item x="877"/>
        <item x="470"/>
        <item x="634"/>
        <item x="844"/>
        <item x="283"/>
        <item x="766"/>
        <item x="637"/>
        <item x="71"/>
        <item x="67"/>
        <item x="842"/>
        <item x="843"/>
        <item x="323"/>
        <item x="814"/>
        <item x="763"/>
        <item x="214"/>
        <item x="63"/>
        <item x="314"/>
        <item x="760"/>
        <item x="794"/>
        <item x="66"/>
        <item x="517"/>
        <item x="514"/>
        <item x="128"/>
        <item x="17"/>
        <item x="754"/>
        <item x="87"/>
        <item x="502"/>
        <item x="639"/>
        <item x="227"/>
        <item x="212"/>
        <item x="442"/>
        <item x="366"/>
        <item x="732"/>
        <item x="545"/>
        <item x="295"/>
        <item x="797"/>
        <item x="663"/>
        <item x="512"/>
        <item x="162"/>
        <item x="369"/>
        <item x="513"/>
        <item x="776"/>
        <item x="817"/>
        <item x="161"/>
        <item x="389"/>
        <item x="496"/>
        <item x="178"/>
        <item x="379"/>
        <item x="544"/>
        <item x="823"/>
        <item x="657"/>
        <item x="848"/>
        <item x="342"/>
        <item x="582"/>
        <item x="543"/>
        <item x="32"/>
        <item x="391"/>
        <item x="680"/>
        <item x="768"/>
        <item x="841"/>
        <item x="198"/>
        <item x="700"/>
        <item x="587"/>
        <item x="562"/>
        <item x="293"/>
        <item x="350"/>
        <item x="682"/>
        <item x="86"/>
        <item x="480"/>
        <item x="875"/>
        <item x="22"/>
        <item x="478"/>
        <item x="479"/>
        <item x="710"/>
        <item x="795"/>
        <item x="840"/>
        <item x="428"/>
        <item x="810"/>
        <item x="852"/>
        <item x="775"/>
        <item x="427"/>
        <item x="693"/>
        <item x="353"/>
        <item x="429"/>
        <item x="423"/>
        <item x="694"/>
        <item x="426"/>
        <item x="70"/>
        <item x="246"/>
        <item x="5"/>
        <item x="223"/>
        <item x="181"/>
        <item x="535"/>
        <item x="707"/>
        <item x="447"/>
        <item x="149"/>
        <item x="731"/>
        <item x="383"/>
        <item x="780"/>
        <item x="779"/>
        <item x="526"/>
        <item x="97"/>
        <item x="403"/>
        <item x="831"/>
        <item x="204"/>
        <item x="318"/>
        <item x="185"/>
        <item x="730"/>
        <item x="475"/>
        <item x="333"/>
        <item x="151"/>
        <item x="143"/>
        <item x="33"/>
        <item x="706"/>
        <item x="777"/>
        <item x="575"/>
        <item x="651"/>
        <item x="830"/>
        <item x="83"/>
        <item x="499"/>
        <item x="531"/>
        <item x="37"/>
        <item x="169"/>
        <item x="303"/>
        <item x="670"/>
        <item x="12"/>
        <item x="400"/>
        <item x="492"/>
        <item x="195"/>
        <item x="826"/>
        <item x="341"/>
        <item x="675"/>
        <item x="141"/>
        <item x="406"/>
        <item x="463"/>
        <item x="165"/>
        <item x="346"/>
        <item x="121"/>
        <item x="408"/>
        <item x="20"/>
        <item x="335"/>
        <item x="638"/>
        <item x="175"/>
        <item x="650"/>
        <item x="712"/>
        <item x="28"/>
        <item x="441"/>
        <item x="229"/>
        <item x="317"/>
        <item x="182"/>
        <item x="224"/>
        <item x="699"/>
        <item x="150"/>
        <item x="49"/>
        <item x="653"/>
        <item x="288"/>
        <item x="483"/>
        <item x="180"/>
        <item x="199"/>
        <item x="31"/>
        <item x="319"/>
        <item x="48"/>
        <item x="816"/>
        <item x="119"/>
        <item x="302"/>
        <item x="10"/>
        <item x="299"/>
        <item x="856"/>
        <item x="104"/>
        <item x="123"/>
        <item x="321"/>
        <item x="614"/>
        <item x="75"/>
        <item x="449"/>
        <item x="184"/>
        <item x="146"/>
        <item x="137"/>
        <item x="183"/>
        <item x="354"/>
        <item x="600"/>
        <item x="290"/>
        <item x="686"/>
        <item x="106"/>
        <item x="44"/>
        <item x="238"/>
        <item x="64"/>
        <item x="472"/>
        <item x="510"/>
        <item x="16"/>
        <item x="300"/>
        <item x="782"/>
        <item x="208"/>
        <item x="30"/>
        <item x="322"/>
        <item x="533"/>
        <item x="769"/>
        <item x="793"/>
        <item x="516"/>
        <item x="540"/>
        <item x="55"/>
        <item x="377"/>
        <item x="378"/>
        <item x="471"/>
        <item x="722"/>
        <item x="641"/>
        <item x="387"/>
        <item x="385"/>
        <item x="53"/>
        <item x="721"/>
        <item x="331"/>
        <item x="620"/>
        <item x="668"/>
        <item x="778"/>
        <item x="865"/>
        <item x="393"/>
        <item x="829"/>
        <item x="47"/>
        <item x="376"/>
        <item x="125"/>
        <item x="124"/>
        <item x="166"/>
        <item x="232"/>
        <item x="282"/>
        <item x="466"/>
        <item x="579"/>
        <item x="289"/>
        <item x="493"/>
        <item x="82"/>
        <item x="112"/>
        <item x="580"/>
        <item x="555"/>
        <item x="39"/>
        <item x="337"/>
        <item x="196"/>
        <item x="257"/>
        <item x="791"/>
        <item x="444"/>
        <item x="362"/>
        <item x="235"/>
        <item x="51"/>
        <item x="205"/>
        <item x="550"/>
        <item x="242"/>
        <item x="19"/>
        <item x="8"/>
        <item x="69"/>
        <item x="245"/>
        <item x="228"/>
        <item x="320"/>
        <item x="35"/>
        <item x="103"/>
        <item x="154"/>
        <item x="430"/>
        <item x="60"/>
        <item x="659"/>
        <item x="576"/>
        <item x="29"/>
        <item x="524"/>
        <item x="564"/>
        <item x="270"/>
        <item x="440"/>
        <item x="259"/>
        <item x="167"/>
        <item x="132"/>
        <item x="454"/>
        <item x="281"/>
        <item x="45"/>
        <item x="93"/>
        <item x="621"/>
        <item x="652"/>
        <item x="685"/>
        <item x="749"/>
        <item x="127"/>
        <item x="623"/>
        <item x="297"/>
        <item x="221"/>
        <item x="420"/>
        <item x="697"/>
        <item x="611"/>
        <item x="736"/>
        <item x="805"/>
        <item x="251"/>
        <item x="72"/>
        <item x="247"/>
        <item x="81"/>
        <item x="249"/>
        <item x="824"/>
        <item x="115"/>
        <item x="873"/>
        <item x="567"/>
        <item x="108"/>
        <item x="481"/>
        <item x="52"/>
        <item x="105"/>
        <item x="847"/>
        <item x="173"/>
        <item x="26"/>
        <item x="595"/>
        <item x="662"/>
        <item x="548"/>
        <item x="864"/>
        <item x="236"/>
        <item x="636"/>
        <item x="107"/>
        <item x="752"/>
        <item x="401"/>
        <item x="266"/>
        <item x="371"/>
        <item x="720"/>
        <item x="36"/>
        <item x="802"/>
        <item x="566"/>
        <item x="818"/>
        <item x="602"/>
        <item x="465"/>
        <item x="241"/>
        <item x="268"/>
        <item x="405"/>
        <item x="615"/>
        <item x="557"/>
        <item x="264"/>
        <item x="250"/>
        <item x="201"/>
        <item x="416"/>
        <item x="704"/>
        <item x="792"/>
        <item x="96"/>
        <item x="386"/>
        <item x="216"/>
        <item x="89"/>
        <item x="113"/>
        <item x="265"/>
        <item x="76"/>
        <item x="79"/>
        <item x="464"/>
        <item x="809"/>
        <item x="311"/>
        <item x="448"/>
        <item x="222"/>
        <item x="13"/>
        <item x="519"/>
        <item x="676"/>
        <item x="233"/>
        <item x="260"/>
        <item x="256"/>
        <item x="860"/>
        <item x="399"/>
        <item x="109"/>
        <item x="484"/>
        <item x="287"/>
        <item x="172"/>
        <item x="192"/>
        <item x="95"/>
        <item x="170"/>
        <item x="304"/>
        <item x="801"/>
        <item x="370"/>
        <item x="187"/>
        <item x="11"/>
        <item x="164"/>
        <item x="25"/>
        <item x="77"/>
        <item x="21"/>
        <item x="147"/>
        <item x="556"/>
        <item x="226"/>
        <item x="138"/>
        <item x="786"/>
        <item x="157"/>
        <item x="203"/>
        <item x="482"/>
        <item x="271"/>
        <item x="476"/>
        <item x="163"/>
        <item x="38"/>
        <item x="523"/>
        <item x="622"/>
        <item x="578"/>
        <item x="617"/>
        <item x="490"/>
        <item x="740"/>
        <item x="565"/>
        <item x="419"/>
        <item x="347"/>
        <item x="477"/>
        <item x="54"/>
        <item x="467"/>
        <item x="139"/>
        <item x="640"/>
        <item x="648"/>
        <item x="521"/>
        <item x="530"/>
        <item x="626"/>
        <item x="375"/>
        <item x="546"/>
        <item x="407"/>
        <item x="431"/>
        <item x="497"/>
        <item x="857"/>
        <item x="605"/>
        <item x="751"/>
        <item x="486"/>
        <item x="433"/>
        <item x="179"/>
        <item x="559"/>
        <item x="360"/>
        <item x="735"/>
        <item x="117"/>
        <item x="658"/>
        <item x="542"/>
        <item x="310"/>
        <item x="590"/>
        <item x="286"/>
        <item x="155"/>
        <item x="252"/>
        <item x="158"/>
        <item x="677"/>
        <item x="396"/>
        <item x="737"/>
        <item x="308"/>
        <item x="610"/>
        <item x="190"/>
        <item x="140"/>
        <item x="445"/>
        <item x="27"/>
        <item x="88"/>
        <item x="168"/>
        <item x="118"/>
        <item x="262"/>
        <item x="9"/>
        <item x="394"/>
        <item x="395"/>
        <item x="231"/>
        <item x="761"/>
        <item x="819"/>
        <item x="532"/>
        <item x="460"/>
        <item x="305"/>
        <item x="409"/>
        <item x="189"/>
        <item x="592"/>
        <item x="418"/>
        <item x="355"/>
        <item x="332"/>
        <item x="90"/>
        <item x="553"/>
        <item x="133"/>
        <item x="351"/>
        <item x="116"/>
        <item x="237"/>
        <item x="669"/>
        <item x="306"/>
        <item x="344"/>
        <item x="284"/>
        <item x="596"/>
        <item x="307"/>
        <item x="717"/>
        <item x="34"/>
        <item x="718"/>
        <item x="825"/>
        <item x="647"/>
        <item x="78"/>
        <item x="695"/>
        <item x="202"/>
        <item x="461"/>
        <item x="248"/>
        <item x="361"/>
        <item x="74"/>
        <item x="339"/>
        <item x="373"/>
        <item x="234"/>
        <item x="94"/>
        <item x="134"/>
        <item x="539"/>
        <item x="174"/>
        <item x="159"/>
        <item x="494"/>
        <item x="593"/>
        <item x="788"/>
        <item x="713"/>
        <item x="601"/>
        <item x="434"/>
        <item x="558"/>
        <item x="599"/>
        <item x="485"/>
        <item x="122"/>
        <item x="487"/>
        <item x="129"/>
        <item x="807"/>
        <item x="674"/>
        <item x="850"/>
        <item x="581"/>
        <item x="456"/>
        <item x="142"/>
        <item x="632"/>
        <item x="726"/>
        <item x="509"/>
        <item x="588"/>
        <item x="508"/>
        <item x="727"/>
        <item x="489"/>
        <item x="714"/>
        <item x="678"/>
        <item x="425"/>
        <item x="148"/>
        <item x="560"/>
        <item x="100"/>
        <item x="683"/>
        <item x="24"/>
        <item x="753"/>
        <item x="120"/>
        <item x="702"/>
        <item x="649"/>
        <item x="488"/>
        <item x="73"/>
        <item x="352"/>
        <item x="507"/>
        <item x="348"/>
        <item x="689"/>
        <item x="772"/>
        <item x="789"/>
        <item x="773"/>
        <item x="569"/>
        <item x="349"/>
        <item x="705"/>
        <item x="821"/>
        <item x="135"/>
        <item x="872"/>
        <item x="765"/>
        <item x="869"/>
        <item x="764"/>
        <item x="798"/>
        <item x="690"/>
        <item x="827"/>
        <item x="23"/>
        <item x="382"/>
        <item x="46"/>
        <item x="43"/>
        <item x="597"/>
        <item x="719"/>
        <item x="131"/>
        <item x="263"/>
        <item x="392"/>
        <item x="194"/>
        <item x="589"/>
        <item x="114"/>
        <item x="561"/>
        <item x="111"/>
        <item x="613"/>
        <item x="230"/>
        <item x="631"/>
        <item x="645"/>
        <item x="738"/>
        <item x="61"/>
        <item x="65"/>
        <item x="709"/>
        <item x="254"/>
        <item x="832"/>
        <item x="568"/>
        <item x="828"/>
        <item x="871"/>
        <item x="193"/>
        <item x="624"/>
        <item x="459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axis="axisRow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17">
        <item h="1" x="11"/>
        <item x="2"/>
        <item x="15"/>
        <item x="12"/>
        <item x="16"/>
        <item h="1" x="0"/>
        <item x="1"/>
        <item x="10"/>
        <item x="14"/>
        <item x="3"/>
        <item x="7"/>
        <item h="1" x="13"/>
        <item h="1" x="9"/>
        <item h="1" x="6"/>
        <item h="1" x="4"/>
        <item h="1" x="5"/>
        <item h="1" x="8"/>
      </items>
    </pivotField>
    <pivotField axis="axisPage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Page" compact="0" outline="0" showAll="0" defaultSubtotal="0">
      <items count="61">
        <item x="28"/>
        <item x="35"/>
        <item x="54"/>
        <item x="26"/>
        <item x="55"/>
        <item x="57"/>
        <item x="13"/>
        <item x="53"/>
        <item x="44"/>
        <item x="56"/>
        <item x="37"/>
        <item x="60"/>
        <item x="48"/>
        <item x="24"/>
        <item x="52"/>
        <item x="14"/>
        <item x="16"/>
        <item x="38"/>
        <item x="36"/>
        <item x="34"/>
        <item x="2"/>
        <item x="10"/>
        <item x="40"/>
        <item x="49"/>
        <item x="58"/>
        <item x="50"/>
        <item x="23"/>
        <item x="21"/>
        <item x="9"/>
        <item x="45"/>
        <item x="32"/>
        <item x="4"/>
        <item x="41"/>
        <item x="46"/>
        <item x="27"/>
        <item x="1"/>
        <item x="59"/>
        <item x="5"/>
        <item x="22"/>
        <item x="31"/>
        <item x="30"/>
        <item x="0"/>
        <item x="18"/>
        <item x="42"/>
        <item x="33"/>
        <item x="19"/>
        <item x="47"/>
        <item x="15"/>
        <item x="11"/>
        <item x="43"/>
        <item x="7"/>
        <item x="20"/>
        <item x="25"/>
        <item x="39"/>
        <item x="51"/>
        <item x="29"/>
        <item x="6"/>
        <item x="17"/>
        <item x="12"/>
        <item x="8"/>
        <item x="3"/>
      </items>
    </pivotField>
    <pivotField compact="0" outline="0" dragToRow="0" dragToCol="0" dragToPage="0" showAll="0" defaultSubtotal="0"/>
  </pivotFields>
  <rowFields count="4">
    <field x="41"/>
    <field x="3"/>
    <field x="1"/>
    <field x="2"/>
  </rowFields>
  <rowItems count="180">
    <i>
      <x/>
      <x v="34"/>
      <x v="74"/>
      <x v="26"/>
    </i>
    <i r="1">
      <x v="94"/>
      <x v="85"/>
      <x v="88"/>
    </i>
    <i r="1">
      <x v="114"/>
      <x v="84"/>
      <x v="115"/>
    </i>
    <i r="1">
      <x v="163"/>
      <x v="169"/>
      <x v="169"/>
    </i>
    <i r="1">
      <x v="214"/>
      <x v="223"/>
      <x v="223"/>
    </i>
    <i t="default">
      <x/>
    </i>
    <i>
      <x v="1"/>
      <x v="17"/>
      <x v="87"/>
      <x v="55"/>
    </i>
    <i r="1">
      <x v="81"/>
      <x v="103"/>
      <x v="73"/>
    </i>
    <i r="1">
      <x v="112"/>
      <x v="107"/>
      <x v="108"/>
    </i>
    <i r="1">
      <x v="202"/>
      <x v="210"/>
      <x v="210"/>
    </i>
    <i r="2">
      <x v="211"/>
      <x v="211"/>
    </i>
    <i t="default">
      <x v="1"/>
    </i>
    <i>
      <x v="2"/>
      <x v="22"/>
      <x v="93"/>
      <x v="17"/>
    </i>
    <i r="1">
      <x v="87"/>
      <x v="38"/>
      <x v="78"/>
    </i>
    <i r="1">
      <x v="115"/>
      <x v="7"/>
      <x v="116"/>
    </i>
    <i t="default">
      <x v="2"/>
    </i>
    <i>
      <x v="3"/>
      <x v="59"/>
      <x v="83"/>
      <x v="110"/>
    </i>
    <i t="default">
      <x v="3"/>
    </i>
    <i>
      <x v="4"/>
      <x v="1"/>
      <x v="57"/>
      <x v="1"/>
    </i>
    <i r="1">
      <x v="8"/>
      <x v="75"/>
      <x v="6"/>
    </i>
    <i r="1">
      <x v="46"/>
      <x v="42"/>
      <x v="38"/>
    </i>
    <i r="1">
      <x v="47"/>
      <x v="12"/>
      <x v="39"/>
    </i>
    <i r="1">
      <x v="73"/>
      <x v="14"/>
      <x v="65"/>
    </i>
    <i r="1">
      <x v="78"/>
      <x v="48"/>
      <x v="70"/>
    </i>
    <i r="1">
      <x v="93"/>
      <x v="61"/>
      <x v="87"/>
    </i>
    <i r="1">
      <x v="106"/>
      <x v="9"/>
      <x v="102"/>
    </i>
    <i r="1">
      <x v="109"/>
      <x v="13"/>
      <x v="105"/>
    </i>
    <i r="1">
      <x v="113"/>
      <x v="34"/>
      <x v="112"/>
    </i>
    <i r="1">
      <x v="116"/>
      <x v="53"/>
      <x v="117"/>
    </i>
    <i r="1">
      <x v="128"/>
      <x v="114"/>
      <x v="126"/>
    </i>
    <i r="1">
      <x v="148"/>
      <x v="154"/>
      <x v="154"/>
    </i>
    <i r="1">
      <x v="157"/>
      <x v="163"/>
      <x v="163"/>
    </i>
    <i r="1">
      <x v="162"/>
      <x v="168"/>
      <x v="168"/>
    </i>
    <i r="1">
      <x v="171"/>
      <x v="177"/>
      <x v="177"/>
    </i>
    <i r="1">
      <x v="178"/>
      <x v="184"/>
      <x v="184"/>
    </i>
    <i r="1">
      <x v="191"/>
      <x v="199"/>
      <x v="199"/>
    </i>
    <i r="1">
      <x v="206"/>
      <x v="215"/>
      <x v="215"/>
    </i>
    <i r="1">
      <x v="209"/>
      <x v="218"/>
      <x v="218"/>
    </i>
    <i r="1">
      <x v="212"/>
      <x v="221"/>
      <x v="221"/>
    </i>
    <i r="1">
      <x v="215"/>
      <x v="224"/>
      <x v="224"/>
    </i>
    <i r="2">
      <x v="225"/>
      <x v="225"/>
    </i>
    <i r="1">
      <x v="218"/>
      <x v="228"/>
      <x v="228"/>
    </i>
    <i r="1">
      <x v="219"/>
      <x v="229"/>
      <x v="229"/>
    </i>
    <i t="default">
      <x v="4"/>
    </i>
    <i>
      <x v="5"/>
      <x v="11"/>
      <x v="24"/>
      <x v="131"/>
    </i>
    <i r="1">
      <x v="18"/>
      <x v="91"/>
      <x v="12"/>
    </i>
    <i r="2">
      <x v="143"/>
      <x v="13"/>
    </i>
    <i r="1">
      <x v="20"/>
      <x v="18"/>
      <x v="15"/>
    </i>
    <i r="1">
      <x v="24"/>
      <x v="26"/>
      <x v="19"/>
    </i>
    <i r="1">
      <x v="29"/>
      <x v="41"/>
      <x v="24"/>
    </i>
    <i r="2">
      <x v="188"/>
      <x v="188"/>
    </i>
    <i r="1">
      <x v="44"/>
      <x v="80"/>
      <x v="94"/>
    </i>
    <i r="1">
      <x v="52"/>
      <x v="76"/>
      <x v="80"/>
    </i>
    <i r="1">
      <x v="82"/>
      <x v="79"/>
      <x v="74"/>
    </i>
    <i r="1">
      <x v="91"/>
      <x v="56"/>
      <x v="84"/>
    </i>
    <i r="1">
      <x v="92"/>
      <x v="64"/>
      <x v="85"/>
    </i>
    <i r="1">
      <x v="102"/>
      <x v="58"/>
      <x v="93"/>
    </i>
    <i r="2">
      <x v="92"/>
      <x v="111"/>
    </i>
    <i r="1">
      <x v="135"/>
      <x v="116"/>
      <x v="96"/>
    </i>
    <i r="1">
      <x v="141"/>
      <x v="147"/>
      <x v="147"/>
    </i>
    <i r="1">
      <x v="158"/>
      <x v="164"/>
      <x v="164"/>
    </i>
    <i r="1">
      <x v="168"/>
      <x v="174"/>
      <x v="174"/>
    </i>
    <i r="1">
      <x v="173"/>
      <x v="179"/>
      <x v="179"/>
    </i>
    <i r="1">
      <x v="174"/>
      <x v="180"/>
      <x v="180"/>
    </i>
    <i r="1">
      <x v="175"/>
      <x v="181"/>
      <x v="181"/>
    </i>
    <i r="1">
      <x v="176"/>
      <x v="182"/>
      <x v="182"/>
    </i>
    <i r="1">
      <x v="177"/>
      <x v="183"/>
      <x v="183"/>
    </i>
    <i r="1">
      <x v="182"/>
      <x v="190"/>
      <x v="190"/>
    </i>
    <i r="1">
      <x v="186"/>
      <x v="194"/>
      <x v="194"/>
    </i>
    <i r="1">
      <x v="193"/>
      <x v="201"/>
      <x v="201"/>
    </i>
    <i r="1">
      <x v="201"/>
      <x v="209"/>
      <x v="209"/>
    </i>
    <i r="1">
      <x v="208"/>
      <x v="217"/>
      <x v="217"/>
    </i>
    <i r="1">
      <x v="213"/>
      <x v="222"/>
      <x v="222"/>
    </i>
    <i r="1">
      <x v="233"/>
      <x v="244"/>
      <x v="244"/>
    </i>
    <i t="default">
      <x v="5"/>
    </i>
    <i>
      <x v="6"/>
      <x v="27"/>
      <x v="134"/>
      <x v="139"/>
    </i>
    <i r="1">
      <x v="32"/>
      <x v="119"/>
      <x v="136"/>
    </i>
    <i r="1">
      <x v="43"/>
      <x v="117"/>
      <x v="36"/>
    </i>
    <i r="1">
      <x v="72"/>
      <x v="68"/>
      <x v="64"/>
    </i>
    <i r="1">
      <x v="107"/>
      <x v="131"/>
      <x v="103"/>
    </i>
    <i r="1">
      <x v="152"/>
      <x v="158"/>
      <x v="158"/>
    </i>
    <i r="1">
      <x v="167"/>
      <x v="173"/>
      <x v="173"/>
    </i>
    <i r="1">
      <x v="197"/>
      <x v="205"/>
      <x v="205"/>
    </i>
    <i r="1">
      <x v="222"/>
      <x v="232"/>
      <x v="232"/>
    </i>
    <i t="default">
      <x v="6"/>
    </i>
    <i>
      <x v="7"/>
      <x v="2"/>
      <x v="55"/>
      <x v="2"/>
    </i>
    <i r="1">
      <x v="30"/>
      <x v="10"/>
      <x v="23"/>
    </i>
    <i r="1">
      <x v="65"/>
      <x v="30"/>
      <x v="58"/>
    </i>
    <i r="1">
      <x v="68"/>
      <x v="72"/>
      <x v="53"/>
    </i>
    <i r="1">
      <x v="180"/>
      <x v="186"/>
      <x v="186"/>
    </i>
    <i r="2">
      <x v="187"/>
      <x v="187"/>
    </i>
    <i r="1">
      <x v="189"/>
      <x v="197"/>
      <x v="197"/>
    </i>
    <i t="default">
      <x v="7"/>
    </i>
    <i>
      <x v="8"/>
      <x v="49"/>
      <x v="49"/>
      <x v="79"/>
    </i>
    <i r="1">
      <x v="183"/>
      <x v="191"/>
      <x v="191"/>
    </i>
    <i t="default">
      <x v="8"/>
    </i>
    <i>
      <x v="9"/>
      <x v="98"/>
      <x v="86"/>
      <x v="54"/>
    </i>
    <i t="default">
      <x v="9"/>
    </i>
    <i>
      <x v="10"/>
      <x v="4"/>
      <x v="19"/>
      <x v="127"/>
    </i>
    <i r="1">
      <x v="6"/>
      <x v="11"/>
      <x v="60"/>
    </i>
    <i r="1">
      <x v="7"/>
      <x v="112"/>
      <x v="5"/>
    </i>
    <i r="1">
      <x v="10"/>
      <x v="97"/>
      <x v="8"/>
    </i>
    <i r="1">
      <x v="13"/>
      <x v="44"/>
      <x v="141"/>
    </i>
    <i r="1">
      <x v="14"/>
      <x v="130"/>
      <x v="98"/>
    </i>
    <i r="1">
      <x v="16"/>
      <x v="98"/>
      <x v="11"/>
    </i>
    <i r="1">
      <x v="21"/>
      <x v="78"/>
      <x v="16"/>
    </i>
    <i r="1">
      <x v="28"/>
      <x v="99"/>
      <x v="22"/>
    </i>
    <i r="1">
      <x v="31"/>
      <x v="109"/>
      <x v="25"/>
    </i>
    <i r="1">
      <x v="36"/>
      <x v="29"/>
      <x v="27"/>
    </i>
    <i r="1">
      <x v="39"/>
      <x v="33"/>
      <x v="109"/>
    </i>
    <i r="1">
      <x v="41"/>
      <x v="110"/>
      <x v="56"/>
    </i>
    <i r="1">
      <x v="54"/>
      <x v="6"/>
      <x v="47"/>
    </i>
    <i r="1">
      <x v="58"/>
      <x v="67"/>
      <x v="50"/>
    </i>
    <i r="1">
      <x v="61"/>
      <x v="113"/>
      <x v="132"/>
    </i>
    <i r="1">
      <x v="64"/>
      <x v="2"/>
      <x v="57"/>
    </i>
    <i r="1">
      <x v="67"/>
      <x v="101"/>
      <x v="33"/>
    </i>
    <i r="1">
      <x v="75"/>
      <x v="82"/>
      <x v="67"/>
    </i>
    <i r="1">
      <x v="76"/>
      <x v="140"/>
      <x v="68"/>
    </i>
    <i r="1">
      <x v="80"/>
      <x/>
      <x v="72"/>
    </i>
    <i r="1">
      <x v="85"/>
      <x v="129"/>
      <x v="76"/>
    </i>
    <i r="1">
      <x v="88"/>
      <x v="115"/>
      <x v="82"/>
    </i>
    <i r="1">
      <x v="99"/>
      <x v="133"/>
      <x v="40"/>
    </i>
    <i r="1">
      <x v="101"/>
      <x v="126"/>
      <x v="92"/>
    </i>
    <i r="1">
      <x v="103"/>
      <x v="39"/>
      <x v="100"/>
    </i>
    <i r="1">
      <x v="119"/>
      <x v="15"/>
      <x v="120"/>
    </i>
    <i r="1">
      <x v="121"/>
      <x v="40"/>
      <x v="121"/>
    </i>
    <i r="1">
      <x v="125"/>
      <x v="17"/>
      <x v="123"/>
    </i>
    <i r="1">
      <x v="126"/>
      <x v="141"/>
      <x v="124"/>
    </i>
    <i r="1">
      <x v="127"/>
      <x v="108"/>
      <x v="125"/>
    </i>
    <i r="1">
      <x v="131"/>
      <x v="66"/>
      <x v="130"/>
    </i>
    <i r="1">
      <x v="134"/>
      <x v="136"/>
      <x v="95"/>
    </i>
    <i r="1">
      <x v="139"/>
      <x v="105"/>
      <x v="145"/>
    </i>
    <i r="1">
      <x v="140"/>
      <x v="146"/>
      <x v="146"/>
    </i>
    <i r="1">
      <x v="143"/>
      <x v="149"/>
      <x v="149"/>
    </i>
    <i r="1">
      <x v="144"/>
      <x v="150"/>
      <x v="150"/>
    </i>
    <i r="1">
      <x v="147"/>
      <x v="153"/>
      <x v="153"/>
    </i>
    <i r="1">
      <x v="151"/>
      <x v="157"/>
      <x v="157"/>
    </i>
    <i r="1">
      <x v="154"/>
      <x v="160"/>
      <x v="160"/>
    </i>
    <i r="1">
      <x v="155"/>
      <x v="161"/>
      <x v="161"/>
    </i>
    <i r="1">
      <x v="156"/>
      <x v="162"/>
      <x v="162"/>
    </i>
    <i r="1">
      <x v="160"/>
      <x v="166"/>
      <x v="166"/>
    </i>
    <i r="1">
      <x v="165"/>
      <x v="171"/>
      <x v="171"/>
    </i>
    <i r="1">
      <x v="170"/>
      <x v="176"/>
      <x v="176"/>
    </i>
    <i r="1">
      <x v="179"/>
      <x v="185"/>
      <x v="185"/>
    </i>
    <i r="1">
      <x v="181"/>
      <x v="189"/>
      <x v="189"/>
    </i>
    <i r="1">
      <x v="184"/>
      <x v="192"/>
      <x v="192"/>
    </i>
    <i r="1">
      <x v="185"/>
      <x v="193"/>
      <x v="193"/>
    </i>
    <i r="1">
      <x v="187"/>
      <x v="195"/>
      <x v="195"/>
    </i>
    <i r="1">
      <x v="188"/>
      <x v="196"/>
      <x v="196"/>
    </i>
    <i r="1">
      <x v="190"/>
      <x v="198"/>
      <x v="198"/>
    </i>
    <i r="1">
      <x v="192"/>
      <x v="200"/>
      <x v="200"/>
    </i>
    <i r="1">
      <x v="194"/>
      <x v="202"/>
      <x v="202"/>
    </i>
    <i r="1">
      <x v="195"/>
      <x v="203"/>
      <x v="203"/>
    </i>
    <i r="1">
      <x v="198"/>
      <x v="206"/>
      <x v="206"/>
    </i>
    <i r="1">
      <x v="199"/>
      <x v="207"/>
      <x v="207"/>
    </i>
    <i r="1">
      <x v="200"/>
      <x v="208"/>
      <x v="208"/>
    </i>
    <i r="1">
      <x v="203"/>
      <x v="212"/>
      <x v="212"/>
    </i>
    <i r="1">
      <x v="204"/>
      <x v="213"/>
      <x v="213"/>
    </i>
    <i r="1">
      <x v="205"/>
      <x v="214"/>
      <x v="214"/>
    </i>
    <i r="1">
      <x v="207"/>
      <x v="216"/>
      <x v="216"/>
    </i>
    <i r="1">
      <x v="210"/>
      <x v="219"/>
      <x v="219"/>
    </i>
    <i r="1">
      <x v="211"/>
      <x v="220"/>
      <x v="220"/>
    </i>
    <i r="1">
      <x v="216"/>
      <x v="226"/>
      <x v="226"/>
    </i>
    <i r="1">
      <x v="217"/>
      <x v="227"/>
      <x v="227"/>
    </i>
    <i r="1">
      <x v="220"/>
      <x v="230"/>
      <x v="230"/>
    </i>
    <i r="1">
      <x v="221"/>
      <x v="231"/>
      <x v="231"/>
    </i>
    <i r="1">
      <x v="223"/>
      <x v="233"/>
      <x v="233"/>
    </i>
    <i r="1">
      <x v="226"/>
      <x v="236"/>
      <x v="236"/>
    </i>
    <i r="1">
      <x v="228"/>
      <x v="238"/>
      <x v="238"/>
    </i>
    <i r="1">
      <x v="230"/>
      <x v="240"/>
      <x v="240"/>
    </i>
    <i r="1">
      <x v="236"/>
      <x v="248"/>
      <x v="248"/>
    </i>
    <i r="1">
      <x v="237"/>
      <x v="249"/>
      <x v="249"/>
    </i>
    <i r="1">
      <x v="240"/>
      <x v="252"/>
      <x v="252"/>
    </i>
    <i r="1">
      <x v="242"/>
      <x v="255"/>
      <x v="255"/>
    </i>
    <i r="1">
      <x v="246"/>
      <x v="259"/>
      <x v="259"/>
    </i>
    <i r="1">
      <x v="247"/>
      <x v="260"/>
      <x v="260"/>
    </i>
    <i r="1">
      <x v="250"/>
      <x v="263"/>
      <x v="263"/>
    </i>
    <i r="1">
      <x v="252"/>
      <x v="265"/>
      <x v="265"/>
    </i>
    <i t="default">
      <x v="1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7">
    <pageField fld="52" hier="-1"/>
    <pageField fld="38" hier="-1"/>
    <pageField fld="40" hier="-1"/>
    <pageField fld="10" hier="-1"/>
    <pageField fld="53" hier="-1"/>
    <pageField fld="4" hier="-1"/>
    <pageField fld="55" hier="-1"/>
  </pageFields>
  <dataFields count="5">
    <dataField name="Count of generalcontract" fld="42" subtotal="count" baseField="0" baseItem="0"/>
    <dataField name="Count of qualityappendix" fld="43" subtotal="count" baseField="0" baseItem="0"/>
    <dataField name="Count of supplychainappendix" fld="44" subtotal="count" baseField="0" baseItem="0"/>
    <dataField name="Count of countFull" fld="46" subtotal="count" baseField="0" baseItem="0"/>
    <dataField name="Count of countnotfull" fld="47" subtotal="count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0:K254" firstHeaderRow="2" firstDataRow="2" firstDataCol="5" rowPageCount="6" colPageCount="1"/>
  <pivotFields count="57">
    <pivotField compact="0" outline="0" showAll="0" defaultSubtotal="0"/>
    <pivotField axis="axisRow" compact="0" outline="0" showAll="0" defaultSubtotal="0">
      <items count="267">
        <item x="153"/>
        <item x="202"/>
        <item x="124"/>
        <item x="7"/>
        <item x="34"/>
        <item x="60"/>
        <item x="101"/>
        <item x="222"/>
        <item x="247"/>
        <item x="205"/>
        <item x="52"/>
        <item x="8"/>
        <item x="85"/>
        <item x="212"/>
        <item x="143"/>
        <item x="227"/>
        <item x="121"/>
        <item x="233"/>
        <item x="28"/>
        <item x="4"/>
        <item x="257"/>
        <item x="164"/>
        <item x="214"/>
        <item x="0"/>
        <item x="13"/>
        <item x="135"/>
        <item x="37"/>
        <item x="134"/>
        <item x="144"/>
        <item x="61"/>
        <item x="125"/>
        <item x="173"/>
        <item x="262"/>
        <item x="65"/>
        <item x="218"/>
        <item x="256"/>
        <item x="11"/>
        <item x="109"/>
        <item x="166"/>
        <item x="201"/>
        <item x="229"/>
        <item x="51"/>
        <item x="83"/>
        <item x="226"/>
        <item x="16"/>
        <item x="5"/>
        <item x="231"/>
        <item x="69"/>
        <item x="149"/>
        <item x="89"/>
        <item x="14"/>
        <item x="103"/>
        <item x="128"/>
        <item x="223"/>
        <item x="91"/>
        <item x="2"/>
        <item x="174"/>
        <item x="1"/>
        <item x="198"/>
        <item x="160"/>
        <item x="71"/>
        <item x="180"/>
        <item x="80"/>
        <item x="63"/>
        <item x="176"/>
        <item x="25"/>
        <item x="253"/>
        <item x="110"/>
        <item x="142"/>
        <item x="187"/>
        <item x="100"/>
        <item x="213"/>
        <item x="133"/>
        <item x="40"/>
        <item x="59"/>
        <item x="10"/>
        <item x="97"/>
        <item x="64"/>
        <item x="30"/>
        <item x="156"/>
        <item x="77"/>
        <item x="57"/>
        <item x="146"/>
        <item x="112"/>
        <item x="221"/>
        <item x="182"/>
        <item x="189"/>
        <item x="22"/>
        <item x="203"/>
        <item x="138"/>
        <item x="185"/>
        <item x="24"/>
        <item x="199"/>
        <item x="31"/>
        <item x="157"/>
        <item x="6"/>
        <item x="107"/>
        <item x="12"/>
        <item x="19"/>
        <item x="47"/>
        <item x="148"/>
        <item x="131"/>
        <item x="114"/>
        <item x="155"/>
        <item x="79"/>
        <item x="266"/>
        <item x="15"/>
        <item x="216"/>
        <item x="236"/>
        <item x="54"/>
        <item x="70"/>
        <item x="265"/>
        <item x="9"/>
        <item x="115"/>
        <item x="239"/>
        <item x="170"/>
        <item x="260"/>
        <item x="75"/>
        <item x="211"/>
        <item x="56"/>
        <item x="230"/>
        <item x="18"/>
        <item x="225"/>
        <item x="123"/>
        <item x="87"/>
        <item x="152"/>
        <item x="194"/>
        <item x="246"/>
        <item x="263"/>
        <item x="162"/>
        <item x="17"/>
        <item x="206"/>
        <item x="38"/>
        <item x="191"/>
        <item x="46"/>
        <item x="228"/>
        <item x="258"/>
        <item x="232"/>
        <item x="193"/>
        <item x="93"/>
        <item x="147"/>
        <item x="235"/>
        <item x="171"/>
        <item x="23"/>
        <item x="3"/>
        <item x="186"/>
        <item x="20"/>
        <item x="36"/>
        <item x="39"/>
        <item x="41"/>
        <item x="43"/>
        <item x="49"/>
        <item x="53"/>
        <item x="55"/>
        <item x="66"/>
        <item x="78"/>
        <item x="82"/>
        <item x="88"/>
        <item x="90"/>
        <item x="92"/>
        <item x="95"/>
        <item x="98"/>
        <item x="120"/>
        <item x="122"/>
        <item x="129"/>
        <item x="151"/>
        <item x="165"/>
        <item x="169"/>
        <item x="172"/>
        <item x="179"/>
        <item x="197"/>
        <item x="200"/>
        <item x="207"/>
        <item x="215"/>
        <item x="224"/>
        <item x="242"/>
        <item x="243"/>
        <item x="254"/>
        <item x="264"/>
        <item x="21"/>
        <item x="26"/>
        <item x="27"/>
        <item x="29"/>
        <item x="32"/>
        <item x="33"/>
        <item x="42"/>
        <item x="44"/>
        <item x="45"/>
        <item x="50"/>
        <item x="67"/>
        <item x="68"/>
        <item x="73"/>
        <item x="81"/>
        <item x="84"/>
        <item x="86"/>
        <item x="96"/>
        <item x="99"/>
        <item x="104"/>
        <item x="105"/>
        <item x="106"/>
        <item x="108"/>
        <item x="111"/>
        <item x="113"/>
        <item x="117"/>
        <item x="126"/>
        <item x="127"/>
        <item x="130"/>
        <item x="136"/>
        <item x="140"/>
        <item x="154"/>
        <item x="158"/>
        <item x="159"/>
        <item x="167"/>
        <item x="175"/>
        <item x="183"/>
        <item x="184"/>
        <item x="188"/>
        <item x="190"/>
        <item x="192"/>
        <item x="195"/>
        <item x="204"/>
        <item x="210"/>
        <item x="220"/>
        <item x="237"/>
        <item x="240"/>
        <item x="241"/>
        <item x="244"/>
        <item x="245"/>
        <item x="248"/>
        <item x="251"/>
        <item x="252"/>
        <item x="255"/>
        <item x="259"/>
        <item x="261"/>
        <item x="35"/>
        <item x="62"/>
        <item x="72"/>
        <item x="76"/>
        <item x="94"/>
        <item x="137"/>
        <item x="141"/>
        <item x="168"/>
        <item x="177"/>
        <item x="178"/>
        <item x="234"/>
        <item x="48"/>
        <item x="58"/>
        <item x="74"/>
        <item x="102"/>
        <item x="116"/>
        <item x="118"/>
        <item x="119"/>
        <item x="132"/>
        <item x="139"/>
        <item x="145"/>
        <item x="150"/>
        <item x="161"/>
        <item x="163"/>
        <item x="181"/>
        <item x="196"/>
        <item x="208"/>
        <item x="209"/>
        <item x="217"/>
        <item x="219"/>
        <item x="238"/>
        <item x="249"/>
        <item x="250"/>
      </items>
    </pivotField>
    <pivotField axis="axisRow" compact="0" outline="0" showAll="0" defaultSubtotal="0">
      <items count="267">
        <item x="0"/>
        <item x="1"/>
        <item x="2"/>
        <item x="5"/>
        <item x="7"/>
        <item x="9"/>
        <item x="10"/>
        <item x="11"/>
        <item x="12"/>
        <item x="171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69"/>
        <item x="71"/>
        <item x="114"/>
        <item x="131"/>
        <item x="160"/>
        <item x="3"/>
        <item x="75"/>
        <item x="80"/>
        <item x="83"/>
        <item x="85"/>
        <item x="191"/>
        <item x="57"/>
        <item x="63"/>
        <item x="203"/>
        <item x="79"/>
        <item x="93"/>
        <item x="100"/>
        <item x="101"/>
        <item x="103"/>
        <item x="109"/>
        <item x="110"/>
        <item x="15"/>
        <item x="121"/>
        <item x="133"/>
        <item x="189"/>
        <item x="22"/>
        <item x="70"/>
        <item x="124"/>
        <item x="125"/>
        <item x="128"/>
        <item x="8"/>
        <item x="134"/>
        <item x="135"/>
        <item x="138"/>
        <item x="142"/>
        <item x="143"/>
        <item x="144"/>
        <item x="146"/>
        <item x="147"/>
        <item x="148"/>
        <item x="149"/>
        <item x="152"/>
        <item x="153"/>
        <item x="155"/>
        <item x="156"/>
        <item x="157"/>
        <item x="162"/>
        <item x="164"/>
        <item x="166"/>
        <item x="89"/>
        <item x="97"/>
        <item x="107"/>
        <item x="170"/>
        <item x="173"/>
        <item x="174"/>
        <item x="176"/>
        <item x="257"/>
        <item x="180"/>
        <item x="182"/>
        <item x="186"/>
        <item x="187"/>
        <item x="230"/>
        <item x="194"/>
        <item x="198"/>
        <item x="77"/>
        <item x="258"/>
        <item x="260"/>
        <item x="185"/>
        <item x="17"/>
        <item x="123"/>
        <item x="201"/>
        <item x="202"/>
        <item x="205"/>
        <item x="206"/>
        <item x="211"/>
        <item x="212"/>
        <item x="213"/>
        <item x="214"/>
        <item x="216"/>
        <item x="65"/>
        <item x="112"/>
        <item x="199"/>
        <item x="218"/>
        <item x="232"/>
        <item x="18"/>
        <item x="221"/>
        <item x="222"/>
        <item x="223"/>
        <item x="225"/>
        <item x="226"/>
        <item x="227"/>
        <item x="229"/>
        <item x="231"/>
        <item x="233"/>
        <item x="235"/>
        <item x="236"/>
        <item x="239"/>
        <item x="4"/>
        <item x="246"/>
        <item x="247"/>
        <item x="253"/>
        <item x="13"/>
        <item x="115"/>
        <item x="256"/>
        <item x="262"/>
        <item x="263"/>
        <item x="56"/>
        <item x="91"/>
        <item x="40"/>
        <item x="46"/>
        <item x="193"/>
        <item x="16"/>
        <item x="265"/>
        <item x="87"/>
        <item x="228"/>
        <item x="266"/>
        <item x="20"/>
        <item x="36"/>
        <item x="39"/>
        <item x="41"/>
        <item x="43"/>
        <item x="49"/>
        <item x="53"/>
        <item x="55"/>
        <item x="66"/>
        <item x="78"/>
        <item x="82"/>
        <item x="88"/>
        <item x="90"/>
        <item x="92"/>
        <item x="95"/>
        <item x="98"/>
        <item x="120"/>
        <item x="122"/>
        <item x="129"/>
        <item x="151"/>
        <item x="165"/>
        <item x="169"/>
        <item x="172"/>
        <item x="179"/>
        <item x="197"/>
        <item x="200"/>
        <item x="207"/>
        <item x="215"/>
        <item x="224"/>
        <item x="242"/>
        <item x="243"/>
        <item x="254"/>
        <item x="264"/>
        <item x="21"/>
        <item x="26"/>
        <item x="27"/>
        <item x="29"/>
        <item x="32"/>
        <item x="33"/>
        <item x="42"/>
        <item x="44"/>
        <item x="45"/>
        <item x="50"/>
        <item x="67"/>
        <item x="68"/>
        <item x="73"/>
        <item x="81"/>
        <item x="84"/>
        <item x="86"/>
        <item x="96"/>
        <item x="99"/>
        <item x="104"/>
        <item x="105"/>
        <item x="106"/>
        <item x="108"/>
        <item x="111"/>
        <item x="113"/>
        <item x="117"/>
        <item x="126"/>
        <item x="127"/>
        <item x="130"/>
        <item x="136"/>
        <item x="140"/>
        <item x="154"/>
        <item x="158"/>
        <item x="159"/>
        <item x="167"/>
        <item x="175"/>
        <item x="183"/>
        <item x="184"/>
        <item x="188"/>
        <item x="190"/>
        <item x="192"/>
        <item x="195"/>
        <item x="204"/>
        <item x="210"/>
        <item x="220"/>
        <item x="237"/>
        <item x="240"/>
        <item x="241"/>
        <item x="244"/>
        <item x="245"/>
        <item x="248"/>
        <item x="251"/>
        <item x="252"/>
        <item x="255"/>
        <item x="259"/>
        <item x="261"/>
        <item x="35"/>
        <item x="62"/>
        <item x="72"/>
        <item x="76"/>
        <item x="94"/>
        <item x="137"/>
        <item x="141"/>
        <item x="168"/>
        <item x="177"/>
        <item x="178"/>
        <item x="234"/>
        <item x="48"/>
        <item x="58"/>
        <item x="74"/>
        <item x="102"/>
        <item x="116"/>
        <item x="118"/>
        <item x="119"/>
        <item x="132"/>
        <item x="139"/>
        <item x="145"/>
        <item x="150"/>
        <item x="161"/>
        <item x="163"/>
        <item x="181"/>
        <item x="196"/>
        <item x="208"/>
        <item x="209"/>
        <item x="217"/>
        <item x="219"/>
        <item x="238"/>
        <item x="249"/>
        <item x="250"/>
      </items>
    </pivotField>
    <pivotField axis="axisRow" compact="0" outline="0" showAll="0" defaultSubtotal="0">
      <items count="2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58"/>
        <item x="62"/>
        <item x="63"/>
        <item x="64"/>
        <item x="68"/>
        <item x="70"/>
        <item x="72"/>
        <item x="75"/>
        <item x="77"/>
        <item x="79"/>
        <item x="81"/>
        <item x="83"/>
        <item x="85"/>
        <item x="89"/>
        <item x="92"/>
        <item x="93"/>
        <item x="95"/>
        <item x="99"/>
        <item x="101"/>
        <item x="102"/>
        <item x="104"/>
        <item x="106"/>
        <item x="107"/>
        <item x="113"/>
        <item x="115"/>
        <item x="116"/>
        <item x="117"/>
        <item x="120"/>
        <item x="123"/>
        <item x="125"/>
        <item x="126"/>
        <item x="127"/>
        <item x="130"/>
        <item x="134"/>
        <item x="135"/>
        <item x="136"/>
        <item x="137"/>
        <item x="138"/>
        <item x="139"/>
        <item x="140"/>
        <item x="143"/>
        <item x="144"/>
        <item x="146"/>
        <item x="147"/>
        <item x="148"/>
        <item x="150"/>
        <item x="152"/>
        <item x="154"/>
        <item x="156"/>
        <item x="160"/>
        <item x="161"/>
        <item x="163"/>
        <item x="164"/>
        <item x="166"/>
        <item x="169"/>
        <item x="171"/>
        <item x="174"/>
        <item x="175"/>
        <item x="176"/>
        <item x="178"/>
        <item x="180"/>
        <item x="182"/>
        <item x="183"/>
        <item x="187"/>
        <item x="189"/>
        <item x="190"/>
        <item x="191"/>
        <item x="193"/>
        <item x="194"/>
        <item x="199"/>
        <item x="200"/>
        <item x="201"/>
        <item x="202"/>
        <item x="204"/>
        <item x="206"/>
        <item x="209"/>
        <item x="210"/>
        <item x="211"/>
        <item x="213"/>
        <item x="214"/>
        <item x="215"/>
        <item x="216"/>
        <item x="217"/>
        <item x="218"/>
        <item x="219"/>
        <item x="220"/>
        <item x="221"/>
        <item x="223"/>
        <item x="224"/>
        <item x="227"/>
        <item x="233"/>
        <item x="234"/>
        <item x="240"/>
        <item x="243"/>
        <item x="244"/>
        <item x="245"/>
        <item x="247"/>
        <item x="249"/>
        <item x="250"/>
        <item x="252"/>
        <item x="253"/>
        <item x="17"/>
        <item x="32"/>
        <item x="35"/>
        <item x="37"/>
        <item x="39"/>
        <item x="44"/>
        <item x="47"/>
        <item x="49"/>
        <item x="59"/>
        <item x="71"/>
        <item x="74"/>
        <item x="80"/>
        <item x="82"/>
        <item x="84"/>
        <item x="87"/>
        <item x="90"/>
        <item x="112"/>
        <item x="114"/>
        <item x="121"/>
        <item x="142"/>
        <item x="155"/>
        <item x="159"/>
        <item x="162"/>
        <item x="168"/>
        <item x="186"/>
        <item x="188"/>
        <item x="195"/>
        <item x="203"/>
        <item x="212"/>
        <item x="229"/>
        <item x="230"/>
        <item x="241"/>
        <item x="251"/>
        <item x="18"/>
        <item x="22"/>
        <item x="23"/>
        <item x="25"/>
        <item x="28"/>
        <item x="29"/>
        <item x="38"/>
        <item x="40"/>
        <item x="60"/>
        <item x="61"/>
        <item x="66"/>
        <item x="73"/>
        <item x="76"/>
        <item x="78"/>
        <item x="88"/>
        <item x="91"/>
        <item x="96"/>
        <item x="97"/>
        <item x="98"/>
        <item x="100"/>
        <item x="103"/>
        <item x="105"/>
        <item x="109"/>
        <item x="118"/>
        <item x="119"/>
        <item x="122"/>
        <item x="128"/>
        <item x="132"/>
        <item x="145"/>
        <item x="149"/>
        <item x="157"/>
        <item x="165"/>
        <item x="172"/>
        <item x="173"/>
        <item x="177"/>
        <item x="179"/>
        <item x="181"/>
        <item x="184"/>
        <item x="192"/>
        <item x="198"/>
        <item x="208"/>
        <item x="225"/>
        <item x="228"/>
        <item x="231"/>
        <item x="232"/>
        <item x="235"/>
        <item x="238"/>
        <item x="239"/>
        <item x="242"/>
        <item x="246"/>
        <item x="248"/>
        <item x="31"/>
        <item x="55"/>
        <item x="65"/>
        <item x="69"/>
        <item x="86"/>
        <item x="129"/>
        <item x="133"/>
        <item x="158"/>
        <item x="167"/>
        <item x="222"/>
        <item x="43"/>
        <item x="67"/>
        <item x="94"/>
        <item x="108"/>
        <item x="110"/>
        <item x="111"/>
        <item x="124"/>
        <item x="131"/>
        <item x="141"/>
        <item x="151"/>
        <item x="153"/>
        <item x="170"/>
        <item x="185"/>
        <item x="196"/>
        <item x="197"/>
        <item x="205"/>
        <item x="207"/>
        <item x="226"/>
        <item x="236"/>
        <item x="237"/>
      </items>
    </pivotField>
    <pivotField axis="axisPage" compact="0" outline="0" showAll="0" defaultSubtotal="0">
      <items count="6">
        <item x="3"/>
        <item x="0"/>
        <item x="2"/>
        <item x="5"/>
        <item x="1"/>
        <item x="4"/>
      </items>
    </pivotField>
    <pivotField compact="0" outline="0" showAll="0" defaultSubtotal="0"/>
    <pivotField compact="0" outline="0" showAll="0"/>
    <pivotField compact="0" outline="0" multipleItemSelectionAllowed="1" showAll="0"/>
    <pivotField compact="0" outline="0" showAll="0"/>
    <pivotField compact="0" outline="0" showAll="0"/>
    <pivotField axis="axisRow" compact="0" numFmtId="14" outline="0" showAll="0" defaultSubtotal="0">
      <items count="883">
        <item x="272"/>
        <item x="771"/>
        <item x="534"/>
        <item x="276"/>
        <item x="868"/>
        <item x="145"/>
        <item x="200"/>
        <item x="171"/>
        <item x="274"/>
        <item x="541"/>
        <item x="799"/>
        <item x="275"/>
        <item x="41"/>
        <item x="585"/>
        <item x="742"/>
        <item x="679"/>
        <item x="126"/>
        <item x="851"/>
        <item x="215"/>
        <item x="495"/>
        <item x="404"/>
        <item x="84"/>
        <item x="279"/>
        <item x="739"/>
        <item x="609"/>
        <item x="343"/>
        <item x="191"/>
        <item x="606"/>
        <item x="654"/>
        <item x="474"/>
        <item x="854"/>
        <item x="368"/>
        <item x="570"/>
        <item x="500"/>
        <item x="876"/>
        <item x="469"/>
        <item x="206"/>
        <item x="612"/>
        <item x="692"/>
        <item x="325"/>
        <item x="417"/>
        <item x="410"/>
        <item x="255"/>
        <item x="457"/>
        <item x="6"/>
        <item x="176"/>
        <item x="4"/>
        <item x="836"/>
        <item x="837"/>
        <item x="298"/>
        <item x="846"/>
        <item x="698"/>
        <item x="574"/>
        <item x="750"/>
        <item x="691"/>
        <item x="301"/>
        <item x="770"/>
        <item x="505"/>
        <item x="243"/>
        <item x="741"/>
        <item x="15"/>
        <item x="681"/>
        <item x="812"/>
        <item x="504"/>
        <item x="329"/>
        <item x="756"/>
        <item x="388"/>
        <item x="269"/>
        <item x="315"/>
        <item x="130"/>
        <item x="716"/>
        <item x="728"/>
        <item x="607"/>
        <item x="177"/>
        <item x="515"/>
        <item x="436"/>
        <item x="711"/>
        <item x="372"/>
        <item x="820"/>
        <item x="462"/>
        <item x="98"/>
        <item x="822"/>
        <item x="715"/>
        <item x="99"/>
        <item x="498"/>
        <item x="573"/>
        <item x="520"/>
        <item x="784"/>
        <item x="552"/>
        <item x="56"/>
        <item x="644"/>
        <item x="571"/>
        <item x="767"/>
        <item x="424"/>
        <item x="57"/>
        <item x="703"/>
        <item x="629"/>
        <item x="453"/>
        <item x="455"/>
        <item x="356"/>
        <item x="338"/>
        <item x="58"/>
        <item x="839"/>
        <item x="273"/>
        <item x="437"/>
        <item x="625"/>
        <item x="468"/>
        <item x="598"/>
        <item x="92"/>
        <item x="384"/>
        <item x="473"/>
        <item x="616"/>
        <item x="811"/>
        <item x="808"/>
        <item x="422"/>
        <item x="443"/>
        <item x="879"/>
        <item x="328"/>
        <item x="874"/>
        <item x="833"/>
        <item x="870"/>
        <item x="838"/>
        <item x="291"/>
        <item x="506"/>
        <item x="402"/>
        <item x="867"/>
        <item x="774"/>
        <item x="835"/>
        <item x="655"/>
        <item x="398"/>
        <item x="327"/>
        <item x="261"/>
        <item x="781"/>
        <item x="503"/>
        <item x="188"/>
        <item x="42"/>
        <item x="635"/>
        <item x="673"/>
        <item x="724"/>
        <item x="0"/>
        <item x="643"/>
        <item x="604"/>
        <item x="40"/>
        <item x="708"/>
        <item x="160"/>
        <item x="412"/>
        <item x="380"/>
        <item x="787"/>
        <item x="880"/>
        <item x="217"/>
        <item x="783"/>
        <item x="563"/>
        <item x="863"/>
        <item x="549"/>
        <item x="858"/>
        <item x="859"/>
        <item x="743"/>
        <item x="586"/>
        <item x="547"/>
        <item x="538"/>
        <item x="619"/>
        <item x="577"/>
        <item x="152"/>
        <item x="671"/>
        <item x="672"/>
        <item x="414"/>
        <item x="790"/>
        <item x="646"/>
        <item x="591"/>
        <item x="862"/>
        <item x="240"/>
        <item x="413"/>
        <item x="861"/>
        <item x="815"/>
        <item x="312"/>
        <item x="537"/>
        <item x="452"/>
        <item x="572"/>
        <item x="432"/>
        <item x="881"/>
        <item x="734"/>
        <item x="551"/>
        <item x="747"/>
        <item x="197"/>
        <item x="359"/>
        <item x="806"/>
        <item x="451"/>
        <item x="627"/>
        <item x="357"/>
        <item x="554"/>
        <item x="438"/>
        <item x="91"/>
        <item x="239"/>
        <item x="688"/>
        <item x="450"/>
        <item x="358"/>
        <item x="664"/>
        <item x="253"/>
        <item x="280"/>
        <item x="62"/>
        <item x="7"/>
        <item x="381"/>
        <item x="363"/>
        <item x="59"/>
        <item x="80"/>
        <item x="225"/>
        <item x="511"/>
        <item x="316"/>
        <item x="345"/>
        <item x="584"/>
        <item x="421"/>
        <item x="618"/>
        <item x="603"/>
        <item x="696"/>
        <item x="665"/>
        <item x="661"/>
        <item x="594"/>
        <item x="324"/>
        <item x="278"/>
        <item x="210"/>
        <item x="219"/>
        <item x="3"/>
        <item x="267"/>
        <item x="2"/>
        <item x="334"/>
        <item x="642"/>
        <item x="101"/>
        <item x="583"/>
        <item x="218"/>
        <item x="725"/>
        <item x="326"/>
        <item x="628"/>
        <item x="522"/>
        <item x="68"/>
        <item x="110"/>
        <item x="813"/>
        <item x="660"/>
        <item x="277"/>
        <item x="518"/>
        <item x="50"/>
        <item x="186"/>
        <item x="397"/>
        <item x="757"/>
        <item x="800"/>
        <item x="733"/>
        <item x="85"/>
        <item x="411"/>
        <item x="144"/>
        <item x="762"/>
        <item x="853"/>
        <item x="744"/>
        <item x="608"/>
        <item x="882"/>
        <item x="723"/>
        <item x="855"/>
        <item x="435"/>
        <item x="803"/>
        <item x="207"/>
        <item x="211"/>
        <item x="529"/>
        <item x="746"/>
        <item x="834"/>
        <item x="285"/>
        <item x="527"/>
        <item x="491"/>
        <item x="528"/>
        <item x="849"/>
        <item x="294"/>
        <item x="309"/>
        <item x="258"/>
        <item x="536"/>
        <item x="745"/>
        <item x="336"/>
        <item x="758"/>
        <item x="446"/>
        <item x="1"/>
        <item x="785"/>
        <item x="367"/>
        <item x="748"/>
        <item x="804"/>
        <item x="296"/>
        <item x="330"/>
        <item x="630"/>
        <item x="14"/>
        <item x="701"/>
        <item x="292"/>
        <item x="866"/>
        <item x="213"/>
        <item x="729"/>
        <item x="365"/>
        <item x="656"/>
        <item x="136"/>
        <item x="755"/>
        <item x="666"/>
        <item x="153"/>
        <item x="244"/>
        <item x="102"/>
        <item x="364"/>
        <item x="439"/>
        <item x="156"/>
        <item x="374"/>
        <item x="390"/>
        <item x="687"/>
        <item x="796"/>
        <item x="845"/>
        <item x="501"/>
        <item x="340"/>
        <item x="684"/>
        <item x="525"/>
        <item x="220"/>
        <item x="209"/>
        <item x="759"/>
        <item x="878"/>
        <item x="667"/>
        <item x="313"/>
        <item x="633"/>
        <item x="458"/>
        <item x="415"/>
        <item x="18"/>
        <item x="877"/>
        <item x="470"/>
        <item x="634"/>
        <item x="844"/>
        <item x="283"/>
        <item x="766"/>
        <item x="637"/>
        <item x="71"/>
        <item x="67"/>
        <item x="842"/>
        <item x="843"/>
        <item x="323"/>
        <item x="814"/>
        <item x="763"/>
        <item x="214"/>
        <item x="63"/>
        <item x="314"/>
        <item x="760"/>
        <item x="794"/>
        <item x="66"/>
        <item x="517"/>
        <item x="514"/>
        <item x="128"/>
        <item x="17"/>
        <item x="754"/>
        <item x="87"/>
        <item x="502"/>
        <item x="639"/>
        <item x="227"/>
        <item x="212"/>
        <item x="442"/>
        <item x="366"/>
        <item x="732"/>
        <item x="545"/>
        <item x="295"/>
        <item x="797"/>
        <item x="663"/>
        <item x="512"/>
        <item x="162"/>
        <item x="369"/>
        <item x="513"/>
        <item x="776"/>
        <item x="817"/>
        <item x="161"/>
        <item x="389"/>
        <item x="496"/>
        <item x="178"/>
        <item x="379"/>
        <item x="544"/>
        <item x="823"/>
        <item x="657"/>
        <item x="848"/>
        <item x="342"/>
        <item x="582"/>
        <item x="543"/>
        <item x="32"/>
        <item x="391"/>
        <item x="680"/>
        <item x="768"/>
        <item x="841"/>
        <item x="198"/>
        <item x="700"/>
        <item x="587"/>
        <item x="562"/>
        <item x="293"/>
        <item x="350"/>
        <item x="682"/>
        <item x="86"/>
        <item x="480"/>
        <item x="875"/>
        <item x="22"/>
        <item x="478"/>
        <item x="479"/>
        <item x="710"/>
        <item x="795"/>
        <item x="840"/>
        <item x="428"/>
        <item x="810"/>
        <item x="852"/>
        <item x="775"/>
        <item x="427"/>
        <item x="693"/>
        <item x="353"/>
        <item x="429"/>
        <item x="423"/>
        <item x="694"/>
        <item x="426"/>
        <item x="70"/>
        <item x="246"/>
        <item x="5"/>
        <item x="223"/>
        <item x="181"/>
        <item x="535"/>
        <item x="707"/>
        <item x="447"/>
        <item x="149"/>
        <item x="731"/>
        <item x="383"/>
        <item x="780"/>
        <item x="779"/>
        <item x="526"/>
        <item x="97"/>
        <item x="403"/>
        <item x="831"/>
        <item x="204"/>
        <item x="318"/>
        <item x="185"/>
        <item x="730"/>
        <item x="475"/>
        <item x="333"/>
        <item x="151"/>
        <item x="143"/>
        <item x="33"/>
        <item x="706"/>
        <item x="777"/>
        <item x="575"/>
        <item x="651"/>
        <item x="830"/>
        <item x="83"/>
        <item x="499"/>
        <item x="531"/>
        <item x="37"/>
        <item x="169"/>
        <item x="303"/>
        <item x="670"/>
        <item x="12"/>
        <item x="400"/>
        <item x="492"/>
        <item x="195"/>
        <item x="826"/>
        <item x="341"/>
        <item x="675"/>
        <item x="141"/>
        <item x="406"/>
        <item x="463"/>
        <item x="165"/>
        <item x="346"/>
        <item x="121"/>
        <item x="408"/>
        <item x="20"/>
        <item x="335"/>
        <item x="638"/>
        <item x="175"/>
        <item x="650"/>
        <item x="712"/>
        <item x="28"/>
        <item x="441"/>
        <item x="229"/>
        <item x="317"/>
        <item x="182"/>
        <item x="224"/>
        <item x="699"/>
        <item x="150"/>
        <item x="49"/>
        <item x="653"/>
        <item x="288"/>
        <item x="483"/>
        <item x="180"/>
        <item x="199"/>
        <item x="31"/>
        <item x="319"/>
        <item x="48"/>
        <item x="816"/>
        <item x="119"/>
        <item x="302"/>
        <item x="10"/>
        <item x="299"/>
        <item x="856"/>
        <item x="104"/>
        <item x="123"/>
        <item x="321"/>
        <item x="614"/>
        <item x="75"/>
        <item x="449"/>
        <item x="184"/>
        <item x="146"/>
        <item x="137"/>
        <item x="183"/>
        <item x="354"/>
        <item x="600"/>
        <item x="290"/>
        <item x="686"/>
        <item x="106"/>
        <item x="44"/>
        <item x="238"/>
        <item x="64"/>
        <item x="472"/>
        <item x="510"/>
        <item x="16"/>
        <item x="300"/>
        <item x="782"/>
        <item x="208"/>
        <item x="30"/>
        <item x="322"/>
        <item x="533"/>
        <item x="769"/>
        <item x="793"/>
        <item x="516"/>
        <item x="540"/>
        <item x="55"/>
        <item x="377"/>
        <item x="378"/>
        <item x="471"/>
        <item x="722"/>
        <item x="641"/>
        <item x="387"/>
        <item x="385"/>
        <item x="53"/>
        <item x="721"/>
        <item x="331"/>
        <item x="620"/>
        <item x="668"/>
        <item x="778"/>
        <item x="865"/>
        <item x="393"/>
        <item x="829"/>
        <item x="47"/>
        <item x="376"/>
        <item x="125"/>
        <item x="124"/>
        <item x="166"/>
        <item x="232"/>
        <item x="282"/>
        <item x="466"/>
        <item x="579"/>
        <item x="289"/>
        <item x="493"/>
        <item x="82"/>
        <item x="112"/>
        <item x="580"/>
        <item x="555"/>
        <item x="39"/>
        <item x="337"/>
        <item x="196"/>
        <item x="257"/>
        <item x="791"/>
        <item x="444"/>
        <item x="362"/>
        <item x="235"/>
        <item x="51"/>
        <item x="205"/>
        <item x="550"/>
        <item x="242"/>
        <item x="19"/>
        <item x="8"/>
        <item x="69"/>
        <item x="245"/>
        <item x="228"/>
        <item x="320"/>
        <item x="35"/>
        <item x="103"/>
        <item x="154"/>
        <item x="430"/>
        <item x="60"/>
        <item x="659"/>
        <item x="576"/>
        <item x="29"/>
        <item x="524"/>
        <item x="564"/>
        <item x="270"/>
        <item x="440"/>
        <item x="259"/>
        <item x="167"/>
        <item x="132"/>
        <item x="454"/>
        <item x="281"/>
        <item x="45"/>
        <item x="93"/>
        <item x="621"/>
        <item x="652"/>
        <item x="685"/>
        <item x="749"/>
        <item x="127"/>
        <item x="623"/>
        <item x="297"/>
        <item x="221"/>
        <item x="420"/>
        <item x="697"/>
        <item x="611"/>
        <item x="736"/>
        <item x="805"/>
        <item x="251"/>
        <item x="72"/>
        <item x="247"/>
        <item x="81"/>
        <item x="249"/>
        <item x="824"/>
        <item x="115"/>
        <item x="873"/>
        <item x="567"/>
        <item x="108"/>
        <item x="481"/>
        <item x="52"/>
        <item x="105"/>
        <item x="847"/>
        <item x="173"/>
        <item x="26"/>
        <item x="595"/>
        <item x="662"/>
        <item x="548"/>
        <item x="864"/>
        <item x="236"/>
        <item x="636"/>
        <item x="107"/>
        <item x="752"/>
        <item x="401"/>
        <item x="266"/>
        <item x="371"/>
        <item x="720"/>
        <item x="36"/>
        <item x="802"/>
        <item x="566"/>
        <item x="818"/>
        <item x="602"/>
        <item x="465"/>
        <item x="241"/>
        <item x="268"/>
        <item x="405"/>
        <item x="615"/>
        <item x="557"/>
        <item x="264"/>
        <item x="250"/>
        <item x="201"/>
        <item x="416"/>
        <item x="704"/>
        <item x="792"/>
        <item x="96"/>
        <item x="386"/>
        <item x="216"/>
        <item x="89"/>
        <item x="113"/>
        <item x="265"/>
        <item x="76"/>
        <item x="79"/>
        <item x="464"/>
        <item x="809"/>
        <item x="311"/>
        <item x="448"/>
        <item x="222"/>
        <item x="13"/>
        <item x="519"/>
        <item x="676"/>
        <item x="233"/>
        <item x="260"/>
        <item x="256"/>
        <item x="860"/>
        <item x="399"/>
        <item x="109"/>
        <item x="484"/>
        <item x="287"/>
        <item x="172"/>
        <item x="192"/>
        <item x="95"/>
        <item x="170"/>
        <item x="304"/>
        <item x="801"/>
        <item x="370"/>
        <item x="187"/>
        <item x="11"/>
        <item x="164"/>
        <item x="25"/>
        <item x="77"/>
        <item x="21"/>
        <item x="147"/>
        <item x="556"/>
        <item x="226"/>
        <item x="138"/>
        <item x="786"/>
        <item x="157"/>
        <item x="203"/>
        <item x="482"/>
        <item x="271"/>
        <item x="476"/>
        <item x="163"/>
        <item x="38"/>
        <item x="523"/>
        <item x="622"/>
        <item x="578"/>
        <item x="617"/>
        <item x="490"/>
        <item x="740"/>
        <item x="565"/>
        <item x="419"/>
        <item x="347"/>
        <item x="477"/>
        <item x="54"/>
        <item x="467"/>
        <item x="139"/>
        <item x="640"/>
        <item x="648"/>
        <item x="521"/>
        <item x="530"/>
        <item x="626"/>
        <item x="375"/>
        <item x="546"/>
        <item x="407"/>
        <item x="431"/>
        <item x="497"/>
        <item x="857"/>
        <item x="605"/>
        <item x="751"/>
        <item x="486"/>
        <item x="433"/>
        <item x="179"/>
        <item x="559"/>
        <item x="360"/>
        <item x="735"/>
        <item x="117"/>
        <item x="658"/>
        <item x="542"/>
        <item x="310"/>
        <item x="590"/>
        <item x="286"/>
        <item x="155"/>
        <item x="252"/>
        <item x="158"/>
        <item x="677"/>
        <item x="396"/>
        <item x="737"/>
        <item x="308"/>
        <item x="610"/>
        <item x="190"/>
        <item x="140"/>
        <item x="445"/>
        <item x="27"/>
        <item x="88"/>
        <item x="168"/>
        <item x="118"/>
        <item x="262"/>
        <item x="9"/>
        <item x="394"/>
        <item x="395"/>
        <item x="231"/>
        <item x="761"/>
        <item x="819"/>
        <item x="532"/>
        <item x="460"/>
        <item x="305"/>
        <item x="409"/>
        <item x="189"/>
        <item x="592"/>
        <item x="418"/>
        <item x="355"/>
        <item x="332"/>
        <item x="90"/>
        <item x="553"/>
        <item x="133"/>
        <item x="351"/>
        <item x="116"/>
        <item x="237"/>
        <item x="669"/>
        <item x="306"/>
        <item x="344"/>
        <item x="284"/>
        <item x="596"/>
        <item x="307"/>
        <item x="717"/>
        <item x="34"/>
        <item x="718"/>
        <item x="825"/>
        <item x="647"/>
        <item x="78"/>
        <item x="695"/>
        <item x="202"/>
        <item x="461"/>
        <item x="248"/>
        <item x="361"/>
        <item x="74"/>
        <item x="339"/>
        <item x="373"/>
        <item x="234"/>
        <item x="94"/>
        <item x="134"/>
        <item x="539"/>
        <item x="174"/>
        <item x="159"/>
        <item x="494"/>
        <item x="593"/>
        <item x="788"/>
        <item x="713"/>
        <item x="601"/>
        <item x="434"/>
        <item x="558"/>
        <item x="599"/>
        <item x="485"/>
        <item x="122"/>
        <item x="487"/>
        <item x="129"/>
        <item x="807"/>
        <item x="674"/>
        <item x="850"/>
        <item x="581"/>
        <item x="456"/>
        <item x="142"/>
        <item x="632"/>
        <item x="726"/>
        <item x="509"/>
        <item x="588"/>
        <item x="508"/>
        <item x="727"/>
        <item x="489"/>
        <item x="714"/>
        <item x="678"/>
        <item x="425"/>
        <item x="148"/>
        <item x="560"/>
        <item x="100"/>
        <item x="683"/>
        <item x="24"/>
        <item x="753"/>
        <item x="120"/>
        <item x="702"/>
        <item x="649"/>
        <item x="488"/>
        <item x="73"/>
        <item x="352"/>
        <item x="507"/>
        <item x="348"/>
        <item x="689"/>
        <item x="772"/>
        <item x="789"/>
        <item x="773"/>
        <item x="569"/>
        <item x="349"/>
        <item x="705"/>
        <item x="821"/>
        <item x="135"/>
        <item x="872"/>
        <item x="765"/>
        <item x="869"/>
        <item x="764"/>
        <item x="798"/>
        <item x="690"/>
        <item x="827"/>
        <item x="23"/>
        <item x="382"/>
        <item x="46"/>
        <item x="43"/>
        <item x="597"/>
        <item x="719"/>
        <item x="131"/>
        <item x="263"/>
        <item x="392"/>
        <item x="194"/>
        <item x="589"/>
        <item x="114"/>
        <item x="561"/>
        <item x="111"/>
        <item x="613"/>
        <item x="230"/>
        <item x="631"/>
        <item x="645"/>
        <item x="738"/>
        <item x="61"/>
        <item x="65"/>
        <item x="709"/>
        <item x="254"/>
        <item x="832"/>
        <item x="568"/>
        <item x="828"/>
        <item x="871"/>
        <item x="193"/>
        <item x="624"/>
        <item x="459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axis="axisRow" compact="0" outline="0" showAll="0">
      <items count="14">
        <item x="2"/>
        <item x="5"/>
        <item x="7"/>
        <item x="6"/>
        <item x="1"/>
        <item x="9"/>
        <item x="4"/>
        <item x="11"/>
        <item x="3"/>
        <item h="1" x="0"/>
        <item x="8"/>
        <item x="10"/>
        <item x="12"/>
        <item t="default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7">
        <item x="11"/>
        <item x="2"/>
        <item x="15"/>
        <item x="12"/>
        <item x="16"/>
        <item x="0"/>
        <item x="1"/>
        <item x="10"/>
        <item x="14"/>
        <item x="3"/>
        <item x="7"/>
        <item x="13"/>
        <item x="9"/>
        <item x="6"/>
        <item x="4"/>
        <item x="5"/>
        <item x="8"/>
      </items>
    </pivotField>
    <pivotField axis="axisPage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Page" compact="0" outline="0" showAll="0" defaultSubtotal="0">
      <items count="61">
        <item x="28"/>
        <item x="35"/>
        <item x="54"/>
        <item x="26"/>
        <item x="55"/>
        <item x="57"/>
        <item x="13"/>
        <item x="53"/>
        <item x="44"/>
        <item x="56"/>
        <item x="37"/>
        <item x="60"/>
        <item x="48"/>
        <item x="24"/>
        <item x="52"/>
        <item x="14"/>
        <item x="16"/>
        <item x="38"/>
        <item x="36"/>
        <item x="34"/>
        <item x="2"/>
        <item x="10"/>
        <item x="40"/>
        <item x="49"/>
        <item x="58"/>
        <item x="50"/>
        <item x="23"/>
        <item x="21"/>
        <item x="9"/>
        <item x="45"/>
        <item x="32"/>
        <item x="4"/>
        <item x="41"/>
        <item x="46"/>
        <item x="27"/>
        <item x="1"/>
        <item x="59"/>
        <item x="5"/>
        <item x="22"/>
        <item x="31"/>
        <item x="30"/>
        <item x="0"/>
        <item x="18"/>
        <item x="42"/>
        <item x="33"/>
        <item x="19"/>
        <item x="47"/>
        <item x="15"/>
        <item x="11"/>
        <item x="43"/>
        <item x="7"/>
        <item x="20"/>
        <item x="25"/>
        <item x="39"/>
        <item x="51"/>
        <item x="29"/>
        <item x="6"/>
        <item x="17"/>
        <item x="12"/>
        <item x="8"/>
        <item x="3"/>
      </items>
    </pivotField>
    <pivotField compact="0" outline="0" dragToRow="0" dragToCol="0" dragToPage="0" showAll="0" defaultSubtotal="0"/>
  </pivotFields>
  <rowFields count="5">
    <field x="3"/>
    <field x="1"/>
    <field x="2"/>
    <field x="10"/>
    <field x="17"/>
  </rowFields>
  <rowItems count="243">
    <i>
      <x v="1"/>
      <x v="57"/>
      <x v="1"/>
      <x v="46"/>
      <x v="4"/>
    </i>
    <i>
      <x v="2"/>
      <x v="55"/>
      <x v="2"/>
      <x v="60"/>
      <x/>
    </i>
    <i>
      <x v="3"/>
      <x v="144"/>
      <x v="35"/>
      <x v="853"/>
      <x v="8"/>
    </i>
    <i>
      <x v="4"/>
      <x v="19"/>
      <x v="127"/>
      <x v="464"/>
      <x v="6"/>
    </i>
    <i>
      <x v="5"/>
      <x v="45"/>
      <x v="3"/>
      <x v="142"/>
      <x v="1"/>
    </i>
    <i>
      <x v="6"/>
      <x v="3"/>
      <x v="4"/>
      <x v="480"/>
      <x v="6"/>
    </i>
    <i r="1">
      <x v="11"/>
      <x v="60"/>
      <x v="480"/>
      <x v="6"/>
    </i>
    <i r="1">
      <x v="95"/>
      <x v="20"/>
      <x v="480"/>
      <x v="6"/>
    </i>
    <i>
      <x v="8"/>
      <x v="75"/>
      <x v="6"/>
      <x v="89"/>
      <x v="6"/>
    </i>
    <i>
      <x v="11"/>
      <x v="24"/>
      <x v="131"/>
      <x v="535"/>
      <x/>
    </i>
    <i r="3">
      <x v="601"/>
      <x/>
    </i>
    <i r="3">
      <x v="833"/>
      <x v="4"/>
    </i>
    <i>
      <x v="17"/>
      <x v="87"/>
      <x v="55"/>
      <x v="609"/>
      <x v="3"/>
    </i>
    <i>
      <x v="18"/>
      <x v="91"/>
      <x v="12"/>
      <x v="482"/>
      <x v="6"/>
    </i>
    <i r="1">
      <x v="143"/>
      <x v="13"/>
      <x v="746"/>
      <x v="6"/>
    </i>
    <i>
      <x v="19"/>
      <x v="65"/>
      <x v="14"/>
      <x v="538"/>
      <x v="2"/>
    </i>
    <i>
      <x v="20"/>
      <x v="18"/>
      <x v="15"/>
      <x v="414"/>
      <x v="6"/>
    </i>
    <i>
      <x v="21"/>
      <x v="78"/>
      <x v="16"/>
      <x v="539"/>
      <x v="2"/>
    </i>
    <i>
      <x v="23"/>
      <x v="4"/>
      <x v="18"/>
      <x v="493"/>
      <x v="3"/>
    </i>
    <i>
      <x v="25"/>
      <x v="132"/>
      <x v="21"/>
      <x v="585"/>
      <x v="2"/>
    </i>
    <i>
      <x v="26"/>
      <x v="73"/>
      <x v="138"/>
      <x v="469"/>
      <x v="6"/>
    </i>
    <i>
      <x v="27"/>
      <x v="134"/>
      <x v="139"/>
      <x v="602"/>
      <x v="8"/>
    </i>
    <i>
      <x v="29"/>
      <x v="188"/>
      <x v="188"/>
      <x v="639"/>
      <x v="6"/>
    </i>
    <i>
      <x v="30"/>
      <x v="10"/>
      <x v="23"/>
      <x v="681"/>
      <x v="6"/>
    </i>
    <i>
      <x v="33"/>
      <x v="81"/>
      <x v="41"/>
      <x v="670"/>
      <x v="8"/>
    </i>
    <i r="1">
      <x v="246"/>
      <x v="246"/>
      <x v="670"/>
      <x v="8"/>
    </i>
    <i>
      <x v="34"/>
      <x v="74"/>
      <x v="26"/>
      <x v="49"/>
      <x v="4"/>
    </i>
    <i r="3">
      <x v="485"/>
      <x v="6"/>
    </i>
    <i>
      <x v="35"/>
      <x v="5"/>
      <x v="29"/>
      <x v="756"/>
      <x/>
    </i>
    <i>
      <x v="36"/>
      <x v="29"/>
      <x v="27"/>
      <x v="68"/>
      <x v="6"/>
    </i>
    <i>
      <x v="37"/>
      <x v="63"/>
      <x v="42"/>
      <x v="39"/>
      <x v="6"/>
    </i>
    <i>
      <x v="38"/>
      <x v="77"/>
      <x v="28"/>
      <x v="428"/>
      <x v="6"/>
    </i>
    <i>
      <x v="39"/>
      <x v="33"/>
      <x v="109"/>
      <x v="25"/>
      <x v="4"/>
    </i>
    <i>
      <x v="40"/>
      <x v="47"/>
      <x v="30"/>
      <x v="99"/>
      <x v="6"/>
    </i>
    <i>
      <x v="42"/>
      <x v="60"/>
      <x v="31"/>
      <x v="31"/>
      <x v="5"/>
    </i>
    <i>
      <x v="44"/>
      <x v="80"/>
      <x v="94"/>
      <x v="109"/>
      <x v="2"/>
    </i>
    <i r="3">
      <x v="525"/>
      <x v="6"/>
    </i>
    <i>
      <x v="45"/>
      <x v="62"/>
      <x v="37"/>
      <x v="124"/>
      <x v="6"/>
    </i>
    <i r="3">
      <x v="421"/>
      <x v="6"/>
    </i>
    <i r="3">
      <x v="485"/>
      <x v="6"/>
    </i>
    <i r="1">
      <x v="104"/>
      <x v="44"/>
      <x v="124"/>
      <x v="6"/>
    </i>
    <i r="3">
      <x v="421"/>
      <x v="6"/>
    </i>
    <i r="3">
      <x v="480"/>
      <x v="6"/>
    </i>
    <i>
      <x v="48"/>
      <x v="124"/>
      <x v="143"/>
      <x v="405"/>
      <x v="8"/>
    </i>
    <i>
      <x v="49"/>
      <x v="49"/>
      <x v="79"/>
      <x v="675"/>
      <x v="6"/>
    </i>
    <i>
      <x v="51"/>
      <x v="139"/>
      <x v="45"/>
      <x v="649"/>
      <x/>
    </i>
    <i>
      <x v="52"/>
      <x v="76"/>
      <x v="80"/>
      <x v="97"/>
      <x v="2"/>
    </i>
    <i r="3">
      <x v="563"/>
      <x v="6"/>
    </i>
    <i>
      <x v="53"/>
      <x v="70"/>
      <x v="46"/>
      <x v="505"/>
      <x v="6"/>
    </i>
    <i>
      <x v="54"/>
      <x v="6"/>
      <x v="47"/>
      <x v="538"/>
      <x v="2"/>
    </i>
    <i>
      <x v="55"/>
      <x v="51"/>
      <x v="48"/>
      <x v="667"/>
      <x v="7"/>
    </i>
    <i>
      <x v="56"/>
      <x v="96"/>
      <x v="81"/>
      <x v="57"/>
      <x v="6"/>
    </i>
    <i>
      <x v="58"/>
      <x v="67"/>
      <x v="50"/>
      <x v="516"/>
      <x v="2"/>
    </i>
    <i>
      <x v="59"/>
      <x v="83"/>
      <x v="110"/>
      <x v="86"/>
      <x v="2"/>
    </i>
    <i r="3">
      <x v="659"/>
      <x v="6"/>
    </i>
    <i>
      <x v="60"/>
      <x v="102"/>
      <x v="32"/>
      <x v="520"/>
      <x v="8"/>
    </i>
    <i>
      <x v="62"/>
      <x v="16"/>
      <x v="52"/>
      <x v="387"/>
      <x v="1"/>
    </i>
    <i>
      <x v="64"/>
      <x v="2"/>
      <x v="57"/>
      <x v="57"/>
      <x v="6"/>
    </i>
    <i r="3">
      <x v="158"/>
      <x v="6"/>
    </i>
    <i>
      <x v="65"/>
      <x v="30"/>
      <x v="58"/>
      <x v="88"/>
      <x v="2"/>
    </i>
    <i r="3">
      <x v="650"/>
      <x v="2"/>
    </i>
    <i>
      <x v="66"/>
      <x v="52"/>
      <x v="59"/>
      <x v="382"/>
      <x v="8"/>
    </i>
    <i>
      <x v="68"/>
      <x v="72"/>
      <x v="53"/>
      <x v="52"/>
      <x v="2"/>
    </i>
    <i r="3">
      <x v="434"/>
      <x v="2"/>
    </i>
    <i>
      <x v="69"/>
      <x v="27"/>
      <x v="61"/>
      <x v="533"/>
      <x v="6"/>
    </i>
    <i>
      <x v="71"/>
      <x v="89"/>
      <x v="63"/>
      <x v="561"/>
      <x v="8"/>
    </i>
    <i>
      <x v="72"/>
      <x v="68"/>
      <x v="64"/>
      <x v="97"/>
      <x v="2"/>
    </i>
    <i r="3">
      <x v="568"/>
      <x v="6"/>
    </i>
    <i>
      <x v="74"/>
      <x v="28"/>
      <x v="66"/>
      <x v="480"/>
      <x v="3"/>
    </i>
    <i r="1">
      <x v="254"/>
      <x v="254"/>
      <x v="480"/>
      <x v="3"/>
    </i>
    <i>
      <x v="77"/>
      <x v="100"/>
      <x v="69"/>
      <x v="106"/>
      <x v="6"/>
    </i>
    <i>
      <x v="78"/>
      <x v="48"/>
      <x v="70"/>
      <x v="387"/>
      <x v="6"/>
    </i>
    <i>
      <x v="79"/>
      <x v="125"/>
      <x v="71"/>
      <x v="499"/>
      <x v="6"/>
    </i>
    <i>
      <x v="80"/>
      <x/>
      <x v="72"/>
      <x v="620"/>
      <x v="8"/>
    </i>
    <i>
      <x v="81"/>
      <x v="103"/>
      <x v="73"/>
      <x v="441"/>
      <x v="6"/>
    </i>
    <i>
      <x v="82"/>
      <x v="79"/>
      <x v="74"/>
      <x v="518"/>
      <x v="6"/>
    </i>
    <i>
      <x v="83"/>
      <x v="94"/>
      <x v="75"/>
      <x v="90"/>
      <x/>
    </i>
    <i>
      <x v="86"/>
      <x v="21"/>
      <x v="77"/>
      <x v="28"/>
      <x v="5"/>
    </i>
    <i r="3">
      <x v="511"/>
      <x v="6"/>
    </i>
    <i>
      <x v="87"/>
      <x v="38"/>
      <x v="78"/>
      <x v="100"/>
      <x v="4"/>
    </i>
    <i r="3">
      <x v="215"/>
      <x v="2"/>
    </i>
    <i r="3">
      <x v="575"/>
      <x v="6"/>
    </i>
    <i r="3">
      <x v="617"/>
      <x v="6"/>
    </i>
    <i>
      <x v="89"/>
      <x v="142"/>
      <x v="9"/>
      <x v="782"/>
      <x v="8"/>
    </i>
    <i r="3">
      <x v="808"/>
      <x v="8"/>
    </i>
    <i>
      <x v="91"/>
      <x v="56"/>
      <x v="84"/>
      <x v="821"/>
      <x v="6"/>
    </i>
    <i>
      <x v="94"/>
      <x v="85"/>
      <x v="88"/>
      <x v="54"/>
      <x v="6"/>
    </i>
    <i r="3">
      <x v="505"/>
      <x v="5"/>
    </i>
    <i>
      <x v="95"/>
      <x v="90"/>
      <x v="97"/>
      <x v="51"/>
      <x v="6"/>
    </i>
    <i r="3">
      <x v="596"/>
      <x v="6"/>
    </i>
    <i>
      <x v="97"/>
      <x v="69"/>
      <x v="90"/>
      <x v="95"/>
      <x v="4"/>
    </i>
    <i r="3">
      <x v="643"/>
      <x/>
    </i>
    <i>
      <x v="98"/>
      <x v="86"/>
      <x v="54"/>
      <x v="143"/>
      <x v="1"/>
    </i>
    <i r="3">
      <x v="412"/>
      <x v="6"/>
    </i>
    <i>
      <x v="102"/>
      <x v="58"/>
      <x v="93"/>
      <x v="71"/>
      <x v="5"/>
    </i>
    <i r="3">
      <x v="493"/>
      <x v="6"/>
    </i>
    <i r="1">
      <x v="92"/>
      <x v="111"/>
      <x v="71"/>
      <x v="5"/>
    </i>
    <i r="3">
      <x v="493"/>
      <x v="6"/>
    </i>
    <i>
      <x v="104"/>
      <x v="1"/>
      <x v="101"/>
      <x v="122"/>
      <x v="4"/>
    </i>
    <i>
      <x v="105"/>
      <x v="88"/>
      <x v="43"/>
      <x v="598"/>
      <x v="6"/>
    </i>
    <i>
      <x v="106"/>
      <x v="9"/>
      <x v="102"/>
      <x v="59"/>
      <x v="2"/>
    </i>
    <i>
      <x v="108"/>
      <x v="118"/>
      <x v="104"/>
      <x v="623"/>
      <x v="1"/>
    </i>
    <i>
      <x v="109"/>
      <x v="13"/>
      <x v="105"/>
      <x v="65"/>
      <x v="2"/>
    </i>
    <i r="3">
      <x v="456"/>
      <x v="6"/>
    </i>
    <i>
      <x v="110"/>
      <x v="71"/>
      <x v="106"/>
      <x v="463"/>
      <x v="6"/>
    </i>
    <i>
      <x v="113"/>
      <x v="34"/>
      <x v="112"/>
      <x v="514"/>
      <x v="2"/>
    </i>
    <i>
      <x v="114"/>
      <x v="84"/>
      <x v="115"/>
      <x v="580"/>
      <x v="6"/>
    </i>
    <i>
      <x v="115"/>
      <x v="7"/>
      <x v="116"/>
      <x v="147"/>
      <x/>
    </i>
    <i r="3">
      <x v="797"/>
      <x v="8"/>
    </i>
    <i>
      <x v="116"/>
      <x v="53"/>
      <x v="117"/>
      <x v="515"/>
      <x v="2"/>
    </i>
    <i>
      <x v="117"/>
      <x v="122"/>
      <x v="118"/>
      <x v="575"/>
      <x v="6"/>
    </i>
    <i>
      <x v="120"/>
      <x v="135"/>
      <x v="144"/>
      <x v="679"/>
      <x/>
    </i>
    <i>
      <x v="121"/>
      <x v="40"/>
      <x v="121"/>
      <x v="113"/>
      <x v="2"/>
    </i>
    <i r="3">
      <x v="666"/>
      <x v="2"/>
    </i>
    <i>
      <x v="125"/>
      <x v="17"/>
      <x v="123"/>
      <x v="551"/>
      <x v="3"/>
    </i>
    <i>
      <x v="128"/>
      <x v="114"/>
      <x v="126"/>
      <x v="561"/>
      <x v="2"/>
    </i>
    <i r="3">
      <x v="605"/>
      <x v="2"/>
    </i>
    <i>
      <x v="129"/>
      <x v="127"/>
      <x v="128"/>
      <x v="438"/>
      <x v="8"/>
    </i>
    <i>
      <x v="130"/>
      <x v="8"/>
      <x v="129"/>
      <x v="119"/>
      <x v="4"/>
    </i>
    <i>
      <x v="131"/>
      <x v="66"/>
      <x v="130"/>
      <x v="405"/>
      <x v="8"/>
    </i>
    <i>
      <x v="132"/>
      <x v="35"/>
      <x v="133"/>
      <x v="154"/>
      <x v="6"/>
    </i>
    <i r="3">
      <x v="186"/>
      <x v="6"/>
    </i>
    <i>
      <x v="133"/>
      <x v="20"/>
      <x v="86"/>
      <x v="581"/>
      <x v="8"/>
    </i>
    <i>
      <x v="134"/>
      <x v="136"/>
      <x v="95"/>
      <x v="622"/>
      <x v="8"/>
    </i>
    <i>
      <x v="135"/>
      <x v="116"/>
      <x v="96"/>
      <x v="125"/>
      <x v="2"/>
    </i>
    <i>
      <x v="136"/>
      <x v="32"/>
      <x v="134"/>
      <x v="41"/>
      <x v="6"/>
    </i>
    <i>
      <x v="137"/>
      <x v="128"/>
      <x v="135"/>
      <x v="491"/>
      <x v="6"/>
    </i>
    <i>
      <x v="138"/>
      <x v="111"/>
      <x v="142"/>
      <x v="252"/>
      <x v="6"/>
    </i>
    <i>
      <x v="141"/>
      <x v="147"/>
      <x v="147"/>
      <x v="461"/>
      <x v="6"/>
    </i>
    <i>
      <x v="142"/>
      <x v="148"/>
      <x v="148"/>
      <x v="36"/>
      <x v="6"/>
    </i>
    <i r="3">
      <x v="257"/>
      <x v="6"/>
    </i>
    <i r="3">
      <x v="559"/>
      <x v="6"/>
    </i>
    <i>
      <x v="145"/>
      <x v="151"/>
      <x v="151"/>
      <x v="747"/>
      <x v="8"/>
    </i>
    <i>
      <x v="146"/>
      <x v="152"/>
      <x v="152"/>
      <x v="3"/>
      <x v="10"/>
    </i>
    <i r="3">
      <x v="8"/>
      <x v="10"/>
    </i>
    <i r="3">
      <x v="11"/>
      <x v="10"/>
    </i>
    <i r="3">
      <x v="103"/>
      <x v="4"/>
    </i>
    <i>
      <x v="148"/>
      <x v="154"/>
      <x v="154"/>
      <x v="447"/>
      <x v="4"/>
    </i>
    <i>
      <x v="149"/>
      <x v="155"/>
      <x v="155"/>
      <x v="620"/>
      <x v="7"/>
    </i>
    <i r="3">
      <x v="749"/>
      <x v="11"/>
    </i>
    <i>
      <x v="150"/>
      <x v="156"/>
      <x v="156"/>
      <x v="41"/>
      <x v="6"/>
    </i>
    <i>
      <x v="152"/>
      <x v="158"/>
      <x v="158"/>
      <x v="482"/>
      <x v="6"/>
    </i>
    <i>
      <x v="153"/>
      <x v="159"/>
      <x v="159"/>
      <x v="454"/>
      <x v="6"/>
    </i>
    <i>
      <x v="155"/>
      <x v="161"/>
      <x v="161"/>
      <x v="79"/>
      <x v="6"/>
    </i>
    <i r="3">
      <x v="466"/>
      <x v="7"/>
    </i>
    <i>
      <x v="157"/>
      <x v="163"/>
      <x v="163"/>
      <x v="428"/>
      <x v="6"/>
    </i>
    <i>
      <x v="158"/>
      <x v="164"/>
      <x v="164"/>
      <x v="630"/>
      <x v="6"/>
    </i>
    <i>
      <x v="159"/>
      <x v="165"/>
      <x v="165"/>
      <x v="105"/>
      <x v="6"/>
    </i>
    <i r="3">
      <x v="444"/>
      <x v="6"/>
    </i>
    <i>
      <x v="160"/>
      <x v="166"/>
      <x v="166"/>
      <x v="478"/>
      <x v="6"/>
    </i>
    <i>
      <x v="161"/>
      <x v="167"/>
      <x v="167"/>
      <x v="163"/>
      <x v="6"/>
    </i>
    <i>
      <x v="162"/>
      <x v="168"/>
      <x v="168"/>
      <x v="476"/>
      <x v="8"/>
    </i>
    <i r="3">
      <x v="582"/>
      <x v="8"/>
    </i>
    <i>
      <x v="164"/>
      <x v="170"/>
      <x v="170"/>
      <x v="814"/>
      <x v="12"/>
    </i>
    <i>
      <x v="166"/>
      <x v="172"/>
      <x v="172"/>
      <x v="156"/>
      <x v="6"/>
    </i>
    <i>
      <x v="168"/>
      <x v="174"/>
      <x v="174"/>
      <x v="465"/>
      <x v="6"/>
    </i>
    <i>
      <x v="169"/>
      <x v="175"/>
      <x v="175"/>
      <x v="569"/>
      <x v="6"/>
    </i>
    <i r="3">
      <x v="852"/>
      <x v="6"/>
    </i>
    <i>
      <x v="172"/>
      <x v="178"/>
      <x v="178"/>
      <x v="34"/>
      <x v="6"/>
    </i>
    <i>
      <x v="173"/>
      <x v="179"/>
      <x v="179"/>
      <x v="80"/>
      <x v="6"/>
    </i>
    <i r="3">
      <x v="420"/>
      <x v="8"/>
    </i>
    <i>
      <x v="174"/>
      <x v="180"/>
      <x v="180"/>
      <x v="582"/>
      <x v="8"/>
    </i>
    <i r="3">
      <x v="859"/>
      <x v="8"/>
    </i>
    <i>
      <x v="175"/>
      <x v="181"/>
      <x v="181"/>
      <x v="451"/>
      <x v="6"/>
    </i>
    <i r="3">
      <x v="582"/>
      <x v="6"/>
    </i>
    <i r="3">
      <x v="666"/>
      <x v="8"/>
    </i>
    <i>
      <x v="177"/>
      <x v="183"/>
      <x v="183"/>
      <x v="478"/>
      <x v="8"/>
    </i>
    <i r="3">
      <x v="614"/>
      <x v="8"/>
    </i>
    <i>
      <x v="178"/>
      <x v="184"/>
      <x v="184"/>
      <x v="410"/>
      <x v="8"/>
    </i>
    <i>
      <x v="180"/>
      <x v="186"/>
      <x v="186"/>
      <x v="58"/>
      <x v="1"/>
    </i>
    <i r="1">
      <x v="187"/>
      <x v="187"/>
      <x v="58"/>
      <x v="1"/>
    </i>
    <i>
      <x v="181"/>
      <x v="189"/>
      <x v="189"/>
      <x v="836"/>
      <x v="8"/>
    </i>
    <i>
      <x v="182"/>
      <x v="190"/>
      <x v="190"/>
      <x v="496"/>
      <x v="8"/>
    </i>
    <i r="3">
      <x v="582"/>
      <x v="8"/>
    </i>
    <i r="3">
      <x v="793"/>
      <x v="8"/>
    </i>
    <i r="3">
      <x v="834"/>
      <x v="8"/>
    </i>
    <i>
      <x v="183"/>
      <x v="191"/>
      <x v="191"/>
      <x v="77"/>
      <x v="5"/>
    </i>
    <i>
      <x v="186"/>
      <x v="194"/>
      <x v="194"/>
      <x v="556"/>
      <x v="6"/>
    </i>
    <i r="3">
      <x v="582"/>
      <x v="6"/>
    </i>
    <i>
      <x v="189"/>
      <x v="197"/>
      <x v="197"/>
      <x v="55"/>
      <x v="4"/>
    </i>
    <i r="3">
      <x v="545"/>
      <x v="5"/>
    </i>
    <i>
      <x v="190"/>
      <x v="198"/>
      <x v="198"/>
      <x v="84"/>
      <x v="6"/>
    </i>
    <i r="3">
      <x v="466"/>
      <x v="8"/>
    </i>
    <i>
      <x v="191"/>
      <x v="199"/>
      <x v="199"/>
      <x v="133"/>
      <x v="6"/>
    </i>
    <i>
      <x v="192"/>
      <x v="200"/>
      <x v="200"/>
      <x v="705"/>
      <x v="8"/>
    </i>
    <i r="3">
      <x v="835"/>
      <x v="8"/>
    </i>
    <i>
      <x v="197"/>
      <x v="205"/>
      <x v="205"/>
      <x v="824"/>
      <x v="8"/>
    </i>
    <i>
      <x v="199"/>
      <x v="207"/>
      <x v="207"/>
      <x v="834"/>
      <x v="8"/>
    </i>
    <i>
      <x v="201"/>
      <x v="209"/>
      <x v="209"/>
      <x v="315"/>
      <x v="6"/>
    </i>
    <i r="3">
      <x v="857"/>
      <x v="6"/>
    </i>
    <i>
      <x v="202"/>
      <x v="210"/>
      <x v="210"/>
      <x v="870"/>
      <x v="8"/>
    </i>
    <i>
      <x v="206"/>
      <x v="215"/>
      <x v="215"/>
      <x v="400"/>
      <x v="6"/>
    </i>
    <i>
      <x v="208"/>
      <x v="217"/>
      <x v="217"/>
      <x v="709"/>
      <x v="6"/>
    </i>
    <i>
      <x v="209"/>
      <x v="218"/>
      <x v="218"/>
      <x v="82"/>
      <x v="4"/>
    </i>
    <i r="3">
      <x v="440"/>
      <x v="8"/>
    </i>
    <i>
      <x v="212"/>
      <x v="221"/>
      <x v="221"/>
      <x v="52"/>
      <x v="6"/>
    </i>
    <i r="3">
      <x v="424"/>
      <x v="7"/>
    </i>
    <i r="3">
      <x v="590"/>
      <x v="7"/>
    </i>
    <i>
      <x v="213"/>
      <x v="222"/>
      <x v="222"/>
      <x v="77"/>
      <x v="2"/>
    </i>
    <i r="3">
      <x v="418"/>
      <x v="3"/>
    </i>
    <i>
      <x v="214"/>
      <x v="223"/>
      <x v="223"/>
      <x v="78"/>
      <x v="6"/>
    </i>
    <i r="3">
      <x v="844"/>
      <x v="8"/>
    </i>
    <i>
      <x v="215"/>
      <x v="224"/>
      <x v="224"/>
      <x v="443"/>
      <x v="8"/>
    </i>
    <i r="3">
      <x v="582"/>
      <x v="8"/>
    </i>
    <i r="1">
      <x v="225"/>
      <x v="225"/>
      <x v="443"/>
      <x v="8"/>
    </i>
    <i r="3">
      <x v="582"/>
      <x v="8"/>
    </i>
    <i>
      <x v="218"/>
      <x v="228"/>
      <x v="228"/>
      <x v="47"/>
      <x v="2"/>
    </i>
    <i r="3">
      <x v="453"/>
      <x v="8"/>
    </i>
    <i>
      <x v="219"/>
      <x v="229"/>
      <x v="229"/>
      <x v="50"/>
      <x v="2"/>
    </i>
    <i r="3">
      <x v="466"/>
      <x v="7"/>
    </i>
    <i>
      <x v="222"/>
      <x v="232"/>
      <x v="232"/>
      <x v="663"/>
      <x v="6"/>
    </i>
    <i>
      <x v="225"/>
      <x v="235"/>
      <x v="235"/>
      <x v="489"/>
      <x v="6"/>
    </i>
    <i>
      <x v="227"/>
      <x v="237"/>
      <x v="237"/>
      <x v="146"/>
      <x v="6"/>
    </i>
    <i>
      <x v="229"/>
      <x v="239"/>
      <x v="239"/>
      <x v="13"/>
      <x v="2"/>
    </i>
    <i r="3">
      <x v="209"/>
      <x v="6"/>
    </i>
    <i>
      <x v="230"/>
      <x v="240"/>
      <x v="240"/>
      <x v="857"/>
      <x v="2"/>
    </i>
    <i>
      <x v="232"/>
      <x v="242"/>
      <x v="242"/>
      <x v="61"/>
      <x v="5"/>
    </i>
    <i r="1">
      <x v="243"/>
      <x v="243"/>
      <x v="61"/>
      <x v="5"/>
    </i>
    <i>
      <x v="233"/>
      <x v="244"/>
      <x v="244"/>
      <x v="481"/>
      <x v="6"/>
    </i>
    <i>
      <x v="234"/>
      <x v="245"/>
      <x v="245"/>
      <x v="42"/>
      <x v="6"/>
    </i>
    <i r="3">
      <x v="663"/>
      <x v="8"/>
    </i>
    <i>
      <x v="235"/>
      <x v="247"/>
      <x v="247"/>
      <x v="536"/>
      <x v="2"/>
    </i>
    <i>
      <x v="236"/>
      <x v="248"/>
      <x v="248"/>
      <x v="390"/>
      <x v="6"/>
    </i>
    <i>
      <x v="238"/>
      <x v="250"/>
      <x v="250"/>
      <x v="520"/>
      <x v="6"/>
    </i>
    <i>
      <x v="239"/>
      <x v="251"/>
      <x v="251"/>
      <x v="520"/>
      <x v="6"/>
    </i>
    <i>
      <x v="240"/>
      <x v="252"/>
      <x v="252"/>
      <x v="85"/>
      <x v="6"/>
    </i>
    <i r="3">
      <x v="357"/>
      <x v="6"/>
    </i>
    <i>
      <x v="242"/>
      <x v="255"/>
      <x v="255"/>
      <x v="575"/>
      <x v="6"/>
    </i>
    <i r="3">
      <x v="597"/>
      <x v="6"/>
    </i>
    <i>
      <x v="243"/>
      <x v="256"/>
      <x v="256"/>
      <x v="105"/>
      <x v="4"/>
    </i>
    <i r="3">
      <x v="511"/>
      <x v="4"/>
    </i>
    <i>
      <x v="244"/>
      <x v="257"/>
      <x v="257"/>
      <x v="588"/>
      <x v="6"/>
    </i>
    <i>
      <x v="245"/>
      <x v="258"/>
      <x v="258"/>
      <x v="792"/>
      <x v="8"/>
    </i>
    <i>
      <x v="246"/>
      <x v="259"/>
      <x v="259"/>
      <x v="253"/>
      <x v="4"/>
    </i>
    <i r="4">
      <x v="6"/>
    </i>
    <i>
      <x v="247"/>
      <x v="260"/>
      <x v="260"/>
      <x v="68"/>
      <x v="6"/>
    </i>
    <i>
      <x v="249"/>
      <x v="262"/>
      <x v="262"/>
      <x v="92"/>
      <x v="4"/>
    </i>
    <i>
      <x v="250"/>
      <x v="263"/>
      <x v="263"/>
      <x v="126"/>
      <x v="6"/>
    </i>
    <i r="3">
      <x v="511"/>
      <x v="6"/>
    </i>
    <i>
      <x v="252"/>
      <x v="265"/>
      <x v="265"/>
      <x v="102"/>
      <x v="6"/>
    </i>
    <i r="3">
      <x v="394"/>
      <x v="6"/>
    </i>
    <i>
      <x v="253"/>
      <x v="266"/>
      <x v="266"/>
      <x v="328"/>
      <x v="4"/>
    </i>
    <i t="grand">
      <x/>
    </i>
  </rowItems>
  <colItems count="1">
    <i/>
  </colItems>
  <pageFields count="6">
    <pageField fld="52" hier="-1"/>
    <pageField fld="38" hier="-1"/>
    <pageField fld="40" hier="-1"/>
    <pageField fld="53" hier="-1"/>
    <pageField fld="4" hier="-1"/>
    <pageField fld="55" hier="-1"/>
  </page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0:K187" firstHeaderRow="2" firstDataRow="2" firstDataCol="5" rowPageCount="6" colPageCount="1"/>
  <pivotFields count="57">
    <pivotField compact="0" outline="0" showAll="0" defaultSubtotal="0"/>
    <pivotField axis="axisRow" compact="0" outline="0" showAll="0" defaultSubtotal="0">
      <items count="267">
        <item x="153"/>
        <item x="202"/>
        <item x="124"/>
        <item x="7"/>
        <item x="34"/>
        <item x="60"/>
        <item x="101"/>
        <item x="222"/>
        <item x="247"/>
        <item x="205"/>
        <item x="52"/>
        <item x="8"/>
        <item x="85"/>
        <item x="212"/>
        <item x="143"/>
        <item x="227"/>
        <item x="121"/>
        <item x="233"/>
        <item x="28"/>
        <item x="4"/>
        <item x="257"/>
        <item x="164"/>
        <item x="214"/>
        <item x="0"/>
        <item x="13"/>
        <item x="135"/>
        <item x="37"/>
        <item x="134"/>
        <item x="144"/>
        <item x="61"/>
        <item x="125"/>
        <item x="173"/>
        <item x="262"/>
        <item x="65"/>
        <item x="218"/>
        <item x="256"/>
        <item x="11"/>
        <item x="109"/>
        <item x="166"/>
        <item x="201"/>
        <item x="229"/>
        <item x="51"/>
        <item x="83"/>
        <item x="226"/>
        <item x="16"/>
        <item x="5"/>
        <item x="231"/>
        <item x="69"/>
        <item x="149"/>
        <item x="89"/>
        <item x="14"/>
        <item x="103"/>
        <item x="128"/>
        <item x="223"/>
        <item x="91"/>
        <item x="2"/>
        <item x="174"/>
        <item x="1"/>
        <item x="198"/>
        <item x="160"/>
        <item x="71"/>
        <item x="180"/>
        <item x="80"/>
        <item x="63"/>
        <item x="176"/>
        <item x="25"/>
        <item x="253"/>
        <item x="110"/>
        <item x="142"/>
        <item x="187"/>
        <item x="100"/>
        <item x="213"/>
        <item x="133"/>
        <item x="40"/>
        <item x="59"/>
        <item x="10"/>
        <item x="97"/>
        <item x="64"/>
        <item x="30"/>
        <item x="156"/>
        <item x="77"/>
        <item x="57"/>
        <item x="146"/>
        <item x="112"/>
        <item x="221"/>
        <item x="182"/>
        <item x="189"/>
        <item x="22"/>
        <item x="203"/>
        <item x="138"/>
        <item x="185"/>
        <item x="24"/>
        <item x="199"/>
        <item x="31"/>
        <item x="157"/>
        <item x="6"/>
        <item x="107"/>
        <item x="12"/>
        <item x="19"/>
        <item x="47"/>
        <item x="148"/>
        <item x="131"/>
        <item x="114"/>
        <item x="155"/>
        <item x="79"/>
        <item x="266"/>
        <item x="15"/>
        <item x="216"/>
        <item x="236"/>
        <item x="54"/>
        <item x="70"/>
        <item x="265"/>
        <item x="9"/>
        <item x="115"/>
        <item x="239"/>
        <item x="170"/>
        <item x="260"/>
        <item x="75"/>
        <item x="211"/>
        <item x="56"/>
        <item x="230"/>
        <item x="18"/>
        <item x="225"/>
        <item x="123"/>
        <item x="87"/>
        <item x="152"/>
        <item x="194"/>
        <item x="246"/>
        <item x="263"/>
        <item x="162"/>
        <item x="17"/>
        <item x="206"/>
        <item x="38"/>
        <item x="191"/>
        <item x="46"/>
        <item x="228"/>
        <item x="258"/>
        <item x="232"/>
        <item x="193"/>
        <item x="93"/>
        <item x="147"/>
        <item x="235"/>
        <item x="171"/>
        <item x="23"/>
        <item x="3"/>
        <item x="186"/>
        <item x="20"/>
        <item x="36"/>
        <item x="39"/>
        <item x="41"/>
        <item x="43"/>
        <item x="49"/>
        <item x="53"/>
        <item x="55"/>
        <item x="66"/>
        <item x="78"/>
        <item x="82"/>
        <item x="88"/>
        <item x="90"/>
        <item x="92"/>
        <item x="95"/>
        <item x="98"/>
        <item x="120"/>
        <item x="122"/>
        <item x="129"/>
        <item x="151"/>
        <item x="165"/>
        <item x="169"/>
        <item x="172"/>
        <item x="179"/>
        <item x="197"/>
        <item x="200"/>
        <item x="207"/>
        <item x="215"/>
        <item x="224"/>
        <item x="242"/>
        <item x="243"/>
        <item x="254"/>
        <item x="264"/>
        <item x="21"/>
        <item x="26"/>
        <item x="27"/>
        <item x="29"/>
        <item x="32"/>
        <item x="33"/>
        <item x="42"/>
        <item x="44"/>
        <item x="45"/>
        <item x="50"/>
        <item x="67"/>
        <item x="68"/>
        <item x="73"/>
        <item x="81"/>
        <item x="84"/>
        <item x="86"/>
        <item x="96"/>
        <item x="99"/>
        <item x="104"/>
        <item x="105"/>
        <item x="106"/>
        <item x="108"/>
        <item x="111"/>
        <item x="113"/>
        <item x="117"/>
        <item x="126"/>
        <item x="127"/>
        <item x="130"/>
        <item x="136"/>
        <item x="140"/>
        <item x="154"/>
        <item x="158"/>
        <item x="159"/>
        <item x="167"/>
        <item x="175"/>
        <item x="183"/>
        <item x="184"/>
        <item x="188"/>
        <item x="190"/>
        <item x="192"/>
        <item x="195"/>
        <item x="204"/>
        <item x="210"/>
        <item x="220"/>
        <item x="237"/>
        <item x="240"/>
        <item x="241"/>
        <item x="244"/>
        <item x="245"/>
        <item x="248"/>
        <item x="251"/>
        <item x="252"/>
        <item x="255"/>
        <item x="259"/>
        <item x="261"/>
        <item x="35"/>
        <item x="62"/>
        <item x="72"/>
        <item x="76"/>
        <item x="94"/>
        <item x="137"/>
        <item x="141"/>
        <item x="168"/>
        <item x="177"/>
        <item x="178"/>
        <item x="234"/>
        <item x="48"/>
        <item x="58"/>
        <item x="74"/>
        <item x="102"/>
        <item x="116"/>
        <item x="118"/>
        <item x="119"/>
        <item x="132"/>
        <item x="139"/>
        <item x="145"/>
        <item x="150"/>
        <item x="161"/>
        <item x="163"/>
        <item x="181"/>
        <item x="196"/>
        <item x="208"/>
        <item x="209"/>
        <item x="217"/>
        <item x="219"/>
        <item x="238"/>
        <item x="249"/>
        <item x="250"/>
      </items>
    </pivotField>
    <pivotField axis="axisRow" compact="0" outline="0" showAll="0" defaultSubtotal="0">
      <items count="267">
        <item x="0"/>
        <item x="1"/>
        <item x="2"/>
        <item x="5"/>
        <item x="7"/>
        <item x="9"/>
        <item x="10"/>
        <item x="11"/>
        <item x="12"/>
        <item x="171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69"/>
        <item x="71"/>
        <item x="114"/>
        <item x="131"/>
        <item x="160"/>
        <item x="3"/>
        <item x="75"/>
        <item x="80"/>
        <item x="83"/>
        <item x="85"/>
        <item x="191"/>
        <item x="57"/>
        <item x="63"/>
        <item x="203"/>
        <item x="79"/>
        <item x="93"/>
        <item x="100"/>
        <item x="101"/>
        <item x="103"/>
        <item x="109"/>
        <item x="110"/>
        <item x="15"/>
        <item x="121"/>
        <item x="133"/>
        <item x="189"/>
        <item x="22"/>
        <item x="70"/>
        <item x="124"/>
        <item x="125"/>
        <item x="128"/>
        <item x="8"/>
        <item x="134"/>
        <item x="135"/>
        <item x="138"/>
        <item x="142"/>
        <item x="143"/>
        <item x="144"/>
        <item x="146"/>
        <item x="147"/>
        <item x="148"/>
        <item x="149"/>
        <item x="152"/>
        <item x="153"/>
        <item x="155"/>
        <item x="156"/>
        <item x="157"/>
        <item x="162"/>
        <item x="164"/>
        <item x="166"/>
        <item x="89"/>
        <item x="97"/>
        <item x="107"/>
        <item x="170"/>
        <item x="173"/>
        <item x="174"/>
        <item x="176"/>
        <item x="257"/>
        <item x="180"/>
        <item x="182"/>
        <item x="186"/>
        <item x="187"/>
        <item x="230"/>
        <item x="194"/>
        <item x="198"/>
        <item x="77"/>
        <item x="258"/>
        <item x="260"/>
        <item x="185"/>
        <item x="17"/>
        <item x="123"/>
        <item x="201"/>
        <item x="202"/>
        <item x="205"/>
        <item x="206"/>
        <item x="211"/>
        <item x="212"/>
        <item x="213"/>
        <item x="214"/>
        <item x="216"/>
        <item x="65"/>
        <item x="112"/>
        <item x="199"/>
        <item x="218"/>
        <item x="232"/>
        <item x="18"/>
        <item x="221"/>
        <item x="222"/>
        <item x="223"/>
        <item x="225"/>
        <item x="226"/>
        <item x="227"/>
        <item x="229"/>
        <item x="231"/>
        <item x="233"/>
        <item x="235"/>
        <item x="236"/>
        <item x="239"/>
        <item x="4"/>
        <item x="246"/>
        <item x="247"/>
        <item x="253"/>
        <item x="13"/>
        <item x="115"/>
        <item x="256"/>
        <item x="262"/>
        <item x="263"/>
        <item x="56"/>
        <item x="91"/>
        <item x="40"/>
        <item x="46"/>
        <item x="193"/>
        <item x="16"/>
        <item x="265"/>
        <item x="87"/>
        <item x="228"/>
        <item x="266"/>
        <item x="20"/>
        <item x="36"/>
        <item x="39"/>
        <item x="41"/>
        <item x="43"/>
        <item x="49"/>
        <item x="53"/>
        <item x="55"/>
        <item x="66"/>
        <item x="78"/>
        <item x="82"/>
        <item x="88"/>
        <item x="90"/>
        <item x="92"/>
        <item x="95"/>
        <item x="98"/>
        <item x="120"/>
        <item x="122"/>
        <item x="129"/>
        <item x="151"/>
        <item x="165"/>
        <item x="169"/>
        <item x="172"/>
        <item x="179"/>
        <item x="197"/>
        <item x="200"/>
        <item x="207"/>
        <item x="215"/>
        <item x="224"/>
        <item x="242"/>
        <item x="243"/>
        <item x="254"/>
        <item x="264"/>
        <item x="21"/>
        <item x="26"/>
        <item x="27"/>
        <item x="29"/>
        <item x="32"/>
        <item x="33"/>
        <item x="42"/>
        <item x="44"/>
        <item x="45"/>
        <item x="50"/>
        <item x="67"/>
        <item x="68"/>
        <item x="73"/>
        <item x="81"/>
        <item x="84"/>
        <item x="86"/>
        <item x="96"/>
        <item x="99"/>
        <item x="104"/>
        <item x="105"/>
        <item x="106"/>
        <item x="108"/>
        <item x="111"/>
        <item x="113"/>
        <item x="117"/>
        <item x="126"/>
        <item x="127"/>
        <item x="130"/>
        <item x="136"/>
        <item x="140"/>
        <item x="154"/>
        <item x="158"/>
        <item x="159"/>
        <item x="167"/>
        <item x="175"/>
        <item x="183"/>
        <item x="184"/>
        <item x="188"/>
        <item x="190"/>
        <item x="192"/>
        <item x="195"/>
        <item x="204"/>
        <item x="210"/>
        <item x="220"/>
        <item x="237"/>
        <item x="240"/>
        <item x="241"/>
        <item x="244"/>
        <item x="245"/>
        <item x="248"/>
        <item x="251"/>
        <item x="252"/>
        <item x="255"/>
        <item x="259"/>
        <item x="261"/>
        <item x="35"/>
        <item x="62"/>
        <item x="72"/>
        <item x="76"/>
        <item x="94"/>
        <item x="137"/>
        <item x="141"/>
        <item x="168"/>
        <item x="177"/>
        <item x="178"/>
        <item x="234"/>
        <item x="48"/>
        <item x="58"/>
        <item x="74"/>
        <item x="102"/>
        <item x="116"/>
        <item x="118"/>
        <item x="119"/>
        <item x="132"/>
        <item x="139"/>
        <item x="145"/>
        <item x="150"/>
        <item x="161"/>
        <item x="163"/>
        <item x="181"/>
        <item x="196"/>
        <item x="208"/>
        <item x="209"/>
        <item x="217"/>
        <item x="219"/>
        <item x="238"/>
        <item x="249"/>
        <item x="250"/>
      </items>
    </pivotField>
    <pivotField axis="axisRow" compact="0" outline="0" showAll="0" defaultSubtotal="0">
      <items count="2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58"/>
        <item x="62"/>
        <item x="63"/>
        <item x="64"/>
        <item x="68"/>
        <item x="70"/>
        <item x="72"/>
        <item x="75"/>
        <item x="77"/>
        <item x="79"/>
        <item x="81"/>
        <item x="83"/>
        <item x="85"/>
        <item x="89"/>
        <item x="92"/>
        <item x="93"/>
        <item x="95"/>
        <item x="99"/>
        <item x="101"/>
        <item x="102"/>
        <item x="104"/>
        <item x="106"/>
        <item x="107"/>
        <item x="113"/>
        <item x="115"/>
        <item x="116"/>
        <item x="117"/>
        <item x="120"/>
        <item x="123"/>
        <item x="125"/>
        <item x="126"/>
        <item x="127"/>
        <item x="130"/>
        <item x="134"/>
        <item x="135"/>
        <item x="136"/>
        <item x="137"/>
        <item x="138"/>
        <item x="139"/>
        <item x="140"/>
        <item x="143"/>
        <item x="144"/>
        <item x="146"/>
        <item x="147"/>
        <item x="148"/>
        <item x="150"/>
        <item x="152"/>
        <item x="154"/>
        <item x="156"/>
        <item x="160"/>
        <item x="161"/>
        <item x="163"/>
        <item x="164"/>
        <item x="166"/>
        <item x="169"/>
        <item x="171"/>
        <item x="174"/>
        <item x="175"/>
        <item x="176"/>
        <item x="178"/>
        <item x="180"/>
        <item x="182"/>
        <item x="183"/>
        <item x="187"/>
        <item x="189"/>
        <item x="190"/>
        <item x="191"/>
        <item x="193"/>
        <item x="194"/>
        <item x="199"/>
        <item x="200"/>
        <item x="201"/>
        <item x="202"/>
        <item x="204"/>
        <item x="206"/>
        <item x="209"/>
        <item x="210"/>
        <item x="211"/>
        <item x="213"/>
        <item x="214"/>
        <item x="215"/>
        <item x="216"/>
        <item x="217"/>
        <item x="218"/>
        <item x="219"/>
        <item x="220"/>
        <item x="221"/>
        <item x="223"/>
        <item x="224"/>
        <item x="227"/>
        <item x="233"/>
        <item x="234"/>
        <item x="240"/>
        <item x="243"/>
        <item x="244"/>
        <item x="245"/>
        <item x="247"/>
        <item x="249"/>
        <item x="250"/>
        <item x="252"/>
        <item x="253"/>
        <item x="17"/>
        <item x="32"/>
        <item x="35"/>
        <item x="37"/>
        <item x="39"/>
        <item x="44"/>
        <item x="47"/>
        <item x="49"/>
        <item x="59"/>
        <item x="71"/>
        <item x="74"/>
        <item x="80"/>
        <item x="82"/>
        <item x="84"/>
        <item x="87"/>
        <item x="90"/>
        <item x="112"/>
        <item x="114"/>
        <item x="121"/>
        <item x="142"/>
        <item x="155"/>
        <item x="159"/>
        <item x="162"/>
        <item x="168"/>
        <item x="186"/>
        <item x="188"/>
        <item x="195"/>
        <item x="203"/>
        <item x="212"/>
        <item x="229"/>
        <item x="230"/>
        <item x="241"/>
        <item x="251"/>
        <item x="18"/>
        <item x="22"/>
        <item x="23"/>
        <item x="25"/>
        <item x="28"/>
        <item x="29"/>
        <item x="38"/>
        <item x="40"/>
        <item x="60"/>
        <item x="61"/>
        <item x="66"/>
        <item x="73"/>
        <item x="76"/>
        <item x="78"/>
        <item x="88"/>
        <item x="91"/>
        <item x="96"/>
        <item x="97"/>
        <item x="98"/>
        <item x="100"/>
        <item x="103"/>
        <item x="105"/>
        <item x="109"/>
        <item x="118"/>
        <item x="119"/>
        <item x="122"/>
        <item x="128"/>
        <item x="132"/>
        <item x="145"/>
        <item x="149"/>
        <item x="157"/>
        <item x="165"/>
        <item x="172"/>
        <item x="173"/>
        <item x="177"/>
        <item x="179"/>
        <item x="181"/>
        <item x="184"/>
        <item x="192"/>
        <item x="198"/>
        <item x="208"/>
        <item x="225"/>
        <item x="228"/>
        <item x="231"/>
        <item x="232"/>
        <item x="235"/>
        <item x="238"/>
        <item x="239"/>
        <item x="242"/>
        <item x="246"/>
        <item x="248"/>
        <item x="31"/>
        <item x="55"/>
        <item x="65"/>
        <item x="69"/>
        <item x="86"/>
        <item x="129"/>
        <item x="133"/>
        <item x="158"/>
        <item x="167"/>
        <item x="222"/>
        <item x="43"/>
        <item x="67"/>
        <item x="94"/>
        <item x="108"/>
        <item x="110"/>
        <item x="111"/>
        <item x="124"/>
        <item x="131"/>
        <item x="141"/>
        <item x="151"/>
        <item x="153"/>
        <item x="170"/>
        <item x="185"/>
        <item x="196"/>
        <item x="197"/>
        <item x="205"/>
        <item x="207"/>
        <item x="226"/>
        <item x="236"/>
        <item x="237"/>
      </items>
    </pivotField>
    <pivotField axis="axisPage" compact="0" outline="0" showAll="0" defaultSubtotal="0">
      <items count="6">
        <item x="3"/>
        <item x="0"/>
        <item x="2"/>
        <item x="5"/>
        <item x="1"/>
        <item x="4"/>
      </items>
    </pivotField>
    <pivotField compact="0" outline="0" showAll="0" defaultSubtotal="0"/>
    <pivotField compact="0" outline="0" showAll="0"/>
    <pivotField compact="0" outline="0" multipleItemSelectionAllowed="1" showAll="0"/>
    <pivotField compact="0" outline="0" showAll="0"/>
    <pivotField compact="0" outline="0" showAll="0"/>
    <pivotField axis="axisRow" compact="0" numFmtId="14" outline="0" showAll="0" defaultSubtotal="0">
      <items count="883">
        <item x="272"/>
        <item x="771"/>
        <item x="534"/>
        <item x="276"/>
        <item x="868"/>
        <item x="145"/>
        <item x="200"/>
        <item x="171"/>
        <item x="274"/>
        <item x="541"/>
        <item x="799"/>
        <item x="275"/>
        <item x="41"/>
        <item x="585"/>
        <item x="742"/>
        <item x="679"/>
        <item x="126"/>
        <item x="851"/>
        <item x="215"/>
        <item x="495"/>
        <item x="404"/>
        <item x="84"/>
        <item x="279"/>
        <item x="739"/>
        <item x="609"/>
        <item x="343"/>
        <item x="191"/>
        <item x="606"/>
        <item x="654"/>
        <item x="474"/>
        <item x="854"/>
        <item x="368"/>
        <item x="570"/>
        <item x="500"/>
        <item x="876"/>
        <item x="469"/>
        <item x="206"/>
        <item x="612"/>
        <item x="692"/>
        <item x="325"/>
        <item x="417"/>
        <item x="410"/>
        <item x="255"/>
        <item x="457"/>
        <item x="6"/>
        <item x="176"/>
        <item x="4"/>
        <item x="836"/>
        <item x="837"/>
        <item x="298"/>
        <item x="846"/>
        <item x="698"/>
        <item x="574"/>
        <item x="750"/>
        <item x="691"/>
        <item x="301"/>
        <item x="770"/>
        <item x="505"/>
        <item x="243"/>
        <item x="741"/>
        <item x="15"/>
        <item x="681"/>
        <item x="812"/>
        <item x="504"/>
        <item x="329"/>
        <item x="756"/>
        <item x="388"/>
        <item x="269"/>
        <item x="315"/>
        <item x="130"/>
        <item x="716"/>
        <item x="728"/>
        <item x="607"/>
        <item x="177"/>
        <item x="515"/>
        <item x="436"/>
        <item x="711"/>
        <item x="372"/>
        <item x="820"/>
        <item x="462"/>
        <item x="98"/>
        <item x="822"/>
        <item x="715"/>
        <item x="99"/>
        <item x="498"/>
        <item x="573"/>
        <item x="520"/>
        <item x="784"/>
        <item x="552"/>
        <item x="56"/>
        <item x="644"/>
        <item x="571"/>
        <item x="767"/>
        <item x="424"/>
        <item x="57"/>
        <item x="703"/>
        <item x="629"/>
        <item x="453"/>
        <item x="455"/>
        <item x="356"/>
        <item x="338"/>
        <item x="58"/>
        <item x="839"/>
        <item x="273"/>
        <item x="437"/>
        <item x="625"/>
        <item x="468"/>
        <item x="598"/>
        <item x="92"/>
        <item x="384"/>
        <item x="473"/>
        <item x="616"/>
        <item x="811"/>
        <item x="808"/>
        <item x="422"/>
        <item x="443"/>
        <item x="879"/>
        <item x="328"/>
        <item x="874"/>
        <item x="833"/>
        <item x="870"/>
        <item x="838"/>
        <item x="291"/>
        <item x="506"/>
        <item x="402"/>
        <item x="867"/>
        <item x="774"/>
        <item x="835"/>
        <item x="655"/>
        <item x="398"/>
        <item x="327"/>
        <item x="261"/>
        <item x="781"/>
        <item x="503"/>
        <item x="188"/>
        <item x="42"/>
        <item x="635"/>
        <item x="673"/>
        <item x="724"/>
        <item x="0"/>
        <item x="643"/>
        <item x="604"/>
        <item x="40"/>
        <item x="708"/>
        <item x="160"/>
        <item x="412"/>
        <item x="380"/>
        <item x="787"/>
        <item x="880"/>
        <item x="217"/>
        <item x="783"/>
        <item x="563"/>
        <item x="863"/>
        <item x="549"/>
        <item x="858"/>
        <item x="859"/>
        <item x="743"/>
        <item x="586"/>
        <item x="547"/>
        <item x="538"/>
        <item x="619"/>
        <item x="577"/>
        <item x="152"/>
        <item x="671"/>
        <item x="672"/>
        <item x="414"/>
        <item x="790"/>
        <item x="646"/>
        <item x="591"/>
        <item x="862"/>
        <item x="240"/>
        <item x="413"/>
        <item x="861"/>
        <item x="815"/>
        <item x="312"/>
        <item x="537"/>
        <item x="452"/>
        <item x="572"/>
        <item x="432"/>
        <item x="881"/>
        <item x="734"/>
        <item x="551"/>
        <item x="747"/>
        <item x="197"/>
        <item x="359"/>
        <item x="806"/>
        <item x="451"/>
        <item x="627"/>
        <item x="357"/>
        <item x="554"/>
        <item x="438"/>
        <item x="91"/>
        <item x="239"/>
        <item x="688"/>
        <item x="450"/>
        <item x="358"/>
        <item x="664"/>
        <item x="253"/>
        <item x="280"/>
        <item x="62"/>
        <item x="7"/>
        <item x="381"/>
        <item x="363"/>
        <item x="59"/>
        <item x="80"/>
        <item x="225"/>
        <item x="511"/>
        <item x="316"/>
        <item x="345"/>
        <item x="584"/>
        <item x="421"/>
        <item x="618"/>
        <item x="603"/>
        <item x="696"/>
        <item x="665"/>
        <item x="661"/>
        <item x="594"/>
        <item x="324"/>
        <item x="278"/>
        <item x="210"/>
        <item x="219"/>
        <item x="3"/>
        <item x="267"/>
        <item x="2"/>
        <item x="334"/>
        <item x="642"/>
        <item x="101"/>
        <item x="583"/>
        <item x="218"/>
        <item x="725"/>
        <item x="326"/>
        <item x="628"/>
        <item x="522"/>
        <item x="68"/>
        <item x="110"/>
        <item x="813"/>
        <item x="660"/>
        <item x="277"/>
        <item x="518"/>
        <item x="50"/>
        <item x="186"/>
        <item x="397"/>
        <item x="757"/>
        <item x="800"/>
        <item x="733"/>
        <item x="85"/>
        <item x="411"/>
        <item x="144"/>
        <item x="762"/>
        <item x="853"/>
        <item x="744"/>
        <item x="608"/>
        <item x="882"/>
        <item x="723"/>
        <item x="855"/>
        <item x="435"/>
        <item x="803"/>
        <item x="207"/>
        <item x="211"/>
        <item x="529"/>
        <item x="746"/>
        <item x="834"/>
        <item x="285"/>
        <item x="527"/>
        <item x="491"/>
        <item x="528"/>
        <item x="849"/>
        <item x="294"/>
        <item x="309"/>
        <item x="258"/>
        <item x="536"/>
        <item x="745"/>
        <item x="336"/>
        <item x="758"/>
        <item x="446"/>
        <item x="1"/>
        <item x="785"/>
        <item x="367"/>
        <item x="748"/>
        <item x="804"/>
        <item x="296"/>
        <item x="330"/>
        <item x="630"/>
        <item x="14"/>
        <item x="701"/>
        <item x="292"/>
        <item x="866"/>
        <item x="213"/>
        <item x="729"/>
        <item x="365"/>
        <item x="656"/>
        <item x="136"/>
        <item x="755"/>
        <item x="666"/>
        <item x="153"/>
        <item x="244"/>
        <item x="102"/>
        <item x="364"/>
        <item x="439"/>
        <item x="156"/>
        <item x="374"/>
        <item x="390"/>
        <item x="687"/>
        <item x="796"/>
        <item x="845"/>
        <item x="501"/>
        <item x="340"/>
        <item x="684"/>
        <item x="525"/>
        <item x="220"/>
        <item x="209"/>
        <item x="759"/>
        <item x="878"/>
        <item x="667"/>
        <item x="313"/>
        <item x="633"/>
        <item x="458"/>
        <item x="415"/>
        <item x="18"/>
        <item x="877"/>
        <item x="470"/>
        <item x="634"/>
        <item x="844"/>
        <item x="283"/>
        <item x="766"/>
        <item x="637"/>
        <item x="71"/>
        <item x="67"/>
        <item x="842"/>
        <item x="843"/>
        <item x="323"/>
        <item x="814"/>
        <item x="763"/>
        <item x="214"/>
        <item x="63"/>
        <item x="314"/>
        <item x="760"/>
        <item x="794"/>
        <item x="66"/>
        <item x="517"/>
        <item x="514"/>
        <item x="128"/>
        <item x="17"/>
        <item x="754"/>
        <item x="87"/>
        <item x="502"/>
        <item x="639"/>
        <item x="227"/>
        <item x="212"/>
        <item x="442"/>
        <item x="366"/>
        <item x="732"/>
        <item x="545"/>
        <item x="295"/>
        <item x="797"/>
        <item x="663"/>
        <item x="512"/>
        <item x="162"/>
        <item x="369"/>
        <item x="513"/>
        <item x="776"/>
        <item x="817"/>
        <item x="161"/>
        <item x="389"/>
        <item x="496"/>
        <item x="178"/>
        <item x="379"/>
        <item x="544"/>
        <item x="823"/>
        <item x="657"/>
        <item x="848"/>
        <item x="342"/>
        <item x="582"/>
        <item x="543"/>
        <item x="32"/>
        <item x="391"/>
        <item x="680"/>
        <item x="768"/>
        <item x="841"/>
        <item x="198"/>
        <item x="700"/>
        <item x="587"/>
        <item x="562"/>
        <item x="293"/>
        <item x="350"/>
        <item x="682"/>
        <item x="86"/>
        <item x="480"/>
        <item x="875"/>
        <item x="22"/>
        <item x="478"/>
        <item x="479"/>
        <item x="710"/>
        <item x="795"/>
        <item x="840"/>
        <item x="428"/>
        <item x="810"/>
        <item x="852"/>
        <item x="775"/>
        <item x="427"/>
        <item x="693"/>
        <item x="353"/>
        <item x="429"/>
        <item x="423"/>
        <item x="694"/>
        <item x="426"/>
        <item x="70"/>
        <item x="246"/>
        <item x="5"/>
        <item x="223"/>
        <item x="181"/>
        <item x="535"/>
        <item x="707"/>
        <item x="447"/>
        <item x="149"/>
        <item x="731"/>
        <item x="383"/>
        <item x="780"/>
        <item x="779"/>
        <item x="526"/>
        <item x="97"/>
        <item x="403"/>
        <item x="831"/>
        <item x="204"/>
        <item x="318"/>
        <item x="185"/>
        <item x="730"/>
        <item x="475"/>
        <item x="333"/>
        <item x="151"/>
        <item x="143"/>
        <item x="33"/>
        <item x="706"/>
        <item x="777"/>
        <item x="575"/>
        <item x="651"/>
        <item x="830"/>
        <item x="83"/>
        <item x="499"/>
        <item x="531"/>
        <item x="37"/>
        <item x="169"/>
        <item x="303"/>
        <item x="670"/>
        <item x="12"/>
        <item x="400"/>
        <item x="492"/>
        <item x="195"/>
        <item x="826"/>
        <item x="341"/>
        <item x="675"/>
        <item x="141"/>
        <item x="406"/>
        <item x="463"/>
        <item x="165"/>
        <item x="346"/>
        <item x="121"/>
        <item x="408"/>
        <item x="20"/>
        <item x="335"/>
        <item x="638"/>
        <item x="175"/>
        <item x="650"/>
        <item x="712"/>
        <item x="28"/>
        <item x="441"/>
        <item x="229"/>
        <item x="317"/>
        <item x="182"/>
        <item x="224"/>
        <item x="699"/>
        <item x="150"/>
        <item x="49"/>
        <item x="653"/>
        <item x="288"/>
        <item x="483"/>
        <item x="180"/>
        <item x="199"/>
        <item x="31"/>
        <item x="319"/>
        <item x="48"/>
        <item x="816"/>
        <item x="119"/>
        <item x="302"/>
        <item x="10"/>
        <item x="299"/>
        <item x="856"/>
        <item x="104"/>
        <item x="123"/>
        <item x="321"/>
        <item x="614"/>
        <item x="75"/>
        <item x="449"/>
        <item x="184"/>
        <item x="146"/>
        <item x="137"/>
        <item x="183"/>
        <item x="354"/>
        <item x="600"/>
        <item x="290"/>
        <item x="686"/>
        <item x="106"/>
        <item x="44"/>
        <item x="238"/>
        <item x="64"/>
        <item x="472"/>
        <item x="510"/>
        <item x="16"/>
        <item x="300"/>
        <item x="782"/>
        <item x="208"/>
        <item x="30"/>
        <item x="322"/>
        <item x="533"/>
        <item x="769"/>
        <item x="793"/>
        <item x="516"/>
        <item x="540"/>
        <item x="55"/>
        <item x="377"/>
        <item x="378"/>
        <item x="471"/>
        <item x="722"/>
        <item x="641"/>
        <item x="387"/>
        <item x="385"/>
        <item x="53"/>
        <item x="721"/>
        <item x="331"/>
        <item x="620"/>
        <item x="668"/>
        <item x="778"/>
        <item x="865"/>
        <item x="393"/>
        <item x="829"/>
        <item x="47"/>
        <item x="376"/>
        <item x="125"/>
        <item x="124"/>
        <item x="166"/>
        <item x="232"/>
        <item x="282"/>
        <item x="466"/>
        <item x="579"/>
        <item x="289"/>
        <item x="493"/>
        <item x="82"/>
        <item x="112"/>
        <item x="580"/>
        <item x="555"/>
        <item x="39"/>
        <item x="337"/>
        <item x="196"/>
        <item x="257"/>
        <item x="791"/>
        <item x="444"/>
        <item x="362"/>
        <item x="235"/>
        <item x="51"/>
        <item x="205"/>
        <item x="550"/>
        <item x="242"/>
        <item x="19"/>
        <item x="8"/>
        <item x="69"/>
        <item x="245"/>
        <item x="228"/>
        <item x="320"/>
        <item x="35"/>
        <item x="103"/>
        <item x="154"/>
        <item x="430"/>
        <item x="60"/>
        <item x="659"/>
        <item x="576"/>
        <item x="29"/>
        <item x="524"/>
        <item x="564"/>
        <item x="270"/>
        <item x="440"/>
        <item x="259"/>
        <item x="167"/>
        <item x="132"/>
        <item x="454"/>
        <item x="281"/>
        <item x="45"/>
        <item x="93"/>
        <item x="621"/>
        <item x="652"/>
        <item x="685"/>
        <item x="749"/>
        <item x="127"/>
        <item x="623"/>
        <item x="297"/>
        <item x="221"/>
        <item x="420"/>
        <item x="697"/>
        <item x="611"/>
        <item x="736"/>
        <item x="805"/>
        <item x="251"/>
        <item x="72"/>
        <item x="247"/>
        <item x="81"/>
        <item x="249"/>
        <item x="824"/>
        <item x="115"/>
        <item x="873"/>
        <item x="567"/>
        <item x="108"/>
        <item x="481"/>
        <item x="52"/>
        <item x="105"/>
        <item x="847"/>
        <item x="173"/>
        <item x="26"/>
        <item x="595"/>
        <item x="662"/>
        <item x="548"/>
        <item x="864"/>
        <item x="236"/>
        <item x="636"/>
        <item x="107"/>
        <item x="752"/>
        <item x="401"/>
        <item x="266"/>
        <item x="371"/>
        <item x="720"/>
        <item x="36"/>
        <item x="802"/>
        <item x="566"/>
        <item x="818"/>
        <item x="602"/>
        <item x="465"/>
        <item x="241"/>
        <item x="268"/>
        <item x="405"/>
        <item x="615"/>
        <item x="557"/>
        <item x="264"/>
        <item x="250"/>
        <item x="201"/>
        <item x="416"/>
        <item x="704"/>
        <item x="792"/>
        <item x="96"/>
        <item x="386"/>
        <item x="216"/>
        <item x="89"/>
        <item x="113"/>
        <item x="265"/>
        <item x="76"/>
        <item x="79"/>
        <item x="464"/>
        <item x="809"/>
        <item x="311"/>
        <item x="448"/>
        <item x="222"/>
        <item x="13"/>
        <item x="519"/>
        <item x="676"/>
        <item x="233"/>
        <item x="260"/>
        <item x="256"/>
        <item x="860"/>
        <item x="399"/>
        <item x="109"/>
        <item x="484"/>
        <item x="287"/>
        <item x="172"/>
        <item x="192"/>
        <item x="95"/>
        <item x="170"/>
        <item x="304"/>
        <item x="801"/>
        <item x="370"/>
        <item x="187"/>
        <item x="11"/>
        <item x="164"/>
        <item x="25"/>
        <item x="77"/>
        <item x="21"/>
        <item x="147"/>
        <item x="556"/>
        <item x="226"/>
        <item x="138"/>
        <item x="786"/>
        <item x="157"/>
        <item x="203"/>
        <item x="482"/>
        <item x="271"/>
        <item x="476"/>
        <item x="163"/>
        <item x="38"/>
        <item x="523"/>
        <item x="622"/>
        <item x="578"/>
        <item x="617"/>
        <item x="490"/>
        <item x="740"/>
        <item x="565"/>
        <item x="419"/>
        <item x="347"/>
        <item x="477"/>
        <item x="54"/>
        <item x="467"/>
        <item x="139"/>
        <item x="640"/>
        <item x="648"/>
        <item x="521"/>
        <item x="530"/>
        <item x="626"/>
        <item x="375"/>
        <item x="546"/>
        <item x="407"/>
        <item x="431"/>
        <item x="497"/>
        <item x="857"/>
        <item x="605"/>
        <item x="751"/>
        <item x="486"/>
        <item x="433"/>
        <item x="179"/>
        <item x="559"/>
        <item x="360"/>
        <item x="735"/>
        <item x="117"/>
        <item x="658"/>
        <item x="542"/>
        <item x="310"/>
        <item x="590"/>
        <item x="286"/>
        <item x="155"/>
        <item x="252"/>
        <item x="158"/>
        <item x="677"/>
        <item x="396"/>
        <item x="737"/>
        <item x="308"/>
        <item x="610"/>
        <item x="190"/>
        <item x="140"/>
        <item x="445"/>
        <item x="27"/>
        <item x="88"/>
        <item x="168"/>
        <item x="118"/>
        <item x="262"/>
        <item x="9"/>
        <item x="394"/>
        <item x="395"/>
        <item x="231"/>
        <item x="761"/>
        <item x="819"/>
        <item x="532"/>
        <item x="460"/>
        <item x="305"/>
        <item x="409"/>
        <item x="189"/>
        <item x="592"/>
        <item x="418"/>
        <item x="355"/>
        <item x="332"/>
        <item x="90"/>
        <item x="553"/>
        <item x="133"/>
        <item x="351"/>
        <item x="116"/>
        <item x="237"/>
        <item x="669"/>
        <item x="306"/>
        <item x="344"/>
        <item x="284"/>
        <item x="596"/>
        <item x="307"/>
        <item x="717"/>
        <item x="34"/>
        <item x="718"/>
        <item x="825"/>
        <item x="647"/>
        <item x="78"/>
        <item x="695"/>
        <item x="202"/>
        <item x="461"/>
        <item x="248"/>
        <item x="361"/>
        <item x="74"/>
        <item x="339"/>
        <item x="373"/>
        <item x="234"/>
        <item x="94"/>
        <item x="134"/>
        <item x="539"/>
        <item x="174"/>
        <item x="159"/>
        <item x="494"/>
        <item x="593"/>
        <item x="788"/>
        <item x="713"/>
        <item x="601"/>
        <item x="434"/>
        <item x="558"/>
        <item x="599"/>
        <item x="485"/>
        <item x="122"/>
        <item x="487"/>
        <item x="129"/>
        <item x="807"/>
        <item x="674"/>
        <item x="850"/>
        <item x="581"/>
        <item x="456"/>
        <item x="142"/>
        <item x="632"/>
        <item x="726"/>
        <item x="509"/>
        <item x="588"/>
        <item x="508"/>
        <item x="727"/>
        <item x="489"/>
        <item x="714"/>
        <item x="678"/>
        <item x="425"/>
        <item x="148"/>
        <item x="560"/>
        <item x="100"/>
        <item x="683"/>
        <item x="24"/>
        <item x="753"/>
        <item x="120"/>
        <item x="702"/>
        <item x="649"/>
        <item x="488"/>
        <item x="73"/>
        <item x="352"/>
        <item x="507"/>
        <item x="348"/>
        <item x="689"/>
        <item x="772"/>
        <item x="789"/>
        <item x="773"/>
        <item x="569"/>
        <item x="349"/>
        <item x="705"/>
        <item x="821"/>
        <item x="135"/>
        <item x="872"/>
        <item x="765"/>
        <item x="869"/>
        <item x="764"/>
        <item x="798"/>
        <item x="690"/>
        <item x="827"/>
        <item x="23"/>
        <item x="382"/>
        <item x="46"/>
        <item x="43"/>
        <item x="597"/>
        <item x="719"/>
        <item x="131"/>
        <item x="263"/>
        <item x="392"/>
        <item x="194"/>
        <item x="589"/>
        <item x="114"/>
        <item x="561"/>
        <item x="111"/>
        <item x="613"/>
        <item x="230"/>
        <item x="631"/>
        <item x="645"/>
        <item x="738"/>
        <item x="61"/>
        <item x="65"/>
        <item x="709"/>
        <item x="254"/>
        <item x="832"/>
        <item x="568"/>
        <item x="828"/>
        <item x="871"/>
        <item x="193"/>
        <item x="624"/>
        <item x="459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axis="axisRow" compact="0" outline="0" showAll="0">
      <items count="12">
        <item x="4"/>
        <item x="9"/>
        <item x="2"/>
        <item x="8"/>
        <item x="3"/>
        <item x="1"/>
        <item x="5"/>
        <item x="10"/>
        <item h="1" x="0"/>
        <item x="6"/>
        <item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7">
        <item x="11"/>
        <item x="2"/>
        <item x="15"/>
        <item x="12"/>
        <item x="16"/>
        <item x="0"/>
        <item x="1"/>
        <item x="10"/>
        <item x="14"/>
        <item x="3"/>
        <item x="7"/>
        <item x="13"/>
        <item x="9"/>
        <item x="6"/>
        <item x="4"/>
        <item x="5"/>
        <item x="8"/>
      </items>
    </pivotField>
    <pivotField axis="axisPage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Page" compact="0" outline="0" showAll="0" defaultSubtotal="0">
      <items count="61">
        <item x="28"/>
        <item x="35"/>
        <item x="54"/>
        <item x="26"/>
        <item x="55"/>
        <item x="57"/>
        <item x="13"/>
        <item x="53"/>
        <item x="44"/>
        <item x="56"/>
        <item x="37"/>
        <item x="60"/>
        <item x="48"/>
        <item x="24"/>
        <item x="52"/>
        <item x="14"/>
        <item x="16"/>
        <item x="38"/>
        <item x="36"/>
        <item x="34"/>
        <item x="2"/>
        <item x="10"/>
        <item x="40"/>
        <item x="49"/>
        <item x="58"/>
        <item x="50"/>
        <item x="23"/>
        <item x="21"/>
        <item x="9"/>
        <item x="45"/>
        <item x="32"/>
        <item x="4"/>
        <item x="41"/>
        <item x="46"/>
        <item x="27"/>
        <item x="1"/>
        <item x="59"/>
        <item x="5"/>
        <item x="22"/>
        <item x="31"/>
        <item x="30"/>
        <item x="0"/>
        <item x="18"/>
        <item x="42"/>
        <item x="33"/>
        <item x="19"/>
        <item x="47"/>
        <item x="15"/>
        <item x="11"/>
        <item x="43"/>
        <item x="7"/>
        <item x="20"/>
        <item x="25"/>
        <item x="39"/>
        <item x="51"/>
        <item x="29"/>
        <item x="6"/>
        <item x="17"/>
        <item x="12"/>
        <item x="8"/>
        <item x="3"/>
      </items>
    </pivotField>
    <pivotField compact="0" outline="0" dragToRow="0" dragToCol="0" dragToPage="0" showAll="0" defaultSubtotal="0"/>
  </pivotFields>
  <rowFields count="5">
    <field x="3"/>
    <field x="1"/>
    <field x="2"/>
    <field x="10"/>
    <field x="20"/>
  </rowFields>
  <rowItems count="176">
    <i>
      <x v="1"/>
      <x v="57"/>
      <x v="1"/>
      <x v="408"/>
      <x v="5"/>
    </i>
    <i>
      <x v="2"/>
      <x v="55"/>
      <x v="2"/>
      <x v="507"/>
      <x v="2"/>
    </i>
    <i>
      <x v="3"/>
      <x v="144"/>
      <x v="35"/>
      <x v="853"/>
      <x v="4"/>
    </i>
    <i>
      <x v="4"/>
      <x v="19"/>
      <x v="127"/>
      <x v="575"/>
      <x v="4"/>
    </i>
    <i>
      <x v="8"/>
      <x v="75"/>
      <x v="6"/>
      <x v="94"/>
      <x/>
    </i>
    <i>
      <x v="11"/>
      <x v="24"/>
      <x v="131"/>
      <x v="833"/>
      <x v="2"/>
    </i>
    <i>
      <x v="17"/>
      <x v="87"/>
      <x v="55"/>
      <x v="666"/>
      <x v="2"/>
    </i>
    <i>
      <x v="18"/>
      <x v="91"/>
      <x v="12"/>
      <x v="482"/>
      <x v="2"/>
    </i>
    <i r="1">
      <x v="143"/>
      <x v="13"/>
      <x v="829"/>
      <x v="2"/>
    </i>
    <i>
      <x v="19"/>
      <x v="65"/>
      <x v="14"/>
      <x v="538"/>
      <x v="6"/>
    </i>
    <i>
      <x v="20"/>
      <x v="18"/>
      <x v="15"/>
      <x v="471"/>
      <x v="5"/>
    </i>
    <i>
      <x v="21"/>
      <x v="78"/>
      <x v="16"/>
      <x v="581"/>
      <x v="5"/>
    </i>
    <i>
      <x v="23"/>
      <x v="4"/>
      <x v="18"/>
      <x v="493"/>
      <x v="4"/>
    </i>
    <i>
      <x v="25"/>
      <x v="132"/>
      <x v="21"/>
      <x v="585"/>
      <x v="4"/>
    </i>
    <i>
      <x v="26"/>
      <x v="73"/>
      <x v="138"/>
      <x v="495"/>
      <x v="4"/>
    </i>
    <i>
      <x v="27"/>
      <x v="134"/>
      <x v="139"/>
      <x v="666"/>
      <x v="2"/>
    </i>
    <i>
      <x v="29"/>
      <x v="188"/>
      <x v="188"/>
      <x v="650"/>
      <x v="5"/>
    </i>
    <i>
      <x v="30"/>
      <x v="10"/>
      <x v="23"/>
      <x v="690"/>
      <x v="2"/>
    </i>
    <i>
      <x v="33"/>
      <x v="81"/>
      <x v="41"/>
      <x v="668"/>
      <x v="4"/>
    </i>
    <i r="1">
      <x v="246"/>
      <x v="246"/>
      <x v="668"/>
      <x v="4"/>
    </i>
    <i>
      <x v="34"/>
      <x v="74"/>
      <x v="26"/>
      <x v="49"/>
      <x/>
    </i>
    <i r="3">
      <x v="508"/>
      <x/>
    </i>
    <i>
      <x v="35"/>
      <x v="5"/>
      <x v="29"/>
      <x v="756"/>
      <x v="5"/>
    </i>
    <i>
      <x v="38"/>
      <x v="77"/>
      <x v="28"/>
      <x v="428"/>
      <x v="4"/>
    </i>
    <i>
      <x v="44"/>
      <x v="80"/>
      <x v="94"/>
      <x v="109"/>
      <x/>
    </i>
    <i r="3">
      <x v="552"/>
      <x v="2"/>
    </i>
    <i>
      <x v="45"/>
      <x v="62"/>
      <x v="37"/>
      <x v="431"/>
      <x v="4"/>
    </i>
    <i r="3">
      <x v="485"/>
      <x v="6"/>
    </i>
    <i r="1">
      <x v="104"/>
      <x v="44"/>
      <x v="431"/>
      <x v="4"/>
    </i>
    <i r="3">
      <x v="480"/>
      <x v="6"/>
    </i>
    <i>
      <x v="48"/>
      <x v="124"/>
      <x v="143"/>
      <x v="570"/>
      <x v="4"/>
    </i>
    <i>
      <x v="49"/>
      <x v="49"/>
      <x v="79"/>
      <x v="675"/>
      <x v="2"/>
    </i>
    <i r="3">
      <x v="721"/>
      <x v="2"/>
    </i>
    <i>
      <x v="51"/>
      <x v="139"/>
      <x v="45"/>
      <x v="649"/>
      <x v="6"/>
    </i>
    <i>
      <x v="52"/>
      <x v="76"/>
      <x v="80"/>
      <x v="98"/>
      <x/>
    </i>
    <i r="3">
      <x v="583"/>
      <x v="2"/>
    </i>
    <i r="3">
      <x v="584"/>
      <x v="2"/>
    </i>
    <i>
      <x v="53"/>
      <x v="70"/>
      <x v="46"/>
      <x v="413"/>
      <x v="4"/>
    </i>
    <i>
      <x v="54"/>
      <x v="6"/>
      <x v="47"/>
      <x v="581"/>
      <x v="2"/>
    </i>
    <i>
      <x v="55"/>
      <x v="51"/>
      <x v="48"/>
      <x v="657"/>
      <x v="3"/>
    </i>
    <i>
      <x v="58"/>
      <x v="67"/>
      <x v="50"/>
      <x v="518"/>
      <x v="2"/>
    </i>
    <i>
      <x v="60"/>
      <x v="102"/>
      <x v="32"/>
      <x v="520"/>
      <x v="4"/>
    </i>
    <i>
      <x v="62"/>
      <x v="16"/>
      <x v="52"/>
      <x v="405"/>
      <x v="4"/>
    </i>
    <i>
      <x v="64"/>
      <x v="2"/>
      <x v="57"/>
      <x v="57"/>
      <x v="2"/>
    </i>
    <i r="3">
      <x v="158"/>
      <x v="2"/>
    </i>
    <i r="3">
      <x v="618"/>
      <x v="2"/>
    </i>
    <i>
      <x v="66"/>
      <x v="52"/>
      <x v="59"/>
      <x v="382"/>
      <x v="4"/>
    </i>
    <i>
      <x v="68"/>
      <x v="72"/>
      <x v="53"/>
      <x v="52"/>
      <x/>
    </i>
    <i r="3">
      <x v="434"/>
      <x v="2"/>
    </i>
    <i>
      <x v="69"/>
      <x v="27"/>
      <x v="61"/>
      <x v="533"/>
      <x v="4"/>
    </i>
    <i>
      <x v="72"/>
      <x v="68"/>
      <x v="64"/>
      <x v="666"/>
      <x v="2"/>
    </i>
    <i>
      <x v="74"/>
      <x v="28"/>
      <x v="66"/>
      <x v="650"/>
      <x v="4"/>
    </i>
    <i r="1">
      <x v="254"/>
      <x v="254"/>
      <x v="650"/>
      <x v="4"/>
    </i>
    <i>
      <x v="77"/>
      <x v="100"/>
      <x v="69"/>
      <x v="106"/>
      <x/>
    </i>
    <i>
      <x v="78"/>
      <x v="48"/>
      <x v="70"/>
      <x v="697"/>
      <x v="2"/>
    </i>
    <i>
      <x v="79"/>
      <x v="125"/>
      <x v="71"/>
      <x v="505"/>
      <x v="4"/>
    </i>
    <i>
      <x v="81"/>
      <x v="103"/>
      <x v="73"/>
      <x v="495"/>
      <x v="1"/>
    </i>
    <i>
      <x v="82"/>
      <x v="79"/>
      <x v="74"/>
      <x v="523"/>
      <x v="2"/>
    </i>
    <i>
      <x v="86"/>
      <x v="21"/>
      <x v="77"/>
      <x v="511"/>
      <x v="4"/>
    </i>
    <i>
      <x v="87"/>
      <x v="38"/>
      <x v="78"/>
      <x v="100"/>
      <x/>
    </i>
    <i>
      <x v="89"/>
      <x v="142"/>
      <x v="9"/>
      <x v="808"/>
      <x v="4"/>
    </i>
    <i>
      <x v="93"/>
      <x v="61"/>
      <x v="87"/>
      <x v="493"/>
      <x v="2"/>
    </i>
    <i>
      <x v="94"/>
      <x v="85"/>
      <x v="88"/>
      <x v="54"/>
      <x/>
    </i>
    <i r="3">
      <x v="552"/>
      <x v="2"/>
    </i>
    <i>
      <x v="95"/>
      <x v="90"/>
      <x v="97"/>
      <x v="596"/>
      <x v="4"/>
    </i>
    <i>
      <x v="97"/>
      <x v="69"/>
      <x v="90"/>
      <x v="843"/>
      <x v="4"/>
    </i>
    <i>
      <x v="98"/>
      <x v="86"/>
      <x v="54"/>
      <x v="389"/>
      <x v="4"/>
    </i>
    <i r="3">
      <x v="874"/>
      <x/>
    </i>
    <i>
      <x v="101"/>
      <x v="126"/>
      <x v="92"/>
      <x v="858"/>
      <x v="1"/>
    </i>
    <i>
      <x v="102"/>
      <x v="58"/>
      <x v="93"/>
      <x v="648"/>
      <x v="6"/>
    </i>
    <i r="1">
      <x v="92"/>
      <x v="111"/>
      <x v="648"/>
      <x v="6"/>
    </i>
    <i>
      <x v="105"/>
      <x v="88"/>
      <x v="43"/>
      <x v="598"/>
      <x v="4"/>
    </i>
    <i>
      <x v="106"/>
      <x v="9"/>
      <x v="102"/>
      <x v="59"/>
      <x/>
    </i>
    <i>
      <x v="107"/>
      <x v="131"/>
      <x v="103"/>
      <x v="572"/>
      <x v="2"/>
    </i>
    <i>
      <x v="108"/>
      <x v="118"/>
      <x v="104"/>
      <x v="828"/>
      <x v="6"/>
    </i>
    <i>
      <x v="109"/>
      <x v="13"/>
      <x v="105"/>
      <x v="65"/>
      <x/>
    </i>
    <i r="3">
      <x v="456"/>
      <x v="5"/>
    </i>
    <i>
      <x v="110"/>
      <x v="71"/>
      <x v="106"/>
      <x v="493"/>
      <x v="4"/>
    </i>
    <i>
      <x v="113"/>
      <x v="34"/>
      <x v="112"/>
      <x v="823"/>
      <x v="2"/>
    </i>
    <i>
      <x v="114"/>
      <x v="84"/>
      <x v="115"/>
      <x v="588"/>
      <x v="2"/>
    </i>
    <i>
      <x v="115"/>
      <x v="7"/>
      <x v="116"/>
      <x v="147"/>
      <x/>
    </i>
    <i r="3">
      <x v="570"/>
      <x v="5"/>
    </i>
    <i r="3">
      <x v="843"/>
      <x v="2"/>
    </i>
    <i>
      <x v="116"/>
      <x v="53"/>
      <x v="117"/>
      <x v="536"/>
      <x v="2"/>
    </i>
    <i>
      <x v="117"/>
      <x v="122"/>
      <x v="118"/>
      <x v="575"/>
      <x v="4"/>
    </i>
    <i>
      <x v="120"/>
      <x v="135"/>
      <x v="144"/>
      <x v="679"/>
      <x v="6"/>
    </i>
    <i>
      <x v="121"/>
      <x v="40"/>
      <x v="121"/>
      <x v="666"/>
      <x v="7"/>
    </i>
    <i>
      <x v="127"/>
      <x v="108"/>
      <x v="125"/>
      <x v="631"/>
      <x v="2"/>
    </i>
    <i>
      <x v="129"/>
      <x v="127"/>
      <x v="128"/>
      <x v="424"/>
      <x v="4"/>
    </i>
    <i>
      <x v="131"/>
      <x v="66"/>
      <x v="130"/>
      <x v="405"/>
      <x v="6"/>
    </i>
    <i>
      <x v="132"/>
      <x v="35"/>
      <x v="133"/>
      <x v="155"/>
      <x/>
    </i>
    <i>
      <x v="133"/>
      <x v="20"/>
      <x v="86"/>
      <x v="581"/>
      <x v="4"/>
    </i>
    <i>
      <x v="134"/>
      <x v="136"/>
      <x v="95"/>
      <x v="666"/>
      <x v="2"/>
    </i>
    <i>
      <x v="136"/>
      <x v="32"/>
      <x v="134"/>
      <x v="846"/>
      <x v="2"/>
    </i>
    <i>
      <x v="137"/>
      <x v="128"/>
      <x v="135"/>
      <x v="514"/>
      <x v="4"/>
    </i>
    <i>
      <x v="138"/>
      <x v="111"/>
      <x v="142"/>
      <x v="252"/>
      <x/>
    </i>
    <i>
      <x v="141"/>
      <x v="147"/>
      <x v="147"/>
      <x v="552"/>
      <x v="2"/>
    </i>
    <i>
      <x v="142"/>
      <x v="148"/>
      <x v="148"/>
      <x v="564"/>
      <x v="9"/>
    </i>
    <i>
      <x v="145"/>
      <x v="151"/>
      <x v="151"/>
      <x v="780"/>
      <x v="2"/>
    </i>
    <i>
      <x v="148"/>
      <x v="154"/>
      <x v="154"/>
      <x v="483"/>
      <x v="2"/>
    </i>
    <i>
      <x v="149"/>
      <x v="155"/>
      <x v="155"/>
      <x v="620"/>
      <x v="10"/>
    </i>
    <i r="3">
      <x v="749"/>
      <x v="4"/>
    </i>
    <i>
      <x v="152"/>
      <x v="158"/>
      <x v="158"/>
      <x v="552"/>
      <x v="2"/>
    </i>
    <i r="4">
      <x v="5"/>
    </i>
    <i>
      <x v="153"/>
      <x v="159"/>
      <x v="159"/>
      <x v="454"/>
      <x v="4"/>
    </i>
    <i>
      <x v="155"/>
      <x v="161"/>
      <x v="161"/>
      <x v="58"/>
      <x/>
    </i>
    <i r="3">
      <x v="453"/>
      <x v="2"/>
    </i>
    <i>
      <x v="157"/>
      <x v="163"/>
      <x v="163"/>
      <x v="526"/>
      <x v="5"/>
    </i>
    <i>
      <x v="158"/>
      <x v="164"/>
      <x v="164"/>
      <x v="575"/>
      <x v="2"/>
    </i>
    <i>
      <x v="159"/>
      <x v="165"/>
      <x v="165"/>
      <x v="105"/>
      <x/>
    </i>
    <i r="3">
      <x v="444"/>
      <x v="4"/>
    </i>
    <i>
      <x v="160"/>
      <x v="166"/>
      <x v="166"/>
      <x v="478"/>
      <x v="2"/>
    </i>
    <i>
      <x v="161"/>
      <x v="167"/>
      <x v="167"/>
      <x v="163"/>
      <x/>
    </i>
    <i>
      <x v="162"/>
      <x v="168"/>
      <x v="168"/>
      <x v="476"/>
      <x v="2"/>
    </i>
    <i>
      <x v="164"/>
      <x v="170"/>
      <x v="170"/>
      <x v="814"/>
      <x/>
    </i>
    <i>
      <x v="168"/>
      <x v="174"/>
      <x v="174"/>
      <x v="526"/>
      <x v="1"/>
    </i>
    <i>
      <x v="169"/>
      <x v="175"/>
      <x v="175"/>
      <x v="584"/>
      <x v="2"/>
    </i>
    <i r="3">
      <x v="730"/>
      <x v="2"/>
    </i>
    <i>
      <x v="173"/>
      <x v="179"/>
      <x v="179"/>
      <x v="83"/>
      <x/>
    </i>
    <i r="3">
      <x v="420"/>
      <x v="2"/>
    </i>
    <i>
      <x v="174"/>
      <x v="180"/>
      <x v="180"/>
      <x v="859"/>
      <x v="2"/>
    </i>
    <i>
      <x v="175"/>
      <x v="181"/>
      <x v="181"/>
      <x v="451"/>
      <x v="2"/>
    </i>
    <i>
      <x v="177"/>
      <x v="183"/>
      <x v="183"/>
      <x v="478"/>
      <x v="2"/>
    </i>
    <i>
      <x v="178"/>
      <x v="184"/>
      <x v="184"/>
      <x v="410"/>
      <x v="2"/>
    </i>
    <i>
      <x v="180"/>
      <x v="186"/>
      <x v="186"/>
      <x v="58"/>
      <x/>
    </i>
    <i r="1">
      <x v="187"/>
      <x v="187"/>
      <x v="58"/>
      <x/>
    </i>
    <i>
      <x v="181"/>
      <x v="189"/>
      <x v="189"/>
      <x v="842"/>
      <x v="2"/>
    </i>
    <i>
      <x v="182"/>
      <x v="190"/>
      <x v="190"/>
      <x v="493"/>
      <x v="2"/>
    </i>
    <i>
      <x v="186"/>
      <x v="194"/>
      <x v="194"/>
      <x v="575"/>
      <x v="2"/>
    </i>
    <i>
      <x v="188"/>
      <x v="196"/>
      <x v="196"/>
      <x v="705"/>
      <x v="2"/>
    </i>
    <i>
      <x v="189"/>
      <x v="197"/>
      <x v="197"/>
      <x v="55"/>
      <x/>
    </i>
    <i r="3">
      <x v="545"/>
      <x v="2"/>
    </i>
    <i>
      <x v="190"/>
      <x v="198"/>
      <x v="198"/>
      <x v="478"/>
      <x v="2"/>
    </i>
    <i>
      <x v="192"/>
      <x v="200"/>
      <x v="200"/>
      <x v="817"/>
      <x v="2"/>
    </i>
    <i r="3">
      <x v="835"/>
      <x v="2"/>
    </i>
    <i>
      <x v="196"/>
      <x v="204"/>
      <x v="204"/>
      <x v="675"/>
      <x v="2"/>
    </i>
    <i>
      <x v="197"/>
      <x v="205"/>
      <x v="205"/>
      <x v="679"/>
      <x v="2"/>
    </i>
    <i>
      <x v="201"/>
      <x v="209"/>
      <x v="209"/>
      <x v="321"/>
      <x/>
    </i>
    <i r="3">
      <x v="675"/>
      <x v="2"/>
    </i>
    <i>
      <x v="202"/>
      <x v="210"/>
      <x v="210"/>
      <x v="702"/>
      <x v="2"/>
    </i>
    <i>
      <x v="206"/>
      <x v="215"/>
      <x v="215"/>
      <x v="401"/>
      <x v="2"/>
    </i>
    <i>
      <x v="208"/>
      <x v="217"/>
      <x v="217"/>
      <x v="708"/>
      <x v="2"/>
    </i>
    <i>
      <x v="209"/>
      <x v="218"/>
      <x v="218"/>
      <x v="70"/>
      <x/>
    </i>
    <i r="3">
      <x v="459"/>
      <x v="5"/>
    </i>
    <i>
      <x v="212"/>
      <x v="221"/>
      <x v="221"/>
      <x v="53"/>
      <x/>
    </i>
    <i r="3">
      <x v="591"/>
      <x v="2"/>
    </i>
    <i>
      <x v="213"/>
      <x v="222"/>
      <x v="222"/>
      <x v="417"/>
      <x v="2"/>
    </i>
    <i r="3">
      <x v="880"/>
      <x/>
    </i>
    <i>
      <x v="214"/>
      <x v="223"/>
      <x v="223"/>
      <x v="81"/>
      <x/>
    </i>
    <i>
      <x v="215"/>
      <x v="224"/>
      <x v="224"/>
      <x v="438"/>
      <x v="2"/>
    </i>
    <i r="1">
      <x v="225"/>
      <x v="225"/>
      <x v="438"/>
      <x v="2"/>
    </i>
    <i>
      <x v="218"/>
      <x v="228"/>
      <x v="228"/>
      <x v="48"/>
      <x v="2"/>
    </i>
    <i r="3">
      <x v="499"/>
      <x v="2"/>
    </i>
    <i>
      <x v="219"/>
      <x v="229"/>
      <x v="229"/>
      <x v="50"/>
      <x/>
    </i>
    <i r="3">
      <x v="613"/>
      <x v="2"/>
    </i>
    <i>
      <x v="222"/>
      <x v="232"/>
      <x v="232"/>
      <x v="663"/>
      <x v="2"/>
    </i>
    <i>
      <x v="223"/>
      <x v="233"/>
      <x v="233"/>
      <x v="593"/>
      <x v="2"/>
    </i>
    <i>
      <x v="225"/>
      <x v="235"/>
      <x v="235"/>
      <x v="526"/>
      <x v="4"/>
    </i>
    <i>
      <x v="229"/>
      <x v="239"/>
      <x v="239"/>
      <x v="206"/>
      <x/>
    </i>
    <i>
      <x v="230"/>
      <x v="240"/>
      <x v="240"/>
      <x v="857"/>
      <x v="4"/>
    </i>
    <i>
      <x v="233"/>
      <x v="244"/>
      <x v="244"/>
      <x v="493"/>
      <x v="2"/>
    </i>
    <i>
      <x v="234"/>
      <x v="245"/>
      <x v="245"/>
      <x v="663"/>
      <x v="10"/>
    </i>
    <i>
      <x v="235"/>
      <x v="247"/>
      <x v="247"/>
      <x v="536"/>
      <x v="4"/>
    </i>
    <i>
      <x v="236"/>
      <x v="248"/>
      <x v="248"/>
      <x v="391"/>
      <x v="4"/>
    </i>
    <i>
      <x v="238"/>
      <x v="250"/>
      <x v="250"/>
      <x v="520"/>
      <x v="4"/>
    </i>
    <i>
      <x v="239"/>
      <x v="251"/>
      <x v="251"/>
      <x v="520"/>
      <x v="4"/>
    </i>
    <i>
      <x v="240"/>
      <x v="252"/>
      <x v="252"/>
      <x v="349"/>
      <x v="4"/>
    </i>
    <i>
      <x v="242"/>
      <x v="255"/>
      <x v="255"/>
      <x v="575"/>
      <x v="4"/>
    </i>
    <i r="3">
      <x v="597"/>
      <x v="4"/>
    </i>
    <i>
      <x v="243"/>
      <x v="256"/>
      <x v="256"/>
      <x v="511"/>
      <x v="4"/>
    </i>
    <i>
      <x v="244"/>
      <x v="257"/>
      <x v="257"/>
      <x v="588"/>
      <x v="4"/>
    </i>
    <i>
      <x v="245"/>
      <x v="258"/>
      <x v="258"/>
      <x v="792"/>
      <x v="4"/>
    </i>
    <i>
      <x v="250"/>
      <x v="263"/>
      <x v="263"/>
      <x v="398"/>
      <x v="10"/>
    </i>
    <i>
      <x v="252"/>
      <x v="265"/>
      <x v="265"/>
      <x v="391"/>
      <x v="4"/>
    </i>
    <i>
      <x v="253"/>
      <x v="266"/>
      <x v="266"/>
      <x v="328"/>
      <x/>
    </i>
    <i t="grand">
      <x/>
    </i>
  </rowItems>
  <colItems count="1">
    <i/>
  </colItems>
  <pageFields count="6">
    <pageField fld="52" hier="-1"/>
    <pageField fld="38" hier="-1"/>
    <pageField fld="40" hier="-1"/>
    <pageField fld="4" hier="-1"/>
    <pageField fld="53" hier="-1"/>
    <pageField fld="55" hier="-1"/>
  </page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0:L184" firstHeaderRow="2" firstDataRow="2" firstDataCol="6" rowPageCount="6" colPageCount="1"/>
  <pivotFields count="57">
    <pivotField compact="0" outline="0" showAll="0" defaultSubtotal="0"/>
    <pivotField axis="axisRow" compact="0" outline="0" showAll="0" defaultSubtotal="0">
      <items count="267">
        <item x="153"/>
        <item x="202"/>
        <item x="124"/>
        <item x="7"/>
        <item x="34"/>
        <item x="60"/>
        <item x="101"/>
        <item x="222"/>
        <item x="247"/>
        <item x="205"/>
        <item x="52"/>
        <item x="8"/>
        <item x="85"/>
        <item x="212"/>
        <item x="143"/>
        <item x="227"/>
        <item x="121"/>
        <item x="233"/>
        <item x="28"/>
        <item x="4"/>
        <item x="257"/>
        <item x="164"/>
        <item x="214"/>
        <item x="0"/>
        <item x="13"/>
        <item x="135"/>
        <item x="37"/>
        <item x="134"/>
        <item x="144"/>
        <item x="61"/>
        <item x="125"/>
        <item x="173"/>
        <item x="262"/>
        <item x="65"/>
        <item x="218"/>
        <item x="256"/>
        <item x="11"/>
        <item x="109"/>
        <item x="166"/>
        <item x="201"/>
        <item x="229"/>
        <item x="51"/>
        <item x="83"/>
        <item x="226"/>
        <item x="16"/>
        <item x="5"/>
        <item x="231"/>
        <item x="69"/>
        <item x="149"/>
        <item x="89"/>
        <item x="14"/>
        <item x="103"/>
        <item x="128"/>
        <item x="223"/>
        <item x="91"/>
        <item x="2"/>
        <item x="174"/>
        <item x="1"/>
        <item x="198"/>
        <item x="160"/>
        <item x="71"/>
        <item x="180"/>
        <item x="80"/>
        <item x="63"/>
        <item x="176"/>
        <item x="25"/>
        <item x="253"/>
        <item x="110"/>
        <item x="142"/>
        <item x="187"/>
        <item x="100"/>
        <item x="213"/>
        <item x="133"/>
        <item x="40"/>
        <item x="59"/>
        <item x="10"/>
        <item x="97"/>
        <item x="64"/>
        <item x="30"/>
        <item x="156"/>
        <item x="77"/>
        <item x="57"/>
        <item x="146"/>
        <item x="112"/>
        <item x="221"/>
        <item x="182"/>
        <item x="189"/>
        <item x="22"/>
        <item x="203"/>
        <item x="138"/>
        <item x="185"/>
        <item x="24"/>
        <item x="199"/>
        <item x="31"/>
        <item x="157"/>
        <item x="6"/>
        <item x="107"/>
        <item x="12"/>
        <item x="19"/>
        <item x="47"/>
        <item x="148"/>
        <item x="131"/>
        <item x="114"/>
        <item x="155"/>
        <item x="79"/>
        <item x="266"/>
        <item x="15"/>
        <item x="216"/>
        <item x="236"/>
        <item x="54"/>
        <item x="70"/>
        <item x="265"/>
        <item x="9"/>
        <item x="115"/>
        <item x="239"/>
        <item x="170"/>
        <item x="260"/>
        <item x="75"/>
        <item x="211"/>
        <item x="56"/>
        <item x="230"/>
        <item x="18"/>
        <item x="225"/>
        <item x="123"/>
        <item x="87"/>
        <item x="152"/>
        <item x="194"/>
        <item x="246"/>
        <item x="263"/>
        <item x="162"/>
        <item x="17"/>
        <item x="206"/>
        <item x="38"/>
        <item x="191"/>
        <item x="46"/>
        <item x="228"/>
        <item x="258"/>
        <item x="232"/>
        <item x="193"/>
        <item x="93"/>
        <item x="147"/>
        <item x="235"/>
        <item x="171"/>
        <item x="23"/>
        <item x="3"/>
        <item x="186"/>
        <item x="20"/>
        <item x="36"/>
        <item x="39"/>
        <item x="41"/>
        <item x="43"/>
        <item x="49"/>
        <item x="53"/>
        <item x="55"/>
        <item x="66"/>
        <item x="78"/>
        <item x="82"/>
        <item x="88"/>
        <item x="90"/>
        <item x="92"/>
        <item x="95"/>
        <item x="98"/>
        <item x="120"/>
        <item x="122"/>
        <item x="129"/>
        <item x="151"/>
        <item x="165"/>
        <item x="169"/>
        <item x="172"/>
        <item x="179"/>
        <item x="197"/>
        <item x="200"/>
        <item x="207"/>
        <item x="215"/>
        <item x="224"/>
        <item x="242"/>
        <item x="243"/>
        <item x="254"/>
        <item x="264"/>
        <item x="21"/>
        <item x="26"/>
        <item x="27"/>
        <item x="29"/>
        <item x="32"/>
        <item x="33"/>
        <item x="42"/>
        <item x="44"/>
        <item x="45"/>
        <item x="50"/>
        <item x="67"/>
        <item x="68"/>
        <item x="73"/>
        <item x="81"/>
        <item x="84"/>
        <item x="86"/>
        <item x="96"/>
        <item x="99"/>
        <item x="104"/>
        <item x="105"/>
        <item x="106"/>
        <item x="108"/>
        <item x="111"/>
        <item x="113"/>
        <item x="117"/>
        <item x="126"/>
        <item x="127"/>
        <item x="130"/>
        <item x="136"/>
        <item x="140"/>
        <item x="154"/>
        <item x="158"/>
        <item x="159"/>
        <item x="167"/>
        <item x="175"/>
        <item x="183"/>
        <item x="184"/>
        <item x="188"/>
        <item x="190"/>
        <item x="192"/>
        <item x="195"/>
        <item x="204"/>
        <item x="210"/>
        <item x="220"/>
        <item x="237"/>
        <item x="240"/>
        <item x="241"/>
        <item x="244"/>
        <item x="245"/>
        <item x="248"/>
        <item x="251"/>
        <item x="252"/>
        <item x="255"/>
        <item x="259"/>
        <item x="261"/>
        <item x="35"/>
        <item x="62"/>
        <item x="72"/>
        <item x="76"/>
        <item x="94"/>
        <item x="137"/>
        <item x="141"/>
        <item x="168"/>
        <item x="177"/>
        <item x="178"/>
        <item x="234"/>
        <item x="48"/>
        <item x="58"/>
        <item x="74"/>
        <item x="102"/>
        <item x="116"/>
        <item x="118"/>
        <item x="119"/>
        <item x="132"/>
        <item x="139"/>
        <item x="145"/>
        <item x="150"/>
        <item x="161"/>
        <item x="163"/>
        <item x="181"/>
        <item x="196"/>
        <item x="208"/>
        <item x="209"/>
        <item x="217"/>
        <item x="219"/>
        <item x="238"/>
        <item x="249"/>
        <item x="250"/>
      </items>
    </pivotField>
    <pivotField axis="axisRow" compact="0" outline="0" showAll="0" defaultSubtotal="0">
      <items count="267">
        <item x="0"/>
        <item x="1"/>
        <item x="2"/>
        <item x="5"/>
        <item x="7"/>
        <item x="9"/>
        <item x="10"/>
        <item x="11"/>
        <item x="12"/>
        <item x="171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69"/>
        <item x="71"/>
        <item x="114"/>
        <item x="131"/>
        <item x="160"/>
        <item x="3"/>
        <item x="75"/>
        <item x="80"/>
        <item x="83"/>
        <item x="85"/>
        <item x="191"/>
        <item x="57"/>
        <item x="63"/>
        <item x="203"/>
        <item x="79"/>
        <item x="93"/>
        <item x="100"/>
        <item x="101"/>
        <item x="103"/>
        <item x="109"/>
        <item x="110"/>
        <item x="15"/>
        <item x="121"/>
        <item x="133"/>
        <item x="189"/>
        <item x="22"/>
        <item x="70"/>
        <item x="124"/>
        <item x="125"/>
        <item x="128"/>
        <item x="8"/>
        <item x="134"/>
        <item x="135"/>
        <item x="138"/>
        <item x="142"/>
        <item x="143"/>
        <item x="144"/>
        <item x="146"/>
        <item x="147"/>
        <item x="148"/>
        <item x="149"/>
        <item x="152"/>
        <item x="153"/>
        <item x="155"/>
        <item x="156"/>
        <item x="157"/>
        <item x="162"/>
        <item x="164"/>
        <item x="166"/>
        <item x="89"/>
        <item x="97"/>
        <item x="107"/>
        <item x="170"/>
        <item x="173"/>
        <item x="174"/>
        <item x="176"/>
        <item x="257"/>
        <item x="180"/>
        <item x="182"/>
        <item x="186"/>
        <item x="187"/>
        <item x="230"/>
        <item x="194"/>
        <item x="198"/>
        <item x="77"/>
        <item x="258"/>
        <item x="260"/>
        <item x="185"/>
        <item x="17"/>
        <item x="123"/>
        <item x="201"/>
        <item x="202"/>
        <item x="205"/>
        <item x="206"/>
        <item x="211"/>
        <item x="212"/>
        <item x="213"/>
        <item x="214"/>
        <item x="216"/>
        <item x="65"/>
        <item x="112"/>
        <item x="199"/>
        <item x="218"/>
        <item x="232"/>
        <item x="18"/>
        <item x="221"/>
        <item x="222"/>
        <item x="223"/>
        <item x="225"/>
        <item x="226"/>
        <item x="227"/>
        <item x="229"/>
        <item x="231"/>
        <item x="233"/>
        <item x="235"/>
        <item x="236"/>
        <item x="239"/>
        <item x="4"/>
        <item x="246"/>
        <item x="247"/>
        <item x="253"/>
        <item x="13"/>
        <item x="115"/>
        <item x="256"/>
        <item x="262"/>
        <item x="263"/>
        <item x="56"/>
        <item x="91"/>
        <item x="40"/>
        <item x="46"/>
        <item x="193"/>
        <item x="16"/>
        <item x="265"/>
        <item x="87"/>
        <item x="228"/>
        <item x="266"/>
        <item x="20"/>
        <item x="36"/>
        <item x="39"/>
        <item x="41"/>
        <item x="43"/>
        <item x="49"/>
        <item x="53"/>
        <item x="55"/>
        <item x="66"/>
        <item x="78"/>
        <item x="82"/>
        <item x="88"/>
        <item x="90"/>
        <item x="92"/>
        <item x="95"/>
        <item x="98"/>
        <item x="120"/>
        <item x="122"/>
        <item x="129"/>
        <item x="151"/>
        <item x="165"/>
        <item x="169"/>
        <item x="172"/>
        <item x="179"/>
        <item x="197"/>
        <item x="200"/>
        <item x="207"/>
        <item x="215"/>
        <item x="224"/>
        <item x="242"/>
        <item x="243"/>
        <item x="254"/>
        <item x="264"/>
        <item x="21"/>
        <item x="26"/>
        <item x="27"/>
        <item x="29"/>
        <item x="32"/>
        <item x="33"/>
        <item x="42"/>
        <item x="44"/>
        <item x="45"/>
        <item x="50"/>
        <item x="67"/>
        <item x="68"/>
        <item x="73"/>
        <item x="81"/>
        <item x="84"/>
        <item x="86"/>
        <item x="96"/>
        <item x="99"/>
        <item x="104"/>
        <item x="105"/>
        <item x="106"/>
        <item x="108"/>
        <item x="111"/>
        <item x="113"/>
        <item x="117"/>
        <item x="126"/>
        <item x="127"/>
        <item x="130"/>
        <item x="136"/>
        <item x="140"/>
        <item x="154"/>
        <item x="158"/>
        <item x="159"/>
        <item x="167"/>
        <item x="175"/>
        <item x="183"/>
        <item x="184"/>
        <item x="188"/>
        <item x="190"/>
        <item x="192"/>
        <item x="195"/>
        <item x="204"/>
        <item x="210"/>
        <item x="220"/>
        <item x="237"/>
        <item x="240"/>
        <item x="241"/>
        <item x="244"/>
        <item x="245"/>
        <item x="248"/>
        <item x="251"/>
        <item x="252"/>
        <item x="255"/>
        <item x="259"/>
        <item x="261"/>
        <item x="35"/>
        <item x="62"/>
        <item x="72"/>
        <item x="76"/>
        <item x="94"/>
        <item x="137"/>
        <item x="141"/>
        <item x="168"/>
        <item x="177"/>
        <item x="178"/>
        <item x="234"/>
        <item x="48"/>
        <item x="58"/>
        <item x="74"/>
        <item x="102"/>
        <item x="116"/>
        <item x="118"/>
        <item x="119"/>
        <item x="132"/>
        <item x="139"/>
        <item x="145"/>
        <item x="150"/>
        <item x="161"/>
        <item x="163"/>
        <item x="181"/>
        <item x="196"/>
        <item x="208"/>
        <item x="209"/>
        <item x="217"/>
        <item x="219"/>
        <item x="238"/>
        <item x="249"/>
        <item x="250"/>
      </items>
    </pivotField>
    <pivotField axis="axisRow" compact="0" outline="0" showAll="0" defaultSubtotal="0">
      <items count="2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58"/>
        <item x="62"/>
        <item x="63"/>
        <item x="64"/>
        <item x="68"/>
        <item x="70"/>
        <item x="72"/>
        <item x="75"/>
        <item x="77"/>
        <item x="79"/>
        <item x="81"/>
        <item x="83"/>
        <item x="85"/>
        <item x="89"/>
        <item x="92"/>
        <item x="93"/>
        <item x="95"/>
        <item x="99"/>
        <item x="101"/>
        <item x="102"/>
        <item x="104"/>
        <item x="106"/>
        <item x="107"/>
        <item x="113"/>
        <item x="115"/>
        <item x="116"/>
        <item x="117"/>
        <item x="120"/>
        <item x="123"/>
        <item x="125"/>
        <item x="126"/>
        <item x="127"/>
        <item x="130"/>
        <item x="134"/>
        <item x="135"/>
        <item x="136"/>
        <item x="137"/>
        <item x="138"/>
        <item x="139"/>
        <item x="140"/>
        <item x="143"/>
        <item x="144"/>
        <item x="146"/>
        <item x="147"/>
        <item x="148"/>
        <item x="150"/>
        <item x="152"/>
        <item x="154"/>
        <item x="156"/>
        <item x="160"/>
        <item x="161"/>
        <item x="163"/>
        <item x="164"/>
        <item x="166"/>
        <item x="169"/>
        <item x="171"/>
        <item x="174"/>
        <item x="175"/>
        <item x="176"/>
        <item x="178"/>
        <item x="180"/>
        <item x="182"/>
        <item x="183"/>
        <item x="187"/>
        <item x="189"/>
        <item x="190"/>
        <item x="191"/>
        <item x="193"/>
        <item x="194"/>
        <item x="199"/>
        <item x="200"/>
        <item x="201"/>
        <item x="202"/>
        <item x="204"/>
        <item x="206"/>
        <item x="209"/>
        <item x="210"/>
        <item x="211"/>
        <item x="213"/>
        <item x="214"/>
        <item x="215"/>
        <item x="216"/>
        <item x="217"/>
        <item x="218"/>
        <item x="219"/>
        <item x="220"/>
        <item x="221"/>
        <item x="223"/>
        <item x="224"/>
        <item x="227"/>
        <item x="233"/>
        <item x="234"/>
        <item x="240"/>
        <item x="243"/>
        <item x="244"/>
        <item x="245"/>
        <item x="247"/>
        <item x="249"/>
        <item x="250"/>
        <item x="252"/>
        <item x="253"/>
        <item x="17"/>
        <item x="32"/>
        <item x="35"/>
        <item x="37"/>
        <item x="39"/>
        <item x="44"/>
        <item x="47"/>
        <item x="49"/>
        <item x="59"/>
        <item x="71"/>
        <item x="74"/>
        <item x="80"/>
        <item x="82"/>
        <item x="84"/>
        <item x="87"/>
        <item x="90"/>
        <item x="112"/>
        <item x="114"/>
        <item x="121"/>
        <item x="142"/>
        <item x="155"/>
        <item x="159"/>
        <item x="162"/>
        <item x="168"/>
        <item x="186"/>
        <item x="188"/>
        <item x="195"/>
        <item x="203"/>
        <item x="212"/>
        <item x="229"/>
        <item x="230"/>
        <item x="241"/>
        <item x="251"/>
        <item x="18"/>
        <item x="22"/>
        <item x="23"/>
        <item x="25"/>
        <item x="28"/>
        <item x="29"/>
        <item x="38"/>
        <item x="40"/>
        <item x="60"/>
        <item x="61"/>
        <item x="66"/>
        <item x="73"/>
        <item x="76"/>
        <item x="78"/>
        <item x="88"/>
        <item x="91"/>
        <item x="96"/>
        <item x="97"/>
        <item x="98"/>
        <item x="100"/>
        <item x="103"/>
        <item x="105"/>
        <item x="109"/>
        <item x="118"/>
        <item x="119"/>
        <item x="122"/>
        <item x="128"/>
        <item x="132"/>
        <item x="145"/>
        <item x="149"/>
        <item x="157"/>
        <item x="165"/>
        <item x="172"/>
        <item x="173"/>
        <item x="177"/>
        <item x="179"/>
        <item x="181"/>
        <item x="184"/>
        <item x="192"/>
        <item x="198"/>
        <item x="208"/>
        <item x="225"/>
        <item x="228"/>
        <item x="231"/>
        <item x="232"/>
        <item x="235"/>
        <item x="238"/>
        <item x="239"/>
        <item x="242"/>
        <item x="246"/>
        <item x="248"/>
        <item x="31"/>
        <item x="55"/>
        <item x="65"/>
        <item x="69"/>
        <item x="86"/>
        <item x="129"/>
        <item x="133"/>
        <item x="158"/>
        <item x="167"/>
        <item x="222"/>
        <item x="43"/>
        <item x="67"/>
        <item x="94"/>
        <item x="108"/>
        <item x="110"/>
        <item x="111"/>
        <item x="124"/>
        <item x="131"/>
        <item x="141"/>
        <item x="151"/>
        <item x="153"/>
        <item x="170"/>
        <item x="185"/>
        <item x="196"/>
        <item x="197"/>
        <item x="205"/>
        <item x="207"/>
        <item x="226"/>
        <item x="236"/>
        <item x="237"/>
      </items>
    </pivotField>
    <pivotField axis="axisPage" compact="0" outline="0" showAll="0" defaultSubtotal="0">
      <items count="6">
        <item x="3"/>
        <item x="0"/>
        <item x="2"/>
        <item x="5"/>
        <item x="1"/>
        <item x="4"/>
      </items>
    </pivotField>
    <pivotField compact="0" outline="0" showAll="0" defaultSubtotal="0"/>
    <pivotField compact="0" outline="0" showAll="0"/>
    <pivotField compact="0" outline="0" multipleItemSelectionAllowed="1" showAll="0"/>
    <pivotField compact="0" outline="0" showAll="0"/>
    <pivotField compact="0" outline="0" showAll="0"/>
    <pivotField axis="axisRow" compact="0" numFmtId="14" outline="0" showAll="0" defaultSubtotal="0">
      <items count="883">
        <item x="272"/>
        <item x="771"/>
        <item x="534"/>
        <item x="276"/>
        <item x="868"/>
        <item x="145"/>
        <item x="200"/>
        <item x="171"/>
        <item x="274"/>
        <item x="541"/>
        <item x="799"/>
        <item x="275"/>
        <item x="41"/>
        <item x="585"/>
        <item x="742"/>
        <item x="679"/>
        <item x="126"/>
        <item x="851"/>
        <item x="215"/>
        <item x="495"/>
        <item x="404"/>
        <item x="84"/>
        <item x="279"/>
        <item x="739"/>
        <item x="609"/>
        <item x="343"/>
        <item x="191"/>
        <item x="606"/>
        <item x="654"/>
        <item x="474"/>
        <item x="854"/>
        <item x="368"/>
        <item x="570"/>
        <item x="500"/>
        <item x="876"/>
        <item x="469"/>
        <item x="206"/>
        <item x="612"/>
        <item x="692"/>
        <item x="325"/>
        <item x="417"/>
        <item x="410"/>
        <item x="255"/>
        <item x="457"/>
        <item x="6"/>
        <item x="176"/>
        <item x="4"/>
        <item x="836"/>
        <item x="837"/>
        <item x="298"/>
        <item x="846"/>
        <item x="698"/>
        <item x="574"/>
        <item x="750"/>
        <item x="691"/>
        <item x="301"/>
        <item x="770"/>
        <item x="505"/>
        <item x="243"/>
        <item x="741"/>
        <item x="15"/>
        <item x="681"/>
        <item x="812"/>
        <item x="504"/>
        <item x="329"/>
        <item x="756"/>
        <item x="388"/>
        <item x="269"/>
        <item x="315"/>
        <item x="130"/>
        <item x="716"/>
        <item x="728"/>
        <item x="607"/>
        <item x="177"/>
        <item x="515"/>
        <item x="436"/>
        <item x="711"/>
        <item x="372"/>
        <item x="820"/>
        <item x="462"/>
        <item x="98"/>
        <item x="822"/>
        <item x="715"/>
        <item x="99"/>
        <item x="498"/>
        <item x="573"/>
        <item x="520"/>
        <item x="784"/>
        <item x="552"/>
        <item x="56"/>
        <item x="644"/>
        <item x="571"/>
        <item x="767"/>
        <item x="424"/>
        <item x="57"/>
        <item x="703"/>
        <item x="629"/>
        <item x="453"/>
        <item x="455"/>
        <item x="356"/>
        <item x="338"/>
        <item x="58"/>
        <item x="839"/>
        <item x="273"/>
        <item x="437"/>
        <item x="625"/>
        <item x="468"/>
        <item x="598"/>
        <item x="92"/>
        <item x="384"/>
        <item x="473"/>
        <item x="616"/>
        <item x="811"/>
        <item x="808"/>
        <item x="422"/>
        <item x="443"/>
        <item x="879"/>
        <item x="328"/>
        <item x="874"/>
        <item x="833"/>
        <item x="870"/>
        <item x="838"/>
        <item x="291"/>
        <item x="506"/>
        <item x="402"/>
        <item x="867"/>
        <item x="774"/>
        <item x="835"/>
        <item x="655"/>
        <item x="398"/>
        <item x="327"/>
        <item x="261"/>
        <item x="781"/>
        <item x="503"/>
        <item x="188"/>
        <item x="42"/>
        <item x="635"/>
        <item x="673"/>
        <item x="724"/>
        <item x="0"/>
        <item x="643"/>
        <item x="604"/>
        <item x="40"/>
        <item x="708"/>
        <item x="160"/>
        <item x="412"/>
        <item x="380"/>
        <item x="787"/>
        <item x="880"/>
        <item x="217"/>
        <item x="783"/>
        <item x="563"/>
        <item x="863"/>
        <item x="549"/>
        <item x="858"/>
        <item x="859"/>
        <item x="743"/>
        <item x="586"/>
        <item x="547"/>
        <item x="538"/>
        <item x="619"/>
        <item x="577"/>
        <item x="152"/>
        <item x="671"/>
        <item x="672"/>
        <item x="414"/>
        <item x="790"/>
        <item x="646"/>
        <item x="591"/>
        <item x="862"/>
        <item x="240"/>
        <item x="413"/>
        <item x="861"/>
        <item x="815"/>
        <item x="312"/>
        <item x="537"/>
        <item x="452"/>
        <item x="572"/>
        <item x="432"/>
        <item x="881"/>
        <item x="734"/>
        <item x="551"/>
        <item x="747"/>
        <item x="197"/>
        <item x="359"/>
        <item x="806"/>
        <item x="451"/>
        <item x="627"/>
        <item x="357"/>
        <item x="554"/>
        <item x="438"/>
        <item x="91"/>
        <item x="239"/>
        <item x="688"/>
        <item x="450"/>
        <item x="358"/>
        <item x="664"/>
        <item x="253"/>
        <item x="280"/>
        <item x="62"/>
        <item x="7"/>
        <item x="381"/>
        <item x="363"/>
        <item x="59"/>
        <item x="80"/>
        <item x="225"/>
        <item x="511"/>
        <item x="316"/>
        <item x="345"/>
        <item x="584"/>
        <item x="421"/>
        <item x="618"/>
        <item x="603"/>
        <item x="696"/>
        <item x="665"/>
        <item x="661"/>
        <item x="594"/>
        <item x="324"/>
        <item x="278"/>
        <item x="210"/>
        <item x="219"/>
        <item x="3"/>
        <item x="267"/>
        <item x="2"/>
        <item x="334"/>
        <item x="642"/>
        <item x="101"/>
        <item x="583"/>
        <item x="218"/>
        <item x="725"/>
        <item x="326"/>
        <item x="628"/>
        <item x="522"/>
        <item x="68"/>
        <item x="110"/>
        <item x="813"/>
        <item x="660"/>
        <item x="277"/>
        <item x="518"/>
        <item x="50"/>
        <item x="186"/>
        <item x="397"/>
        <item x="757"/>
        <item x="800"/>
        <item x="733"/>
        <item x="85"/>
        <item x="411"/>
        <item x="144"/>
        <item x="762"/>
        <item x="853"/>
        <item x="744"/>
        <item x="608"/>
        <item x="882"/>
        <item x="723"/>
        <item x="855"/>
        <item x="435"/>
        <item x="803"/>
        <item x="207"/>
        <item x="211"/>
        <item x="529"/>
        <item x="746"/>
        <item x="834"/>
        <item x="285"/>
        <item x="527"/>
        <item x="491"/>
        <item x="528"/>
        <item x="849"/>
        <item x="294"/>
        <item x="309"/>
        <item x="258"/>
        <item x="536"/>
        <item x="745"/>
        <item x="336"/>
        <item x="758"/>
        <item x="446"/>
        <item x="1"/>
        <item x="785"/>
        <item x="367"/>
        <item x="748"/>
        <item x="804"/>
        <item x="296"/>
        <item x="330"/>
        <item x="630"/>
        <item x="14"/>
        <item x="701"/>
        <item x="292"/>
        <item x="866"/>
        <item x="213"/>
        <item x="729"/>
        <item x="365"/>
        <item x="656"/>
        <item x="136"/>
        <item x="755"/>
        <item x="666"/>
        <item x="153"/>
        <item x="244"/>
        <item x="102"/>
        <item x="364"/>
        <item x="439"/>
        <item x="156"/>
        <item x="374"/>
        <item x="390"/>
        <item x="687"/>
        <item x="796"/>
        <item x="845"/>
        <item x="501"/>
        <item x="340"/>
        <item x="684"/>
        <item x="525"/>
        <item x="220"/>
        <item x="209"/>
        <item x="759"/>
        <item x="878"/>
        <item x="667"/>
        <item x="313"/>
        <item x="633"/>
        <item x="458"/>
        <item x="415"/>
        <item x="18"/>
        <item x="877"/>
        <item x="470"/>
        <item x="634"/>
        <item x="844"/>
        <item x="283"/>
        <item x="766"/>
        <item x="637"/>
        <item x="71"/>
        <item x="67"/>
        <item x="842"/>
        <item x="843"/>
        <item x="323"/>
        <item x="814"/>
        <item x="763"/>
        <item x="214"/>
        <item x="63"/>
        <item x="314"/>
        <item x="760"/>
        <item x="794"/>
        <item x="66"/>
        <item x="517"/>
        <item x="514"/>
        <item x="128"/>
        <item x="17"/>
        <item x="754"/>
        <item x="87"/>
        <item x="502"/>
        <item x="639"/>
        <item x="227"/>
        <item x="212"/>
        <item x="442"/>
        <item x="366"/>
        <item x="732"/>
        <item x="545"/>
        <item x="295"/>
        <item x="797"/>
        <item x="663"/>
        <item x="512"/>
        <item x="162"/>
        <item x="369"/>
        <item x="513"/>
        <item x="776"/>
        <item x="817"/>
        <item x="161"/>
        <item x="389"/>
        <item x="496"/>
        <item x="178"/>
        <item x="379"/>
        <item x="544"/>
        <item x="823"/>
        <item x="657"/>
        <item x="848"/>
        <item x="342"/>
        <item x="582"/>
        <item x="543"/>
        <item x="32"/>
        <item x="391"/>
        <item x="680"/>
        <item x="768"/>
        <item x="841"/>
        <item x="198"/>
        <item x="700"/>
        <item x="587"/>
        <item x="562"/>
        <item x="293"/>
        <item x="350"/>
        <item x="682"/>
        <item x="86"/>
        <item x="480"/>
        <item x="875"/>
        <item x="22"/>
        <item x="478"/>
        <item x="479"/>
        <item x="710"/>
        <item x="795"/>
        <item x="840"/>
        <item x="428"/>
        <item x="810"/>
        <item x="852"/>
        <item x="775"/>
        <item x="427"/>
        <item x="693"/>
        <item x="353"/>
        <item x="429"/>
        <item x="423"/>
        <item x="694"/>
        <item x="426"/>
        <item x="70"/>
        <item x="246"/>
        <item x="5"/>
        <item x="223"/>
        <item x="181"/>
        <item x="535"/>
        <item x="707"/>
        <item x="447"/>
        <item x="149"/>
        <item x="731"/>
        <item x="383"/>
        <item x="780"/>
        <item x="779"/>
        <item x="526"/>
        <item x="97"/>
        <item x="403"/>
        <item x="831"/>
        <item x="204"/>
        <item x="318"/>
        <item x="185"/>
        <item x="730"/>
        <item x="475"/>
        <item x="333"/>
        <item x="151"/>
        <item x="143"/>
        <item x="33"/>
        <item x="706"/>
        <item x="777"/>
        <item x="575"/>
        <item x="651"/>
        <item x="830"/>
        <item x="83"/>
        <item x="499"/>
        <item x="531"/>
        <item x="37"/>
        <item x="169"/>
        <item x="303"/>
        <item x="670"/>
        <item x="12"/>
        <item x="400"/>
        <item x="492"/>
        <item x="195"/>
        <item x="826"/>
        <item x="341"/>
        <item x="675"/>
        <item x="141"/>
        <item x="406"/>
        <item x="463"/>
        <item x="165"/>
        <item x="346"/>
        <item x="121"/>
        <item x="408"/>
        <item x="20"/>
        <item x="335"/>
        <item x="638"/>
        <item x="175"/>
        <item x="650"/>
        <item x="712"/>
        <item x="28"/>
        <item x="441"/>
        <item x="229"/>
        <item x="317"/>
        <item x="182"/>
        <item x="224"/>
        <item x="699"/>
        <item x="150"/>
        <item x="49"/>
        <item x="653"/>
        <item x="288"/>
        <item x="483"/>
        <item x="180"/>
        <item x="199"/>
        <item x="31"/>
        <item x="319"/>
        <item x="48"/>
        <item x="816"/>
        <item x="119"/>
        <item x="302"/>
        <item x="10"/>
        <item x="299"/>
        <item x="856"/>
        <item x="104"/>
        <item x="123"/>
        <item x="321"/>
        <item x="614"/>
        <item x="75"/>
        <item x="449"/>
        <item x="184"/>
        <item x="146"/>
        <item x="137"/>
        <item x="183"/>
        <item x="354"/>
        <item x="600"/>
        <item x="290"/>
        <item x="686"/>
        <item x="106"/>
        <item x="44"/>
        <item x="238"/>
        <item x="64"/>
        <item x="472"/>
        <item x="510"/>
        <item x="16"/>
        <item x="300"/>
        <item x="782"/>
        <item x="208"/>
        <item x="30"/>
        <item x="322"/>
        <item x="533"/>
        <item x="769"/>
        <item x="793"/>
        <item x="516"/>
        <item x="540"/>
        <item x="55"/>
        <item x="377"/>
        <item x="378"/>
        <item x="471"/>
        <item x="722"/>
        <item x="641"/>
        <item x="387"/>
        <item x="385"/>
        <item x="53"/>
        <item x="721"/>
        <item x="331"/>
        <item x="620"/>
        <item x="668"/>
        <item x="778"/>
        <item x="865"/>
        <item x="393"/>
        <item x="829"/>
        <item x="47"/>
        <item x="376"/>
        <item x="125"/>
        <item x="124"/>
        <item x="166"/>
        <item x="232"/>
        <item x="282"/>
        <item x="466"/>
        <item x="579"/>
        <item x="289"/>
        <item x="493"/>
        <item x="82"/>
        <item x="112"/>
        <item x="580"/>
        <item x="555"/>
        <item x="39"/>
        <item x="337"/>
        <item x="196"/>
        <item x="257"/>
        <item x="791"/>
        <item x="444"/>
        <item x="362"/>
        <item x="235"/>
        <item x="51"/>
        <item x="205"/>
        <item x="550"/>
        <item x="242"/>
        <item x="19"/>
        <item x="8"/>
        <item x="69"/>
        <item x="245"/>
        <item x="228"/>
        <item x="320"/>
        <item x="35"/>
        <item x="103"/>
        <item x="154"/>
        <item x="430"/>
        <item x="60"/>
        <item x="659"/>
        <item x="576"/>
        <item x="29"/>
        <item x="524"/>
        <item x="564"/>
        <item x="270"/>
        <item x="440"/>
        <item x="259"/>
        <item x="167"/>
        <item x="132"/>
        <item x="454"/>
        <item x="281"/>
        <item x="45"/>
        <item x="93"/>
        <item x="621"/>
        <item x="652"/>
        <item x="685"/>
        <item x="749"/>
        <item x="127"/>
        <item x="623"/>
        <item x="297"/>
        <item x="221"/>
        <item x="420"/>
        <item x="697"/>
        <item x="611"/>
        <item x="736"/>
        <item x="805"/>
        <item x="251"/>
        <item x="72"/>
        <item x="247"/>
        <item x="81"/>
        <item x="249"/>
        <item x="824"/>
        <item x="115"/>
        <item x="873"/>
        <item x="567"/>
        <item x="108"/>
        <item x="481"/>
        <item x="52"/>
        <item x="105"/>
        <item x="847"/>
        <item x="173"/>
        <item x="26"/>
        <item x="595"/>
        <item x="662"/>
        <item x="548"/>
        <item x="864"/>
        <item x="236"/>
        <item x="636"/>
        <item x="107"/>
        <item x="752"/>
        <item x="401"/>
        <item x="266"/>
        <item x="371"/>
        <item x="720"/>
        <item x="36"/>
        <item x="802"/>
        <item x="566"/>
        <item x="818"/>
        <item x="602"/>
        <item x="465"/>
        <item x="241"/>
        <item x="268"/>
        <item x="405"/>
        <item x="615"/>
        <item x="557"/>
        <item x="264"/>
        <item x="250"/>
        <item x="201"/>
        <item x="416"/>
        <item x="704"/>
        <item x="792"/>
        <item x="96"/>
        <item x="386"/>
        <item x="216"/>
        <item x="89"/>
        <item x="113"/>
        <item x="265"/>
        <item x="76"/>
        <item x="79"/>
        <item x="464"/>
        <item x="809"/>
        <item x="311"/>
        <item x="448"/>
        <item x="222"/>
        <item x="13"/>
        <item x="519"/>
        <item x="676"/>
        <item x="233"/>
        <item x="260"/>
        <item x="256"/>
        <item x="860"/>
        <item x="399"/>
        <item x="109"/>
        <item x="484"/>
        <item x="287"/>
        <item x="172"/>
        <item x="192"/>
        <item x="95"/>
        <item x="170"/>
        <item x="304"/>
        <item x="801"/>
        <item x="370"/>
        <item x="187"/>
        <item x="11"/>
        <item x="164"/>
        <item x="25"/>
        <item x="77"/>
        <item x="21"/>
        <item x="147"/>
        <item x="556"/>
        <item x="226"/>
        <item x="138"/>
        <item x="786"/>
        <item x="157"/>
        <item x="203"/>
        <item x="482"/>
        <item x="271"/>
        <item x="476"/>
        <item x="163"/>
        <item x="38"/>
        <item x="523"/>
        <item x="622"/>
        <item x="578"/>
        <item x="617"/>
        <item x="490"/>
        <item x="740"/>
        <item x="565"/>
        <item x="419"/>
        <item x="347"/>
        <item x="477"/>
        <item x="54"/>
        <item x="467"/>
        <item x="139"/>
        <item x="640"/>
        <item x="648"/>
        <item x="521"/>
        <item x="530"/>
        <item x="626"/>
        <item x="375"/>
        <item x="546"/>
        <item x="407"/>
        <item x="431"/>
        <item x="497"/>
        <item x="857"/>
        <item x="605"/>
        <item x="751"/>
        <item x="486"/>
        <item x="433"/>
        <item x="179"/>
        <item x="559"/>
        <item x="360"/>
        <item x="735"/>
        <item x="117"/>
        <item x="658"/>
        <item x="542"/>
        <item x="310"/>
        <item x="590"/>
        <item x="286"/>
        <item x="155"/>
        <item x="252"/>
        <item x="158"/>
        <item x="677"/>
        <item x="396"/>
        <item x="737"/>
        <item x="308"/>
        <item x="610"/>
        <item x="190"/>
        <item x="140"/>
        <item x="445"/>
        <item x="27"/>
        <item x="88"/>
        <item x="168"/>
        <item x="118"/>
        <item x="262"/>
        <item x="9"/>
        <item x="394"/>
        <item x="395"/>
        <item x="231"/>
        <item x="761"/>
        <item x="819"/>
        <item x="532"/>
        <item x="460"/>
        <item x="305"/>
        <item x="409"/>
        <item x="189"/>
        <item x="592"/>
        <item x="418"/>
        <item x="355"/>
        <item x="332"/>
        <item x="90"/>
        <item x="553"/>
        <item x="133"/>
        <item x="351"/>
        <item x="116"/>
        <item x="237"/>
        <item x="669"/>
        <item x="306"/>
        <item x="344"/>
        <item x="284"/>
        <item x="596"/>
        <item x="307"/>
        <item x="717"/>
        <item x="34"/>
        <item x="718"/>
        <item x="825"/>
        <item x="647"/>
        <item x="78"/>
        <item x="695"/>
        <item x="202"/>
        <item x="461"/>
        <item x="248"/>
        <item x="361"/>
        <item x="74"/>
        <item x="339"/>
        <item x="373"/>
        <item x="234"/>
        <item x="94"/>
        <item x="134"/>
        <item x="539"/>
        <item x="174"/>
        <item x="159"/>
        <item x="494"/>
        <item x="593"/>
        <item x="788"/>
        <item x="713"/>
        <item x="601"/>
        <item x="434"/>
        <item x="558"/>
        <item x="599"/>
        <item x="485"/>
        <item x="122"/>
        <item x="487"/>
        <item x="129"/>
        <item x="807"/>
        <item x="674"/>
        <item x="850"/>
        <item x="581"/>
        <item x="456"/>
        <item x="142"/>
        <item x="632"/>
        <item x="726"/>
        <item x="509"/>
        <item x="588"/>
        <item x="508"/>
        <item x="727"/>
        <item x="489"/>
        <item x="714"/>
        <item x="678"/>
        <item x="425"/>
        <item x="148"/>
        <item x="560"/>
        <item x="100"/>
        <item x="683"/>
        <item x="24"/>
        <item x="753"/>
        <item x="120"/>
        <item x="702"/>
        <item x="649"/>
        <item x="488"/>
        <item x="73"/>
        <item x="352"/>
        <item x="507"/>
        <item x="348"/>
        <item x="689"/>
        <item x="772"/>
        <item x="789"/>
        <item x="773"/>
        <item x="569"/>
        <item x="349"/>
        <item x="705"/>
        <item x="821"/>
        <item x="135"/>
        <item x="872"/>
        <item x="765"/>
        <item x="869"/>
        <item x="764"/>
        <item x="798"/>
        <item x="690"/>
        <item x="827"/>
        <item x="23"/>
        <item x="382"/>
        <item x="46"/>
        <item x="43"/>
        <item x="597"/>
        <item x="719"/>
        <item x="131"/>
        <item x="263"/>
        <item x="392"/>
        <item x="194"/>
        <item x="589"/>
        <item x="114"/>
        <item x="561"/>
        <item x="111"/>
        <item x="613"/>
        <item x="230"/>
        <item x="631"/>
        <item x="645"/>
        <item x="738"/>
        <item x="61"/>
        <item x="65"/>
        <item x="709"/>
        <item x="254"/>
        <item x="832"/>
        <item x="568"/>
        <item x="828"/>
        <item x="871"/>
        <item x="193"/>
        <item x="624"/>
        <item x="459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axis="axisRow" compact="0" outline="0" showAll="0" defaultSubtotal="0">
      <items count="17">
        <item x="4"/>
        <item x="9"/>
        <item x="3"/>
        <item x="7"/>
        <item x="1"/>
        <item x="5"/>
        <item x="8"/>
        <item x="6"/>
        <item x="16"/>
        <item x="13"/>
        <item x="2"/>
        <item x="15"/>
        <item x="10"/>
        <item h="1" x="0"/>
        <item x="11"/>
        <item x="12"/>
        <item h="1" x="14"/>
      </items>
    </pivotField>
    <pivotField axis="axisRow" compact="0" outline="0" showAll="0">
      <items count="5">
        <item x="1"/>
        <item x="2"/>
        <item x="0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7">
        <item x="11"/>
        <item x="2"/>
        <item x="15"/>
        <item x="12"/>
        <item x="16"/>
        <item x="0"/>
        <item x="1"/>
        <item x="10"/>
        <item x="14"/>
        <item x="3"/>
        <item x="7"/>
        <item x="13"/>
        <item x="9"/>
        <item x="6"/>
        <item x="4"/>
        <item x="5"/>
        <item x="8"/>
      </items>
    </pivotField>
    <pivotField axis="axisPage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Page" compact="0" outline="0" showAll="0" defaultSubtotal="0">
      <items count="61">
        <item x="28"/>
        <item x="35"/>
        <item x="54"/>
        <item x="26"/>
        <item x="55"/>
        <item x="57"/>
        <item x="13"/>
        <item x="53"/>
        <item x="44"/>
        <item x="56"/>
        <item x="37"/>
        <item x="60"/>
        <item x="48"/>
        <item x="24"/>
        <item x="52"/>
        <item x="14"/>
        <item x="16"/>
        <item x="38"/>
        <item x="36"/>
        <item x="34"/>
        <item x="2"/>
        <item x="10"/>
        <item x="40"/>
        <item x="49"/>
        <item x="58"/>
        <item x="50"/>
        <item x="23"/>
        <item x="21"/>
        <item x="9"/>
        <item x="45"/>
        <item x="32"/>
        <item x="4"/>
        <item x="41"/>
        <item x="46"/>
        <item x="27"/>
        <item x="1"/>
        <item x="59"/>
        <item x="5"/>
        <item x="22"/>
        <item x="31"/>
        <item x="30"/>
        <item x="0"/>
        <item x="18"/>
        <item x="42"/>
        <item x="33"/>
        <item x="19"/>
        <item x="47"/>
        <item x="15"/>
        <item x="11"/>
        <item x="43"/>
        <item x="7"/>
        <item x="20"/>
        <item x="25"/>
        <item x="39"/>
        <item x="51"/>
        <item x="29"/>
        <item x="6"/>
        <item x="17"/>
        <item x="12"/>
        <item x="8"/>
        <item x="3"/>
      </items>
    </pivotField>
    <pivotField compact="0" outline="0" dragToRow="0" dragToCol="0" dragToPage="0" showAll="0" defaultSubtotal="0"/>
  </pivotFields>
  <rowFields count="6">
    <field x="3"/>
    <field x="1"/>
    <field x="2"/>
    <field x="10"/>
    <field x="18"/>
    <field x="19"/>
  </rowFields>
  <rowItems count="173">
    <i>
      <x v="1"/>
      <x v="57"/>
      <x v="1"/>
      <x v="44"/>
      <x v="4"/>
      <x/>
    </i>
    <i>
      <x v="3"/>
      <x v="144"/>
      <x v="35"/>
      <x v="853"/>
      <x v="10"/>
      <x v="1"/>
    </i>
    <i>
      <x v="4"/>
      <x v="19"/>
      <x v="127"/>
      <x v="511"/>
      <x v="10"/>
      <x v="1"/>
    </i>
    <i>
      <x v="8"/>
      <x v="75"/>
      <x v="6"/>
      <x v="101"/>
      <x v="4"/>
      <x/>
    </i>
    <i>
      <x v="11"/>
      <x v="24"/>
      <x v="131"/>
      <x v="786"/>
      <x v="4"/>
      <x v="1"/>
    </i>
    <i r="3">
      <x v="833"/>
      <x v="4"/>
      <x v="1"/>
    </i>
    <i>
      <x v="18"/>
      <x v="91"/>
      <x v="12"/>
      <x v="482"/>
      <x v="4"/>
      <x v="1"/>
    </i>
    <i r="1">
      <x v="143"/>
      <x v="13"/>
      <x v="829"/>
      <x v="10"/>
      <x v="1"/>
    </i>
    <i>
      <x v="19"/>
      <x v="65"/>
      <x v="14"/>
      <x v="538"/>
      <x v="10"/>
      <x v="1"/>
    </i>
    <i>
      <x v="20"/>
      <x v="18"/>
      <x v="15"/>
      <x v="414"/>
      <x v="4"/>
      <x v="1"/>
    </i>
    <i>
      <x v="21"/>
      <x v="78"/>
      <x v="16"/>
      <x v="601"/>
      <x v="4"/>
      <x v="1"/>
    </i>
    <i>
      <x v="23"/>
      <x v="4"/>
      <x v="18"/>
      <x v="493"/>
      <x v="10"/>
      <x v="1"/>
    </i>
    <i>
      <x v="25"/>
      <x v="132"/>
      <x v="21"/>
      <x v="585"/>
      <x v="10"/>
      <x v="1"/>
    </i>
    <i>
      <x v="26"/>
      <x v="73"/>
      <x v="138"/>
      <x v="495"/>
      <x v="10"/>
      <x v="1"/>
    </i>
    <i>
      <x v="27"/>
      <x v="134"/>
      <x v="139"/>
      <x v="666"/>
      <x/>
      <x v="1"/>
    </i>
    <i r="3">
      <x v="784"/>
      <x v="3"/>
      <x v="1"/>
    </i>
    <i>
      <x v="30"/>
      <x v="10"/>
      <x v="23"/>
      <x v="690"/>
      <x v="1"/>
      <x v="1"/>
    </i>
    <i>
      <x v="33"/>
      <x v="81"/>
      <x v="41"/>
      <x v="537"/>
      <x v="10"/>
      <x v="1"/>
    </i>
    <i r="1">
      <x v="246"/>
      <x v="246"/>
      <x v="537"/>
      <x v="10"/>
      <x v="1"/>
    </i>
    <i>
      <x v="34"/>
      <x v="74"/>
      <x v="26"/>
      <x v="55"/>
      <x v="4"/>
      <x/>
    </i>
    <i r="3">
      <x v="485"/>
      <x v="4"/>
      <x v="1"/>
    </i>
    <i>
      <x v="35"/>
      <x v="5"/>
      <x v="29"/>
      <x v="770"/>
      <x v="10"/>
      <x v="1"/>
    </i>
    <i>
      <x v="38"/>
      <x v="77"/>
      <x v="28"/>
      <x v="428"/>
      <x v="12"/>
      <x v="1"/>
    </i>
    <i>
      <x v="44"/>
      <x v="80"/>
      <x v="94"/>
      <x v="646"/>
      <x v="4"/>
      <x v="1"/>
    </i>
    <i>
      <x v="45"/>
      <x v="62"/>
      <x v="37"/>
      <x v="421"/>
      <x v="10"/>
      <x v="1"/>
    </i>
    <i r="3">
      <x v="485"/>
      <x v="10"/>
      <x v="1"/>
    </i>
    <i r="1">
      <x v="104"/>
      <x v="44"/>
      <x v="421"/>
      <x v="10"/>
      <x v="1"/>
    </i>
    <i r="3">
      <x v="480"/>
      <x v="10"/>
      <x v="1"/>
    </i>
    <i>
      <x v="48"/>
      <x v="124"/>
      <x v="143"/>
      <x v="570"/>
      <x v="10"/>
      <x v="1"/>
    </i>
    <i>
      <x v="49"/>
      <x v="49"/>
      <x v="79"/>
      <x v="721"/>
      <x/>
      <x v="1"/>
    </i>
    <i r="3">
      <x v="800"/>
      <x v="3"/>
      <x v="1"/>
    </i>
    <i>
      <x v="51"/>
      <x v="139"/>
      <x v="45"/>
      <x v="649"/>
      <x/>
      <x v="1"/>
    </i>
    <i>
      <x v="52"/>
      <x v="76"/>
      <x v="80"/>
      <x v="811"/>
      <x v="4"/>
      <x v="1"/>
    </i>
    <i>
      <x v="53"/>
      <x v="70"/>
      <x v="46"/>
      <x v="413"/>
      <x v="10"/>
      <x v="1"/>
    </i>
    <i>
      <x v="54"/>
      <x v="6"/>
      <x v="47"/>
      <x v="538"/>
      <x v="4"/>
      <x v="1"/>
    </i>
    <i>
      <x v="55"/>
      <x v="51"/>
      <x v="48"/>
      <x v="538"/>
      <x/>
      <x v="1"/>
    </i>
    <i>
      <x v="58"/>
      <x v="67"/>
      <x v="50"/>
      <x v="518"/>
      <x v="4"/>
      <x v="1"/>
    </i>
    <i>
      <x v="59"/>
      <x v="83"/>
      <x v="110"/>
      <x v="709"/>
      <x v="2"/>
      <x v="1"/>
    </i>
    <i>
      <x v="60"/>
      <x v="102"/>
      <x v="32"/>
      <x v="520"/>
      <x v="10"/>
      <x v="1"/>
    </i>
    <i>
      <x v="62"/>
      <x v="16"/>
      <x v="52"/>
      <x v="387"/>
      <x v="10"/>
      <x v="1"/>
    </i>
    <i>
      <x v="64"/>
      <x v="2"/>
      <x v="57"/>
      <x v="57"/>
      <x v="4"/>
      <x/>
    </i>
    <i r="3">
      <x v="158"/>
      <x v="4"/>
      <x/>
    </i>
    <i>
      <x v="65"/>
      <x v="30"/>
      <x v="58"/>
      <x v="764"/>
      <x v="10"/>
      <x v="1"/>
    </i>
    <i>
      <x v="66"/>
      <x v="52"/>
      <x v="59"/>
      <x v="382"/>
      <x v="10"/>
      <x v="1"/>
    </i>
    <i>
      <x v="68"/>
      <x v="72"/>
      <x v="53"/>
      <x v="60"/>
      <x v="4"/>
      <x/>
    </i>
    <i r="3">
      <x v="434"/>
      <x v="6"/>
      <x v="1"/>
    </i>
    <i>
      <x v="69"/>
      <x v="27"/>
      <x v="61"/>
      <x v="533"/>
      <x v="10"/>
      <x v="1"/>
    </i>
    <i>
      <x v="71"/>
      <x v="89"/>
      <x v="63"/>
      <x v="520"/>
      <x v="10"/>
      <x v="1"/>
    </i>
    <i>
      <x v="72"/>
      <x v="68"/>
      <x v="64"/>
      <x v="666"/>
      <x/>
      <x v="1"/>
    </i>
    <i r="3">
      <x v="799"/>
      <x v="7"/>
      <x v="1"/>
    </i>
    <i>
      <x v="74"/>
      <x v="28"/>
      <x v="66"/>
      <x v="545"/>
      <x/>
      <x v="1"/>
    </i>
    <i r="1">
      <x v="254"/>
      <x v="254"/>
      <x v="545"/>
      <x/>
      <x v="1"/>
    </i>
    <i>
      <x v="77"/>
      <x v="100"/>
      <x v="69"/>
      <x v="106"/>
      <x v="5"/>
      <x/>
    </i>
    <i>
      <x v="78"/>
      <x v="48"/>
      <x v="70"/>
      <x v="387"/>
      <x v="10"/>
      <x v="1"/>
    </i>
    <i>
      <x v="79"/>
      <x v="125"/>
      <x v="71"/>
      <x v="499"/>
      <x v="10"/>
      <x v="1"/>
    </i>
    <i>
      <x v="80"/>
      <x/>
      <x v="72"/>
      <x v="683"/>
      <x v="10"/>
      <x v="1"/>
    </i>
    <i>
      <x v="81"/>
      <x v="103"/>
      <x v="73"/>
      <x v="460"/>
      <x v="4"/>
      <x v="1"/>
    </i>
    <i>
      <x v="82"/>
      <x v="79"/>
      <x v="74"/>
      <x v="518"/>
      <x v="9"/>
      <x v="1"/>
    </i>
    <i>
      <x v="86"/>
      <x v="21"/>
      <x v="77"/>
      <x v="511"/>
      <x v="10"/>
      <x v="1"/>
    </i>
    <i>
      <x v="89"/>
      <x v="142"/>
      <x v="9"/>
      <x v="808"/>
      <x v="12"/>
      <x v="1"/>
    </i>
    <i>
      <x v="91"/>
      <x v="56"/>
      <x v="84"/>
      <x v="822"/>
      <x v="2"/>
      <x v="1"/>
    </i>
    <i>
      <x v="94"/>
      <x v="85"/>
      <x v="88"/>
      <x v="552"/>
      <x v="4"/>
      <x v="1"/>
    </i>
    <i>
      <x v="95"/>
      <x v="90"/>
      <x v="97"/>
      <x v="596"/>
      <x/>
      <x v="1"/>
    </i>
    <i>
      <x v="97"/>
      <x v="69"/>
      <x v="90"/>
      <x v="843"/>
      <x v="10"/>
      <x v="1"/>
    </i>
    <i>
      <x v="98"/>
      <x v="86"/>
      <x v="54"/>
      <x v="392"/>
      <x v="10"/>
      <x v="1"/>
    </i>
    <i>
      <x v="102"/>
      <x v="58"/>
      <x v="93"/>
      <x v="648"/>
      <x v="10"/>
      <x v="1"/>
    </i>
    <i r="1">
      <x v="92"/>
      <x v="111"/>
      <x v="648"/>
      <x v="10"/>
      <x v="1"/>
    </i>
    <i>
      <x v="105"/>
      <x v="88"/>
      <x v="43"/>
      <x v="598"/>
      <x v="10"/>
      <x v="1"/>
    </i>
    <i>
      <x v="108"/>
      <x v="118"/>
      <x v="104"/>
      <x v="872"/>
      <x/>
      <x v="1"/>
    </i>
    <i>
      <x v="109"/>
      <x v="13"/>
      <x v="105"/>
      <x v="456"/>
      <x v="4"/>
      <x v="1"/>
    </i>
    <i>
      <x v="110"/>
      <x v="71"/>
      <x v="106"/>
      <x v="493"/>
      <x v="10"/>
      <x v="1"/>
    </i>
    <i>
      <x v="113"/>
      <x v="34"/>
      <x v="112"/>
      <x v="514"/>
      <x v="4"/>
      <x v="1"/>
    </i>
    <i>
      <x v="114"/>
      <x v="84"/>
      <x v="115"/>
      <x v="580"/>
      <x v="11"/>
      <x v="1"/>
    </i>
    <i>
      <x v="115"/>
      <x v="7"/>
      <x v="116"/>
      <x v="839"/>
      <x v="4"/>
      <x v="1"/>
    </i>
    <i>
      <x v="116"/>
      <x v="53"/>
      <x v="117"/>
      <x v="536"/>
      <x v="4"/>
      <x v="1"/>
    </i>
    <i>
      <x v="117"/>
      <x v="122"/>
      <x v="118"/>
      <x v="575"/>
      <x v="10"/>
      <x v="1"/>
    </i>
    <i>
      <x v="120"/>
      <x v="135"/>
      <x v="144"/>
      <x v="679"/>
      <x v="8"/>
      <x v="1"/>
    </i>
    <i>
      <x v="121"/>
      <x v="40"/>
      <x v="121"/>
      <x v="666"/>
      <x v="10"/>
      <x v="1"/>
    </i>
    <i>
      <x v="129"/>
      <x v="127"/>
      <x v="128"/>
      <x v="436"/>
      <x v="10"/>
      <x v="1"/>
    </i>
    <i>
      <x v="131"/>
      <x v="66"/>
      <x v="130"/>
      <x v="405"/>
      <x v="10"/>
      <x v="1"/>
    </i>
    <i>
      <x v="132"/>
      <x v="35"/>
      <x v="133"/>
      <x v="157"/>
      <x v="5"/>
      <x/>
    </i>
    <i>
      <x v="133"/>
      <x v="20"/>
      <x v="86"/>
      <x v="581"/>
      <x v="10"/>
      <x v="1"/>
    </i>
    <i>
      <x v="134"/>
      <x v="136"/>
      <x v="95"/>
      <x v="666"/>
      <x/>
      <x v="1"/>
    </i>
    <i r="3">
      <x v="784"/>
      <x v="5"/>
      <x v="1"/>
    </i>
    <i>
      <x v="136"/>
      <x v="32"/>
      <x v="134"/>
      <x v="846"/>
      <x v="4"/>
      <x v="1"/>
    </i>
    <i>
      <x v="137"/>
      <x v="128"/>
      <x v="135"/>
      <x v="470"/>
      <x v="10"/>
      <x v="1"/>
    </i>
    <i>
      <x v="138"/>
      <x v="111"/>
      <x v="142"/>
      <x v="252"/>
      <x v="5"/>
      <x/>
    </i>
    <i>
      <x v="141"/>
      <x v="147"/>
      <x v="147"/>
      <x v="461"/>
      <x v="7"/>
      <x v="1"/>
    </i>
    <i>
      <x v="142"/>
      <x v="148"/>
      <x v="148"/>
      <x v="564"/>
      <x/>
      <x v="1"/>
    </i>
    <i>
      <x v="143"/>
      <x v="149"/>
      <x v="149"/>
      <x v="789"/>
      <x v="2"/>
      <x v="1"/>
    </i>
    <i>
      <x v="145"/>
      <x v="151"/>
      <x v="151"/>
      <x v="780"/>
      <x v="6"/>
      <x v="1"/>
    </i>
    <i>
      <x v="148"/>
      <x v="154"/>
      <x v="154"/>
      <x v="447"/>
      <x v="12"/>
      <x v="1"/>
    </i>
    <i r="3">
      <x v="771"/>
      <x v="14"/>
      <x v="1"/>
    </i>
    <i>
      <x v="149"/>
      <x v="155"/>
      <x v="155"/>
      <x v="620"/>
      <x v="10"/>
      <x v="1"/>
    </i>
    <i r="3">
      <x v="750"/>
      <x v="10"/>
      <x v="1"/>
    </i>
    <i>
      <x v="153"/>
      <x v="159"/>
      <x v="159"/>
      <x v="454"/>
      <x v="10"/>
      <x v="1"/>
    </i>
    <i>
      <x v="155"/>
      <x v="161"/>
      <x v="161"/>
      <x v="453"/>
      <x v="6"/>
      <x v="1"/>
    </i>
    <i>
      <x v="157"/>
      <x v="163"/>
      <x v="163"/>
      <x v="428"/>
      <x/>
      <x v="1"/>
    </i>
    <i r="3">
      <x v="792"/>
      <x v="15"/>
      <x v="1"/>
    </i>
    <i>
      <x v="158"/>
      <x v="164"/>
      <x v="164"/>
      <x v="608"/>
      <x/>
      <x v="1"/>
    </i>
    <i r="3">
      <x v="792"/>
      <x v="14"/>
      <x v="1"/>
    </i>
    <i>
      <x v="159"/>
      <x v="165"/>
      <x v="165"/>
      <x v="444"/>
      <x v="10"/>
      <x v="1"/>
    </i>
    <i>
      <x v="160"/>
      <x v="166"/>
      <x v="166"/>
      <x v="478"/>
      <x v="4"/>
      <x v="1"/>
    </i>
    <i>
      <x v="161"/>
      <x v="167"/>
      <x v="167"/>
      <x v="164"/>
      <x v="5"/>
      <x/>
    </i>
    <i>
      <x v="162"/>
      <x v="168"/>
      <x v="168"/>
      <x v="450"/>
      <x v="7"/>
      <x v="1"/>
    </i>
    <i r="3">
      <x v="792"/>
      <x v="2"/>
      <x v="1"/>
    </i>
    <i>
      <x v="164"/>
      <x v="170"/>
      <x v="170"/>
      <x v="822"/>
      <x v="10"/>
      <x/>
    </i>
    <i>
      <x v="168"/>
      <x v="174"/>
      <x v="174"/>
      <x v="526"/>
      <x v="4"/>
      <x v="1"/>
    </i>
    <i>
      <x v="169"/>
      <x v="175"/>
      <x v="175"/>
      <x v="569"/>
      <x/>
      <x v="1"/>
    </i>
    <i r="3">
      <x v="784"/>
      <x v="3"/>
      <x v="1"/>
    </i>
    <i>
      <x v="173"/>
      <x v="179"/>
      <x v="179"/>
      <x v="420"/>
      <x v="4"/>
      <x v="1"/>
    </i>
    <i r="3">
      <x v="825"/>
      <x v="2"/>
      <x v="1"/>
    </i>
    <i>
      <x v="174"/>
      <x v="180"/>
      <x v="180"/>
      <x v="765"/>
      <x/>
      <x v="1"/>
    </i>
    <i r="3">
      <x v="791"/>
      <x v="4"/>
      <x v="1"/>
    </i>
    <i>
      <x v="175"/>
      <x v="181"/>
      <x v="181"/>
      <x v="451"/>
      <x v="4"/>
      <x v="1"/>
    </i>
    <i r="3">
      <x v="812"/>
      <x v="5"/>
      <x v="1"/>
    </i>
    <i>
      <x v="176"/>
      <x v="182"/>
      <x v="182"/>
      <x v="794"/>
      <x v="5"/>
      <x v="1"/>
    </i>
    <i>
      <x v="177"/>
      <x v="183"/>
      <x v="183"/>
      <x v="478"/>
      <x v="4"/>
      <x v="1"/>
    </i>
    <i r="3">
      <x v="793"/>
      <x v="5"/>
      <x v="1"/>
    </i>
    <i>
      <x v="178"/>
      <x v="184"/>
      <x v="184"/>
      <x v="410"/>
      <x v="4"/>
      <x v="1"/>
    </i>
    <i>
      <x v="181"/>
      <x v="189"/>
      <x v="189"/>
      <x v="790"/>
      <x v="2"/>
      <x v="1"/>
    </i>
    <i>
      <x v="182"/>
      <x v="190"/>
      <x v="190"/>
      <x v="476"/>
      <x v="4"/>
      <x v="1"/>
    </i>
    <i r="3">
      <x v="772"/>
      <x v="4"/>
      <x v="1"/>
    </i>
    <i r="3">
      <x v="823"/>
      <x v="2"/>
      <x v="1"/>
    </i>
    <i>
      <x v="183"/>
      <x v="191"/>
      <x v="191"/>
      <x v="788"/>
      <x/>
      <x v="1"/>
    </i>
    <i>
      <x v="186"/>
      <x v="194"/>
      <x v="194"/>
      <x v="566"/>
      <x v="6"/>
      <x v="1"/>
    </i>
    <i>
      <x v="189"/>
      <x v="197"/>
      <x v="197"/>
      <x v="545"/>
      <x v="4"/>
      <x v="1"/>
    </i>
    <i r="3">
      <x v="795"/>
      <x v="15"/>
      <x v="1"/>
    </i>
    <i>
      <x v="190"/>
      <x v="198"/>
      <x v="198"/>
      <x v="438"/>
      <x v="4"/>
      <x v="1"/>
    </i>
    <i>
      <x v="191"/>
      <x v="199"/>
      <x v="199"/>
      <x v="806"/>
      <x v="2"/>
      <x v="1"/>
    </i>
    <i>
      <x v="192"/>
      <x v="200"/>
      <x v="200"/>
      <x v="789"/>
      <x v="2"/>
      <x v="1"/>
    </i>
    <i r="3">
      <x v="815"/>
      <x v="2"/>
      <x v="1"/>
    </i>
    <i r="3">
      <x v="817"/>
      <x v="4"/>
      <x v="1"/>
    </i>
    <i r="3">
      <x v="835"/>
      <x v="2"/>
      <x v="3"/>
    </i>
    <i>
      <x v="197"/>
      <x v="205"/>
      <x v="205"/>
      <x v="865"/>
      <x v="2"/>
      <x v="1"/>
    </i>
    <i>
      <x v="199"/>
      <x v="207"/>
      <x v="207"/>
      <x v="810"/>
      <x v="4"/>
      <x v="1"/>
    </i>
    <i>
      <x v="200"/>
      <x v="208"/>
      <x v="208"/>
      <x v="796"/>
      <x v="6"/>
      <x v="1"/>
    </i>
    <i>
      <x v="202"/>
      <x v="210"/>
      <x v="210"/>
      <x v="870"/>
      <x v="4"/>
      <x v="1"/>
    </i>
    <i r="1">
      <x v="211"/>
      <x v="211"/>
      <x v="870"/>
      <x v="4"/>
      <x v="1"/>
    </i>
    <i>
      <x v="204"/>
      <x v="213"/>
      <x v="213"/>
      <x v="763"/>
      <x/>
      <x v="1"/>
    </i>
    <i>
      <x v="206"/>
      <x v="215"/>
      <x v="215"/>
      <x v="467"/>
      <x v="4"/>
      <x v="1"/>
    </i>
    <i>
      <x v="208"/>
      <x v="217"/>
      <x v="217"/>
      <x v="702"/>
      <x/>
      <x v="1"/>
    </i>
    <i>
      <x v="209"/>
      <x v="218"/>
      <x v="218"/>
      <x v="440"/>
      <x v="4"/>
      <x v="1"/>
    </i>
    <i>
      <x v="212"/>
      <x v="221"/>
      <x v="221"/>
      <x v="584"/>
      <x v="4"/>
      <x v="1"/>
    </i>
    <i r="3">
      <x v="794"/>
      <x v="2"/>
      <x v="1"/>
    </i>
    <i>
      <x v="213"/>
      <x v="222"/>
      <x v="222"/>
      <x v="418"/>
      <x v="4"/>
      <x v="1"/>
    </i>
    <i>
      <x v="214"/>
      <x v="223"/>
      <x v="223"/>
      <x v="505"/>
      <x v="10"/>
      <x v="1"/>
    </i>
    <i>
      <x v="215"/>
      <x v="224"/>
      <x v="224"/>
      <x v="448"/>
      <x v="4"/>
      <x v="1"/>
    </i>
    <i r="1">
      <x v="225"/>
      <x v="225"/>
      <x v="443"/>
      <x v="4"/>
      <x v="1"/>
    </i>
    <i>
      <x v="218"/>
      <x v="228"/>
      <x v="228"/>
      <x v="499"/>
      <x v="4"/>
      <x v="1"/>
    </i>
    <i r="3">
      <x v="817"/>
      <x v="4"/>
      <x v="1"/>
    </i>
    <i>
      <x v="219"/>
      <x v="229"/>
      <x v="229"/>
      <x v="613"/>
      <x v="4"/>
      <x v="1"/>
    </i>
    <i>
      <x v="221"/>
      <x v="231"/>
      <x v="231"/>
      <x v="717"/>
      <x v="4"/>
      <x v="1"/>
    </i>
    <i>
      <x v="222"/>
      <x v="232"/>
      <x v="232"/>
      <x v="663"/>
      <x v="4"/>
      <x v="1"/>
    </i>
    <i r="3">
      <x v="774"/>
      <x v="2"/>
      <x v="1"/>
    </i>
    <i>
      <x v="225"/>
      <x v="235"/>
      <x v="235"/>
      <x v="526"/>
      <x v="10"/>
      <x v="1"/>
    </i>
    <i>
      <x v="229"/>
      <x v="239"/>
      <x v="239"/>
      <x v="206"/>
      <x v="5"/>
      <x/>
    </i>
    <i>
      <x v="230"/>
      <x v="240"/>
      <x v="240"/>
      <x v="495"/>
      <x v="15"/>
      <x v="1"/>
    </i>
    <i>
      <x v="233"/>
      <x v="244"/>
      <x v="244"/>
      <x v="481"/>
      <x v="4"/>
      <x v="1"/>
    </i>
    <i>
      <x v="234"/>
      <x v="245"/>
      <x v="245"/>
      <x v="663"/>
      <x v="10"/>
      <x v="1"/>
    </i>
    <i>
      <x v="235"/>
      <x v="247"/>
      <x v="247"/>
      <x v="536"/>
      <x v="10"/>
      <x v="1"/>
    </i>
    <i>
      <x v="236"/>
      <x v="248"/>
      <x v="248"/>
      <x v="387"/>
      <x v="10"/>
      <x v="1"/>
    </i>
    <i>
      <x v="238"/>
      <x v="250"/>
      <x v="250"/>
      <x v="520"/>
      <x v="10"/>
      <x v="1"/>
    </i>
    <i>
      <x v="240"/>
      <x v="252"/>
      <x v="252"/>
      <x v="349"/>
      <x v="10"/>
      <x v="1"/>
    </i>
    <i>
      <x v="242"/>
      <x v="255"/>
      <x v="255"/>
      <x v="575"/>
      <x v="10"/>
      <x v="1"/>
    </i>
    <i r="3">
      <x v="597"/>
      <x v="10"/>
      <x v="1"/>
    </i>
    <i>
      <x v="243"/>
      <x v="256"/>
      <x v="256"/>
      <x v="511"/>
      <x v="10"/>
      <x v="1"/>
    </i>
    <i>
      <x v="244"/>
      <x v="257"/>
      <x v="257"/>
      <x v="588"/>
      <x v="10"/>
      <x v="1"/>
    </i>
    <i>
      <x v="245"/>
      <x v="258"/>
      <x v="258"/>
      <x v="792"/>
      <x v="10"/>
      <x v="1"/>
    </i>
    <i>
      <x v="250"/>
      <x v="263"/>
      <x v="263"/>
      <x v="360"/>
      <x v="10"/>
      <x v="1"/>
    </i>
    <i>
      <x v="252"/>
      <x v="265"/>
      <x v="265"/>
      <x v="378"/>
      <x v="10"/>
      <x v="1"/>
    </i>
    <i>
      <x v="253"/>
      <x v="266"/>
      <x v="266"/>
      <x v="329"/>
      <x v="10"/>
      <x/>
    </i>
    <i t="grand">
      <x/>
    </i>
  </rowItems>
  <colItems count="1">
    <i/>
  </colItems>
  <pageFields count="6">
    <pageField fld="52" hier="-1"/>
    <pageField fld="38" hier="-1"/>
    <pageField fld="40" hier="-1"/>
    <pageField fld="4" hier="-1"/>
    <pageField fld="53" hier="-1"/>
    <pageField fld="55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0000"/>
    <outlinePr summaryBelow="0" summaryRight="0"/>
  </sheetPr>
  <dimension ref="A1:DF39"/>
  <sheetViews>
    <sheetView showGridLines="0" tabSelected="1" workbookViewId="0">
      <selection activeCell="F31" sqref="F31"/>
    </sheetView>
  </sheetViews>
  <sheetFormatPr defaultRowHeight="15" outlineLevelRow="1" outlineLevelCol="1"/>
  <cols>
    <col min="1" max="1" width="1.5703125" customWidth="1"/>
    <col min="2" max="2" width="7.7109375" customWidth="1"/>
    <col min="3" max="3" width="12.42578125" customWidth="1"/>
    <col min="4" max="4" width="2.42578125" customWidth="1" collapsed="1"/>
    <col min="5" max="5" width="15.7109375" hidden="1" customWidth="1" outlineLevel="1"/>
    <col min="6" max="6" width="15.42578125" hidden="1" customWidth="1" outlineLevel="1"/>
    <col min="7" max="7" width="16.140625" hidden="1" customWidth="1" outlineLevel="1"/>
    <col min="8" max="8" width="18.28515625" hidden="1" customWidth="1" outlineLevel="1"/>
    <col min="9" max="9" width="11.28515625" hidden="1" customWidth="1" outlineLevel="1"/>
    <col min="10" max="10" width="10.7109375" hidden="1" customWidth="1" outlineLevel="1"/>
    <col min="11" max="11" width="10.5703125" hidden="1" customWidth="1" outlineLevel="1"/>
    <col min="12" max="12" width="13.42578125" hidden="1" customWidth="1" outlineLevel="1"/>
    <col min="13" max="13" width="11.85546875" hidden="1" customWidth="1" outlineLevel="1"/>
    <col min="14" max="14" width="11.5703125" hidden="1" customWidth="1" outlineLevel="1"/>
    <col min="15" max="15" width="6.7109375" customWidth="1"/>
    <col min="16" max="16" width="12.42578125" customWidth="1"/>
    <col min="17" max="17" width="2.42578125" customWidth="1" collapsed="1"/>
    <col min="18" max="18" width="21.42578125" hidden="1" customWidth="1" outlineLevel="1"/>
    <col min="19" max="19" width="17.42578125" hidden="1" customWidth="1" outlineLevel="1"/>
    <col min="20" max="20" width="16.28515625" hidden="1" customWidth="1" outlineLevel="1"/>
    <col min="21" max="21" width="16.85546875" hidden="1" customWidth="1" outlineLevel="1"/>
    <col min="22" max="23" width="9.28515625" hidden="1" customWidth="1" outlineLevel="1"/>
    <col min="24" max="24" width="10" hidden="1" customWidth="1" outlineLevel="1"/>
    <col min="25" max="25" width="13.85546875" hidden="1" customWidth="1" outlineLevel="1"/>
    <col min="26" max="27" width="11.42578125" hidden="1" customWidth="1" outlineLevel="1"/>
  </cols>
  <sheetData>
    <row r="1" spans="2:21" ht="9" customHeight="1"/>
    <row r="2" spans="2:21" ht="21">
      <c r="B2" s="12" t="s">
        <v>342</v>
      </c>
      <c r="D2" s="12"/>
    </row>
    <row r="3" spans="2:21">
      <c r="B3" s="14" t="s">
        <v>347</v>
      </c>
      <c r="D3" s="14"/>
    </row>
    <row r="4" spans="2:21" ht="26.25" customHeight="1">
      <c r="B4" s="14"/>
      <c r="D4" s="14"/>
    </row>
    <row r="5" spans="2:21" ht="11.25" customHeight="1"/>
    <row r="6" spans="2:21" ht="30">
      <c r="C6" s="9" t="s">
        <v>340</v>
      </c>
      <c r="P6" s="10" t="s">
        <v>341</v>
      </c>
    </row>
    <row r="7" spans="2:21">
      <c r="C7" s="8"/>
      <c r="P7" s="11"/>
    </row>
    <row r="8" spans="2:21" ht="30">
      <c r="C8" s="8"/>
      <c r="E8" s="6"/>
      <c r="F8" s="16" t="s">
        <v>348</v>
      </c>
      <c r="G8" s="16" t="s">
        <v>352</v>
      </c>
      <c r="H8" s="16" t="s">
        <v>353</v>
      </c>
      <c r="P8" s="11"/>
      <c r="R8" s="6"/>
      <c r="S8" s="18" t="s">
        <v>348</v>
      </c>
      <c r="T8" s="18" t="s">
        <v>352</v>
      </c>
      <c r="U8" s="18" t="s">
        <v>353</v>
      </c>
    </row>
    <row r="9" spans="2:21">
      <c r="C9" s="8"/>
      <c r="E9" s="7" t="s">
        <v>349</v>
      </c>
      <c r="F9" s="25">
        <f>GETPIVOTDATA("Sum of Total Number of Supplier",$E$26)</f>
        <v>112</v>
      </c>
      <c r="G9" s="15">
        <f>GETPIVOTDATA("Count of Full Signed",$E$26)</f>
        <v>71</v>
      </c>
      <c r="H9" s="17">
        <f>G9/F9</f>
        <v>0.6339285714285714</v>
      </c>
      <c r="P9" s="11"/>
      <c r="R9" s="7" t="s">
        <v>349</v>
      </c>
      <c r="S9" s="25">
        <f>GETPIVOTDATA(" Total Number of Supplier",$R$26)</f>
        <v>158</v>
      </c>
      <c r="T9" s="15">
        <f>GETPIVOTDATA("Count of Full Signed",$R$26)</f>
        <v>77</v>
      </c>
      <c r="U9" s="17">
        <f>T9/S9</f>
        <v>0.48734177215189872</v>
      </c>
    </row>
    <row r="10" spans="2:21">
      <c r="C10" s="8"/>
      <c r="E10" s="7" t="s">
        <v>350</v>
      </c>
      <c r="F10" s="25">
        <f>GETPIVOTDATA("Sum of Total Number of Supplier",$E$26,"Panel","A")+GETPIVOTDATA("Sum of Total Number of Supplier",$E$26,"Panel","B")+GETPIVOTDATA("Sum of Total Number of Supplier",$E$26,"Panel","C")+GETPIVOTDATA("Sum of Total Number of Supplier",$E$26,"Panel","D")</f>
        <v>48</v>
      </c>
      <c r="G10" s="15">
        <f>GETPIVOTDATA("Count of Full Signed",$E$26,"Panel","A")+GETPIVOTDATA("Count of Full Signed",$E$26,"Panel","C")+GETPIVOTDATA("Count of Full Signed",$E$26,"Panel","B")+GETPIVOTDATA("Count of Full Signed",$E$26,"Panel","D")</f>
        <v>32</v>
      </c>
      <c r="H10" s="17">
        <f t="shared" ref="H10:H11" si="0">G10/F10</f>
        <v>0.66666666666666663</v>
      </c>
      <c r="P10" s="11"/>
      <c r="R10" s="7" t="s">
        <v>350</v>
      </c>
      <c r="S10" s="25">
        <f>GETPIVOTDATA(" Total Number of Supplier",$R$26," Panel","DESIGNER A")+GETPIVOTDATA(" Total Number of Supplier",$R$26," Panel","DESIGNER B")+GETPIVOTDATA(" Total Number of Supplier",$R$26," Panel","EXPERT A")+GETPIVOTDATA(" Total Number of Supplier",$R$26," Panel","EXPERT B")+GETPIVOTDATA(" Total Number of Supplier",$R$26," Panel","MANUFACTURER A")+GETPIVOTDATA(" Total Number of Supplier",$R$26," Panel","MANUFACTURER B")+GETPIVOTDATA(" Total Number of Supplier",$R$26," Panel","MANUFACTURER C")+GETPIVOTDATA(" Total Number of Supplier",$R$26," Panel","MANUFACTURER D")+GETPIVOTDATA(" Total Number of Supplier",$R$26," Panel","SUBCONTRACTOR A")+GETPIVOTDATA(" Total Number of Supplier",$R$26," Panel","SUBCONTRACTOR D")</f>
        <v>82</v>
      </c>
      <c r="T10" s="15">
        <f>GETPIVOTDATA("Count of Full Signed",$R$26)</f>
        <v>77</v>
      </c>
      <c r="U10" s="17">
        <f>T10/S10</f>
        <v>0.93902439024390238</v>
      </c>
    </row>
    <row r="11" spans="2:21">
      <c r="C11" s="8"/>
      <c r="E11" s="7" t="s">
        <v>351</v>
      </c>
      <c r="F11" s="25">
        <f>GETPIVOTDATA("Sum of Total Number of Supplier",$E$26,"Panel","A")+GETPIVOTDATA("Sum of Total Number of Supplier",$E$26,"Panel","B")</f>
        <v>35</v>
      </c>
      <c r="G11" s="15">
        <f>GETPIVOTDATA("Count of Full Signed",$E$26,"Panel","A")+GETPIVOTDATA("Count of Full Signed",$E$26,"Panel","B")</f>
        <v>25</v>
      </c>
      <c r="H11" s="17">
        <f t="shared" si="0"/>
        <v>0.7142857142857143</v>
      </c>
      <c r="P11" s="11"/>
      <c r="R11" s="7" t="s">
        <v>351</v>
      </c>
      <c r="S11" s="25">
        <f>GETPIVOTDATA(" Total Number of Supplier",$R$26," Panel","DESIGNER A")+GETPIVOTDATA(" Total Number of Supplier",$R$26," Panel","DESIGNER B")++GETPIVOTDATA(" Total Number of Supplier",$R$26," Panel","EXPERT A")+GETPIVOTDATA(" Total Number of Supplier",$R$26," Panel","EXPERT B")+GETPIVOTDATA(" Total Number of Supplier",$R$26," Panel","MANUFACTURER A")+GETPIVOTDATA(" Total Number of Supplier",$R$26," Panel","MANUFACTURER B")+GETPIVOTDATA(" Total Number of Supplier",$R$26," Panel","SUBCONTRACTOR A")</f>
        <v>66</v>
      </c>
      <c r="T11" s="15">
        <f>GETPIVOTDATA("Count of Full Signed",$R$26," Panel","DESIGNER A")+GETPIVOTDATA("Count of Full Signed",$R$26," Panel","DESIGNER B")+GETPIVOTDATA("Count of Full Signed",$R$26," Panel","EXPERT A")+GETPIVOTDATA("Count of Full Signed",$R$26," Panel","EXPERT B")+GETPIVOTDATA("Count of Full Signed",$R$26," Panel","MANUFACTURER A")+GETPIVOTDATA("Count of Full Signed",$R$26," Panel","MANUFACTURER B")+GETPIVOTDATA("Count of Full Signed",$R$26," Panel","SUBCONTRACTOR A")</f>
        <v>47</v>
      </c>
      <c r="U11" s="17">
        <f>T11/S11</f>
        <v>0.71212121212121215</v>
      </c>
    </row>
    <row r="12" spans="2:21">
      <c r="C12" s="8"/>
      <c r="P12" s="11"/>
    </row>
    <row r="13" spans="2:21">
      <c r="C13" s="8"/>
      <c r="E13" s="4" t="s">
        <v>272</v>
      </c>
      <c r="F13" s="13"/>
      <c r="P13" s="11"/>
      <c r="R13" s="4" t="s">
        <v>273</v>
      </c>
      <c r="S13" s="13"/>
    </row>
    <row r="15" spans="2:21" collapsed="1">
      <c r="E15" s="7" t="s">
        <v>339</v>
      </c>
      <c r="R15" s="7" t="s">
        <v>339</v>
      </c>
    </row>
    <row r="16" spans="2:21" hidden="1" outlineLevel="1"/>
    <row r="17" spans="5:27" hidden="1" outlineLevel="1"/>
    <row r="18" spans="5:27" hidden="1" outlineLevel="1">
      <c r="E18" s="1" t="s">
        <v>470</v>
      </c>
      <c r="F18" t="s">
        <v>255</v>
      </c>
      <c r="R18" s="1" t="s">
        <v>470</v>
      </c>
      <c r="S18" t="s">
        <v>255</v>
      </c>
    </row>
    <row r="19" spans="5:27" hidden="1" outlineLevel="1">
      <c r="E19" s="1" t="s">
        <v>249</v>
      </c>
      <c r="F19" t="s">
        <v>253</v>
      </c>
      <c r="R19" s="1" t="s">
        <v>249</v>
      </c>
      <c r="S19" t="s">
        <v>253</v>
      </c>
    </row>
    <row r="20" spans="5:27" hidden="1" outlineLevel="1">
      <c r="E20" s="1" t="s">
        <v>251</v>
      </c>
      <c r="F20" t="s">
        <v>253</v>
      </c>
      <c r="R20" s="1" t="s">
        <v>251</v>
      </c>
      <c r="S20" t="s">
        <v>253</v>
      </c>
    </row>
    <row r="21" spans="5:27" hidden="1" outlineLevel="1">
      <c r="E21" s="1" t="s">
        <v>4</v>
      </c>
      <c r="F21" t="s">
        <v>253</v>
      </c>
      <c r="R21" s="1" t="s">
        <v>4</v>
      </c>
      <c r="S21" t="s">
        <v>253</v>
      </c>
    </row>
    <row r="22" spans="5:27" hidden="1" outlineLevel="1">
      <c r="E22" s="1" t="s">
        <v>471</v>
      </c>
      <c r="F22" t="s">
        <v>475</v>
      </c>
      <c r="R22" s="1" t="s">
        <v>471</v>
      </c>
      <c r="S22" t="s">
        <v>475</v>
      </c>
    </row>
    <row r="23" spans="5:27" hidden="1" outlineLevel="1">
      <c r="E23" s="1" t="s">
        <v>436</v>
      </c>
      <c r="F23" t="s">
        <v>253</v>
      </c>
      <c r="R23" s="1" t="s">
        <v>436</v>
      </c>
      <c r="S23" t="s">
        <v>253</v>
      </c>
    </row>
    <row r="24" spans="5:27" hidden="1" outlineLevel="1">
      <c r="E24" s="1" t="s">
        <v>662</v>
      </c>
      <c r="F24" t="s">
        <v>253</v>
      </c>
      <c r="R24" s="1" t="s">
        <v>662</v>
      </c>
      <c r="S24" t="s">
        <v>253</v>
      </c>
    </row>
    <row r="26" spans="5:27">
      <c r="I26" s="1" t="s">
        <v>256</v>
      </c>
      <c r="V26" s="1" t="s">
        <v>256</v>
      </c>
    </row>
    <row r="27" spans="5:27" ht="60">
      <c r="E27" s="23" t="s">
        <v>343</v>
      </c>
      <c r="F27" s="23" t="s">
        <v>2</v>
      </c>
      <c r="G27" s="23" t="s">
        <v>0</v>
      </c>
      <c r="H27" s="23" t="s">
        <v>1</v>
      </c>
      <c r="I27" s="20" t="s">
        <v>355</v>
      </c>
      <c r="J27" s="20" t="s">
        <v>356</v>
      </c>
      <c r="K27" s="20" t="s">
        <v>357</v>
      </c>
      <c r="L27" s="31" t="s">
        <v>358</v>
      </c>
      <c r="M27" s="24" t="s">
        <v>344</v>
      </c>
      <c r="N27" s="22" t="s">
        <v>345</v>
      </c>
      <c r="R27" s="19" t="s">
        <v>354</v>
      </c>
      <c r="S27" s="19" t="s">
        <v>2</v>
      </c>
      <c r="T27" s="19" t="s">
        <v>0</v>
      </c>
      <c r="U27" s="19" t="s">
        <v>1</v>
      </c>
      <c r="V27" s="20" t="s">
        <v>355</v>
      </c>
      <c r="W27" s="20" t="s">
        <v>356</v>
      </c>
      <c r="X27" s="20" t="s">
        <v>357</v>
      </c>
      <c r="Y27" s="21" t="s">
        <v>346</v>
      </c>
      <c r="Z27" s="21" t="s">
        <v>344</v>
      </c>
      <c r="AA27" s="22" t="s">
        <v>345</v>
      </c>
    </row>
    <row r="28" spans="5:27">
      <c r="E28" t="s">
        <v>19</v>
      </c>
      <c r="I28" s="2">
        <v>28</v>
      </c>
      <c r="J28" s="2">
        <v>17</v>
      </c>
      <c r="K28" s="2">
        <v>15</v>
      </c>
      <c r="L28" s="2">
        <v>19</v>
      </c>
      <c r="M28" s="2">
        <v>13</v>
      </c>
      <c r="N28" s="2">
        <v>6</v>
      </c>
      <c r="R28" t="s">
        <v>151</v>
      </c>
      <c r="V28" s="2">
        <v>7</v>
      </c>
      <c r="W28" s="2">
        <v>6</v>
      </c>
      <c r="X28" s="2">
        <v>5</v>
      </c>
      <c r="Y28" s="2">
        <v>5</v>
      </c>
      <c r="Z28" s="2">
        <v>4</v>
      </c>
      <c r="AA28" s="2">
        <v>1</v>
      </c>
    </row>
    <row r="29" spans="5:27">
      <c r="E29" t="s">
        <v>14</v>
      </c>
      <c r="I29" s="2">
        <v>26</v>
      </c>
      <c r="J29" s="2">
        <v>12</v>
      </c>
      <c r="K29" s="2">
        <v>12</v>
      </c>
      <c r="L29" s="2">
        <v>16</v>
      </c>
      <c r="M29" s="2">
        <v>12</v>
      </c>
      <c r="N29" s="2">
        <v>4</v>
      </c>
      <c r="R29" t="s">
        <v>178</v>
      </c>
      <c r="V29" s="2">
        <v>2</v>
      </c>
      <c r="W29" s="2">
        <v>3</v>
      </c>
      <c r="X29" s="2">
        <v>4</v>
      </c>
      <c r="Y29" s="2">
        <v>4</v>
      </c>
      <c r="Z29" s="2">
        <v>2</v>
      </c>
      <c r="AA29" s="2">
        <v>2</v>
      </c>
    </row>
    <row r="30" spans="5:27">
      <c r="E30" t="s">
        <v>119</v>
      </c>
      <c r="I30" s="2">
        <v>10</v>
      </c>
      <c r="J30" s="2">
        <v>7</v>
      </c>
      <c r="K30" s="2">
        <v>7</v>
      </c>
      <c r="L30" s="2">
        <v>8</v>
      </c>
      <c r="M30" s="2">
        <v>6</v>
      </c>
      <c r="N30" s="2">
        <v>2</v>
      </c>
      <c r="R30" t="s">
        <v>38</v>
      </c>
      <c r="V30" s="2">
        <v>6</v>
      </c>
      <c r="W30" s="2">
        <v>4</v>
      </c>
      <c r="X30" s="2">
        <v>1</v>
      </c>
      <c r="Y30" s="2">
        <v>3</v>
      </c>
      <c r="Z30" s="2">
        <v>2</v>
      </c>
      <c r="AA30" s="2">
        <v>1</v>
      </c>
    </row>
    <row r="31" spans="5:27">
      <c r="E31" t="s">
        <v>59</v>
      </c>
      <c r="I31" s="2">
        <v>6</v>
      </c>
      <c r="J31" s="2">
        <v>1</v>
      </c>
      <c r="K31" s="2">
        <v>1</v>
      </c>
      <c r="L31" s="2">
        <v>5</v>
      </c>
      <c r="M31" s="2">
        <v>1</v>
      </c>
      <c r="N31" s="2">
        <v>4</v>
      </c>
      <c r="R31" t="s">
        <v>168</v>
      </c>
      <c r="V31" s="2">
        <v>2</v>
      </c>
      <c r="W31" s="2"/>
      <c r="X31" s="2">
        <v>1</v>
      </c>
      <c r="Y31" s="2">
        <v>1</v>
      </c>
      <c r="Z31" s="2"/>
      <c r="AA31" s="2">
        <v>1</v>
      </c>
    </row>
    <row r="32" spans="5:27">
      <c r="E32" t="s">
        <v>654</v>
      </c>
      <c r="I32" s="2">
        <v>76</v>
      </c>
      <c r="J32" s="2">
        <v>49</v>
      </c>
      <c r="K32" s="2">
        <v>48</v>
      </c>
      <c r="L32" s="2">
        <v>64</v>
      </c>
      <c r="M32" s="2">
        <v>39</v>
      </c>
      <c r="N32" s="2">
        <v>25</v>
      </c>
      <c r="R32" t="s">
        <v>43</v>
      </c>
      <c r="V32" s="2">
        <v>31</v>
      </c>
      <c r="W32" s="2">
        <v>24</v>
      </c>
      <c r="X32" s="2">
        <v>23</v>
      </c>
      <c r="Y32" s="2">
        <v>24</v>
      </c>
      <c r="Z32" s="2">
        <v>17</v>
      </c>
      <c r="AA32" s="2">
        <v>7</v>
      </c>
    </row>
    <row r="33" spans="1:110" s="3" customFormat="1">
      <c r="A33" s="6"/>
      <c r="B33" s="6"/>
      <c r="C33" s="6"/>
      <c r="D33" s="6"/>
      <c r="E33" t="s">
        <v>254</v>
      </c>
      <c r="F33"/>
      <c r="G33"/>
      <c r="H33"/>
      <c r="I33" s="2">
        <v>146</v>
      </c>
      <c r="J33" s="2">
        <v>86</v>
      </c>
      <c r="K33" s="2">
        <v>83</v>
      </c>
      <c r="L33" s="2">
        <v>112</v>
      </c>
      <c r="M33" s="2">
        <v>71</v>
      </c>
      <c r="N33" s="2">
        <v>41</v>
      </c>
      <c r="O33"/>
      <c r="P33"/>
      <c r="Q33"/>
      <c r="R33" t="s">
        <v>35</v>
      </c>
      <c r="S33"/>
      <c r="T33"/>
      <c r="U33"/>
      <c r="V33" s="2">
        <v>42</v>
      </c>
      <c r="W33" s="2">
        <v>29</v>
      </c>
      <c r="X33" s="2">
        <v>31</v>
      </c>
      <c r="Y33" s="2">
        <v>27</v>
      </c>
      <c r="Z33" s="2">
        <v>21</v>
      </c>
      <c r="AA33" s="2">
        <v>6</v>
      </c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</row>
    <row r="34" spans="1:110">
      <c r="R34" t="s">
        <v>138</v>
      </c>
      <c r="V34" s="2">
        <v>6</v>
      </c>
      <c r="W34" s="2">
        <v>7</v>
      </c>
      <c r="X34" s="2">
        <v>7</v>
      </c>
      <c r="Y34" s="2">
        <v>9</v>
      </c>
      <c r="Z34" s="2">
        <v>5</v>
      </c>
      <c r="AA34" s="2">
        <v>4</v>
      </c>
    </row>
    <row r="35" spans="1:110">
      <c r="R35" t="s">
        <v>46</v>
      </c>
      <c r="V35" s="2">
        <v>10</v>
      </c>
      <c r="W35" s="2">
        <v>8</v>
      </c>
      <c r="X35" s="2">
        <v>6</v>
      </c>
      <c r="Y35" s="2">
        <v>6</v>
      </c>
      <c r="Z35" s="2">
        <v>5</v>
      </c>
      <c r="AA35" s="2">
        <v>1</v>
      </c>
    </row>
    <row r="36" spans="1:110">
      <c r="R36" t="s">
        <v>103</v>
      </c>
      <c r="V36" s="2">
        <v>2</v>
      </c>
      <c r="W36" s="2">
        <v>2</v>
      </c>
      <c r="X36" s="2">
        <v>3</v>
      </c>
      <c r="Y36" s="2">
        <v>2</v>
      </c>
      <c r="Z36" s="2">
        <v>1</v>
      </c>
      <c r="AA36" s="2">
        <v>1</v>
      </c>
    </row>
    <row r="37" spans="1:110">
      <c r="R37" t="s">
        <v>175</v>
      </c>
      <c r="V37" s="2">
        <v>2</v>
      </c>
      <c r="W37" s="2">
        <v>2</v>
      </c>
      <c r="X37" s="2">
        <v>1</v>
      </c>
      <c r="Y37" s="2">
        <v>1</v>
      </c>
      <c r="Z37" s="2">
        <v>1</v>
      </c>
      <c r="AA37" s="2"/>
    </row>
    <row r="38" spans="1:110">
      <c r="R38" t="s">
        <v>654</v>
      </c>
      <c r="V38" s="2">
        <v>37</v>
      </c>
      <c r="W38" s="2">
        <v>29</v>
      </c>
      <c r="X38" s="2">
        <v>32</v>
      </c>
      <c r="Y38" s="2">
        <v>76</v>
      </c>
      <c r="Z38" s="2">
        <v>19</v>
      </c>
      <c r="AA38" s="2">
        <v>57</v>
      </c>
    </row>
    <row r="39" spans="1:110">
      <c r="R39" t="s">
        <v>254</v>
      </c>
      <c r="V39" s="2">
        <v>147</v>
      </c>
      <c r="W39" s="2">
        <v>114</v>
      </c>
      <c r="X39" s="2">
        <v>114</v>
      </c>
      <c r="Y39" s="2">
        <v>158</v>
      </c>
      <c r="Z39" s="2">
        <v>77</v>
      </c>
      <c r="AA39" s="2">
        <v>81</v>
      </c>
    </row>
  </sheetData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theme="9" tint="0.59999389629810485"/>
  </sheetPr>
  <dimension ref="A1:H280"/>
  <sheetViews>
    <sheetView workbookViewId="0">
      <selection activeCell="A3" sqref="A3:XFD4"/>
    </sheetView>
  </sheetViews>
  <sheetFormatPr defaultRowHeight="15"/>
  <cols>
    <col min="1" max="1" width="24.28515625" customWidth="1"/>
    <col min="2" max="2" width="13.85546875" customWidth="1"/>
    <col min="3" max="3" width="43.28515625" customWidth="1"/>
    <col min="4" max="4" width="23.28515625" customWidth="1"/>
    <col min="5" max="5" width="23.85546875" customWidth="1"/>
    <col min="6" max="6" width="28.42578125" customWidth="1"/>
    <col min="7" max="7" width="16" customWidth="1"/>
    <col min="8" max="8" width="20.28515625" customWidth="1"/>
    <col min="9" max="9" width="12.28515625" customWidth="1"/>
    <col min="10" max="10" width="25" bestFit="1" customWidth="1"/>
    <col min="11" max="11" width="22.5703125" bestFit="1" customWidth="1"/>
  </cols>
  <sheetData>
    <row r="1" spans="1:8">
      <c r="A1" s="4" t="s">
        <v>274</v>
      </c>
    </row>
    <row r="3" spans="1:8">
      <c r="A3" s="1" t="s">
        <v>470</v>
      </c>
      <c r="B3" t="s">
        <v>253</v>
      </c>
    </row>
    <row r="4" spans="1:8">
      <c r="A4" s="1" t="s">
        <v>249</v>
      </c>
      <c r="B4" t="s">
        <v>253</v>
      </c>
    </row>
    <row r="5" spans="1:8">
      <c r="A5" s="1" t="s">
        <v>251</v>
      </c>
      <c r="B5" t="s">
        <v>253</v>
      </c>
    </row>
    <row r="6" spans="1:8">
      <c r="A6" s="1" t="s">
        <v>4</v>
      </c>
      <c r="B6" t="s">
        <v>253</v>
      </c>
    </row>
    <row r="7" spans="1:8">
      <c r="A7" s="1" t="s">
        <v>471</v>
      </c>
      <c r="B7" t="s">
        <v>253</v>
      </c>
    </row>
    <row r="8" spans="1:8">
      <c r="A8" s="1" t="s">
        <v>436</v>
      </c>
      <c r="B8" t="s">
        <v>253</v>
      </c>
    </row>
    <row r="9" spans="1:8">
      <c r="A9" s="1" t="s">
        <v>662</v>
      </c>
      <c r="B9" t="s">
        <v>253</v>
      </c>
    </row>
    <row r="11" spans="1:8">
      <c r="D11" s="1" t="s">
        <v>256</v>
      </c>
    </row>
    <row r="12" spans="1:8">
      <c r="A12" s="1" t="s">
        <v>2</v>
      </c>
      <c r="B12" s="1" t="s">
        <v>0</v>
      </c>
      <c r="C12" s="1" t="s">
        <v>1</v>
      </c>
      <c r="D12" t="s">
        <v>336</v>
      </c>
      <c r="E12" t="s">
        <v>337</v>
      </c>
      <c r="F12" t="s">
        <v>338</v>
      </c>
      <c r="G12" t="s">
        <v>280</v>
      </c>
      <c r="H12" t="s">
        <v>335</v>
      </c>
    </row>
    <row r="13" spans="1:8">
      <c r="A13" t="s">
        <v>474</v>
      </c>
      <c r="B13">
        <v>10007811</v>
      </c>
      <c r="C13" t="s">
        <v>473</v>
      </c>
      <c r="D13" s="2"/>
      <c r="E13" s="2"/>
      <c r="F13" s="2"/>
      <c r="G13" s="2"/>
      <c r="H13" s="2"/>
    </row>
    <row r="14" spans="1:8">
      <c r="A14" t="s">
        <v>116</v>
      </c>
      <c r="B14">
        <v>10018143</v>
      </c>
      <c r="C14" t="s">
        <v>115</v>
      </c>
      <c r="D14" s="2">
        <v>1</v>
      </c>
      <c r="E14" s="2">
        <v>1</v>
      </c>
      <c r="F14" s="2">
        <v>1</v>
      </c>
      <c r="G14" s="2">
        <v>1</v>
      </c>
      <c r="H14" s="2"/>
    </row>
    <row r="15" spans="1:8">
      <c r="A15" t="s">
        <v>112</v>
      </c>
      <c r="B15">
        <v>10018124</v>
      </c>
      <c r="C15" t="s">
        <v>111</v>
      </c>
      <c r="D15" s="2">
        <v>1</v>
      </c>
      <c r="E15" s="2">
        <v>1</v>
      </c>
      <c r="F15" s="2"/>
      <c r="G15" s="2">
        <v>1</v>
      </c>
      <c r="H15" s="2"/>
    </row>
    <row r="16" spans="1:8">
      <c r="A16" t="s">
        <v>248</v>
      </c>
      <c r="B16">
        <v>10031660</v>
      </c>
      <c r="C16" t="s">
        <v>247</v>
      </c>
      <c r="D16" s="2">
        <v>1</v>
      </c>
      <c r="E16" s="2">
        <v>1</v>
      </c>
      <c r="F16" s="2">
        <v>1</v>
      </c>
      <c r="G16" s="2">
        <v>1</v>
      </c>
      <c r="H16" s="2"/>
    </row>
    <row r="17" spans="1:8">
      <c r="A17" t="s">
        <v>63</v>
      </c>
      <c r="B17">
        <v>10006819</v>
      </c>
      <c r="C17" t="s">
        <v>62</v>
      </c>
      <c r="D17" s="2">
        <v>1</v>
      </c>
      <c r="E17" s="2">
        <v>1</v>
      </c>
      <c r="F17" s="2">
        <v>1</v>
      </c>
      <c r="G17" s="2">
        <v>1</v>
      </c>
      <c r="H17" s="2"/>
    </row>
    <row r="18" spans="1:8">
      <c r="A18" t="s">
        <v>96</v>
      </c>
      <c r="B18">
        <v>10016787</v>
      </c>
      <c r="C18" t="s">
        <v>96</v>
      </c>
      <c r="D18" s="2">
        <v>1</v>
      </c>
      <c r="E18" s="2"/>
      <c r="F18" s="2"/>
      <c r="G18" s="2"/>
      <c r="H18" s="2">
        <v>1</v>
      </c>
    </row>
    <row r="19" spans="1:8">
      <c r="A19" t="s">
        <v>24</v>
      </c>
      <c r="B19">
        <v>10002393</v>
      </c>
      <c r="C19" t="s">
        <v>23</v>
      </c>
      <c r="D19" s="2">
        <v>1</v>
      </c>
      <c r="E19" s="2"/>
      <c r="F19" s="2"/>
      <c r="G19" s="2"/>
      <c r="H19" s="2">
        <v>1</v>
      </c>
    </row>
    <row r="20" spans="1:8">
      <c r="B20">
        <v>10003305</v>
      </c>
      <c r="C20" t="s">
        <v>47</v>
      </c>
      <c r="D20" s="2">
        <v>1</v>
      </c>
      <c r="E20" s="2"/>
      <c r="F20" s="2"/>
      <c r="G20" s="2"/>
      <c r="H20" s="2"/>
    </row>
    <row r="21" spans="1:8">
      <c r="B21">
        <v>10022928</v>
      </c>
      <c r="C21" t="s">
        <v>192</v>
      </c>
      <c r="D21" s="2">
        <v>1</v>
      </c>
      <c r="E21" s="2"/>
      <c r="F21" s="2"/>
      <c r="G21" s="2"/>
      <c r="H21" s="2"/>
    </row>
    <row r="22" spans="1:8">
      <c r="A22" t="s">
        <v>477</v>
      </c>
      <c r="B22">
        <v>10024777</v>
      </c>
      <c r="C22" t="s">
        <v>476</v>
      </c>
      <c r="D22" s="2"/>
      <c r="E22" s="2"/>
      <c r="F22" s="2"/>
      <c r="G22" s="2"/>
      <c r="H22" s="2"/>
    </row>
    <row r="23" spans="1:8">
      <c r="A23" t="s">
        <v>153</v>
      </c>
      <c r="B23">
        <v>10020646</v>
      </c>
      <c r="C23" t="s">
        <v>152</v>
      </c>
      <c r="D23" s="2">
        <v>1</v>
      </c>
      <c r="E23" s="2">
        <v>1</v>
      </c>
      <c r="F23" s="2">
        <v>1</v>
      </c>
      <c r="G23" s="2">
        <v>1</v>
      </c>
      <c r="H23" s="2"/>
    </row>
    <row r="24" spans="1:8">
      <c r="A24" t="s">
        <v>479</v>
      </c>
      <c r="B24">
        <v>10012491</v>
      </c>
      <c r="C24" t="s">
        <v>478</v>
      </c>
      <c r="D24" s="2"/>
      <c r="E24" s="2"/>
      <c r="F24" s="2"/>
      <c r="G24" s="2"/>
      <c r="H24" s="2">
        <v>1</v>
      </c>
    </row>
    <row r="25" spans="1:8">
      <c r="A25" t="s">
        <v>481</v>
      </c>
      <c r="B25">
        <v>10023045</v>
      </c>
      <c r="C25" t="s">
        <v>480</v>
      </c>
      <c r="D25" s="2"/>
      <c r="E25" s="2"/>
      <c r="F25" s="2"/>
      <c r="G25" s="2"/>
      <c r="H25" s="2"/>
    </row>
    <row r="26" spans="1:8">
      <c r="A26" t="s">
        <v>70</v>
      </c>
      <c r="B26">
        <v>10008091</v>
      </c>
      <c r="C26" t="s">
        <v>69</v>
      </c>
      <c r="D26" s="2">
        <v>3</v>
      </c>
      <c r="E26" s="2">
        <v>1</v>
      </c>
      <c r="F26" s="2">
        <v>2</v>
      </c>
      <c r="G26" s="2">
        <v>1</v>
      </c>
      <c r="H26" s="2"/>
    </row>
    <row r="27" spans="1:8">
      <c r="A27" t="s">
        <v>483</v>
      </c>
      <c r="B27">
        <v>10017261</v>
      </c>
      <c r="C27" t="s">
        <v>482</v>
      </c>
      <c r="D27" s="2"/>
      <c r="E27" s="2"/>
      <c r="F27" s="2"/>
      <c r="G27" s="2"/>
      <c r="H27" s="2"/>
    </row>
    <row r="28" spans="1:8">
      <c r="A28" t="s">
        <v>485</v>
      </c>
      <c r="B28">
        <v>10016689</v>
      </c>
      <c r="C28" t="s">
        <v>486</v>
      </c>
      <c r="D28" s="2"/>
      <c r="E28" s="2"/>
      <c r="F28" s="2"/>
      <c r="G28" s="2"/>
      <c r="H28" s="2"/>
    </row>
    <row r="29" spans="1:8">
      <c r="B29">
        <v>10023546</v>
      </c>
      <c r="C29" t="s">
        <v>484</v>
      </c>
      <c r="D29" s="2"/>
      <c r="E29" s="2"/>
      <c r="F29" s="2"/>
      <c r="G29" s="2"/>
      <c r="H29" s="2">
        <v>1</v>
      </c>
    </row>
    <row r="30" spans="1:8">
      <c r="A30" t="s">
        <v>488</v>
      </c>
      <c r="B30">
        <v>10029549</v>
      </c>
      <c r="C30" t="s">
        <v>487</v>
      </c>
      <c r="D30" s="2"/>
      <c r="E30" s="2"/>
      <c r="F30" s="2"/>
      <c r="G30" s="2"/>
      <c r="H30" s="2">
        <v>1</v>
      </c>
    </row>
    <row r="31" spans="1:8">
      <c r="A31" t="s">
        <v>490</v>
      </c>
      <c r="B31">
        <v>10028574</v>
      </c>
      <c r="C31" t="s">
        <v>489</v>
      </c>
      <c r="D31" s="2"/>
      <c r="E31" s="2"/>
      <c r="F31" s="2"/>
      <c r="G31" s="2"/>
      <c r="H31" s="2"/>
    </row>
    <row r="32" spans="1:8">
      <c r="A32" t="s">
        <v>492</v>
      </c>
      <c r="B32">
        <v>10023057</v>
      </c>
      <c r="C32" t="s">
        <v>491</v>
      </c>
      <c r="D32" s="2"/>
      <c r="E32" s="2"/>
      <c r="F32" s="2"/>
      <c r="G32" s="2"/>
      <c r="H32" s="2">
        <v>1</v>
      </c>
    </row>
    <row r="33" spans="1:8">
      <c r="A33" t="s">
        <v>177</v>
      </c>
      <c r="B33">
        <v>10021632</v>
      </c>
      <c r="C33" t="s">
        <v>176</v>
      </c>
      <c r="D33" s="2">
        <v>1</v>
      </c>
      <c r="E33" s="2">
        <v>1</v>
      </c>
      <c r="F33" s="2"/>
      <c r="G33" s="2">
        <v>1</v>
      </c>
      <c r="H33" s="2"/>
    </row>
    <row r="34" spans="1:8">
      <c r="A34" t="s">
        <v>186</v>
      </c>
      <c r="B34">
        <v>10022437</v>
      </c>
      <c r="C34" t="s">
        <v>185</v>
      </c>
      <c r="D34" s="2">
        <v>1</v>
      </c>
      <c r="E34" s="2">
        <v>1</v>
      </c>
      <c r="F34" s="2">
        <v>1</v>
      </c>
      <c r="G34" s="2">
        <v>1</v>
      </c>
      <c r="H34" s="2"/>
    </row>
    <row r="35" spans="1:8">
      <c r="B35">
        <v>10031092</v>
      </c>
      <c r="C35" t="s">
        <v>246</v>
      </c>
      <c r="D35" s="2">
        <v>1</v>
      </c>
      <c r="E35" s="2">
        <v>1</v>
      </c>
      <c r="F35" s="2">
        <v>1</v>
      </c>
      <c r="G35" s="2"/>
      <c r="H35" s="2"/>
    </row>
    <row r="36" spans="1:8">
      <c r="A36" t="s">
        <v>131</v>
      </c>
      <c r="B36">
        <v>10019089</v>
      </c>
      <c r="C36" t="s">
        <v>130</v>
      </c>
      <c r="D36" s="2">
        <v>1</v>
      </c>
      <c r="E36" s="2">
        <v>1</v>
      </c>
      <c r="F36" s="2">
        <v>1</v>
      </c>
      <c r="G36" s="2">
        <v>1</v>
      </c>
      <c r="H36" s="2"/>
    </row>
    <row r="37" spans="1:8">
      <c r="A37" t="s">
        <v>61</v>
      </c>
      <c r="B37">
        <v>10005690</v>
      </c>
      <c r="C37" t="s">
        <v>60</v>
      </c>
      <c r="D37" s="2">
        <v>1</v>
      </c>
      <c r="E37" s="2">
        <v>1</v>
      </c>
      <c r="F37" s="2">
        <v>1</v>
      </c>
      <c r="G37" s="2">
        <v>1</v>
      </c>
      <c r="H37" s="2"/>
    </row>
    <row r="38" spans="1:8">
      <c r="A38" t="s">
        <v>159</v>
      </c>
      <c r="B38">
        <v>10020853</v>
      </c>
      <c r="C38" t="s">
        <v>158</v>
      </c>
      <c r="D38" s="2">
        <v>1</v>
      </c>
      <c r="E38" s="2">
        <v>1</v>
      </c>
      <c r="F38" s="2">
        <v>1</v>
      </c>
      <c r="G38" s="2">
        <v>1</v>
      </c>
      <c r="H38" s="2"/>
    </row>
    <row r="39" spans="1:8">
      <c r="A39" t="s">
        <v>189</v>
      </c>
      <c r="B39">
        <v>10022626</v>
      </c>
      <c r="C39" t="s">
        <v>188</v>
      </c>
      <c r="D39" s="2"/>
      <c r="E39" s="2"/>
      <c r="F39" s="2"/>
      <c r="G39" s="2"/>
      <c r="H39" s="2">
        <v>1</v>
      </c>
    </row>
    <row r="40" spans="1:8">
      <c r="A40" t="s">
        <v>26</v>
      </c>
      <c r="B40">
        <v>10002616</v>
      </c>
      <c r="C40" t="s">
        <v>25</v>
      </c>
      <c r="D40" s="2">
        <v>1</v>
      </c>
      <c r="E40" s="2">
        <v>1</v>
      </c>
      <c r="F40" s="2">
        <v>1</v>
      </c>
      <c r="G40" s="2">
        <v>1</v>
      </c>
      <c r="H40" s="2"/>
    </row>
    <row r="41" spans="1:8">
      <c r="A41" t="s">
        <v>72</v>
      </c>
      <c r="B41">
        <v>10011085</v>
      </c>
      <c r="C41" t="s">
        <v>71</v>
      </c>
      <c r="D41" s="2"/>
      <c r="E41" s="2"/>
      <c r="F41" s="2"/>
      <c r="G41" s="2"/>
      <c r="H41" s="2">
        <v>1</v>
      </c>
    </row>
    <row r="42" spans="1:8">
      <c r="A42" t="s">
        <v>235</v>
      </c>
      <c r="B42">
        <v>10029742</v>
      </c>
      <c r="C42" t="s">
        <v>234</v>
      </c>
      <c r="D42" s="2">
        <v>1</v>
      </c>
      <c r="E42" s="2">
        <v>1</v>
      </c>
      <c r="F42" s="2">
        <v>1</v>
      </c>
      <c r="G42" s="2">
        <v>1</v>
      </c>
      <c r="H42" s="2"/>
    </row>
    <row r="43" spans="1:8">
      <c r="A43" t="s">
        <v>148</v>
      </c>
      <c r="B43">
        <v>10019610</v>
      </c>
      <c r="C43" t="s">
        <v>147</v>
      </c>
      <c r="D43" s="2">
        <v>1</v>
      </c>
      <c r="E43" s="2">
        <v>1</v>
      </c>
      <c r="F43" s="2">
        <v>1</v>
      </c>
      <c r="G43" s="2">
        <v>1</v>
      </c>
      <c r="H43" s="2"/>
    </row>
    <row r="44" spans="1:8">
      <c r="A44" t="s">
        <v>237</v>
      </c>
      <c r="B44">
        <v>10029998</v>
      </c>
      <c r="C44" t="s">
        <v>236</v>
      </c>
      <c r="D44" s="2">
        <v>1</v>
      </c>
      <c r="E44" s="2">
        <v>1</v>
      </c>
      <c r="F44" s="2">
        <v>2</v>
      </c>
      <c r="G44" s="2">
        <v>1</v>
      </c>
      <c r="H44" s="2"/>
    </row>
    <row r="45" spans="1:8">
      <c r="A45" t="s">
        <v>502</v>
      </c>
      <c r="B45">
        <v>10023113</v>
      </c>
      <c r="C45" t="s">
        <v>501</v>
      </c>
      <c r="D45" s="2"/>
      <c r="E45" s="2"/>
      <c r="F45" s="2"/>
      <c r="G45" s="2"/>
      <c r="H45" s="2">
        <v>1</v>
      </c>
    </row>
    <row r="46" spans="1:8">
      <c r="A46" t="s">
        <v>34</v>
      </c>
      <c r="B46">
        <v>10014918</v>
      </c>
      <c r="C46" t="s">
        <v>93</v>
      </c>
      <c r="D46" s="2"/>
      <c r="E46" s="2"/>
      <c r="F46" s="2"/>
      <c r="G46" s="2"/>
      <c r="H46" s="2"/>
    </row>
    <row r="47" spans="1:8">
      <c r="B47">
        <v>10016190</v>
      </c>
      <c r="C47" t="s">
        <v>374</v>
      </c>
      <c r="D47" s="2">
        <v>1</v>
      </c>
      <c r="E47" s="2">
        <v>1</v>
      </c>
      <c r="F47" s="2"/>
      <c r="G47" s="2">
        <v>1</v>
      </c>
      <c r="H47" s="2"/>
    </row>
    <row r="48" spans="1:8">
      <c r="A48" t="s">
        <v>45</v>
      </c>
      <c r="B48">
        <v>10003215</v>
      </c>
      <c r="C48" t="s">
        <v>44</v>
      </c>
      <c r="D48" s="2">
        <v>1</v>
      </c>
      <c r="E48" s="2">
        <v>1</v>
      </c>
      <c r="F48" s="2">
        <v>1</v>
      </c>
      <c r="G48" s="2">
        <v>1</v>
      </c>
      <c r="H48" s="2"/>
    </row>
    <row r="49" spans="1:8">
      <c r="A49" t="s">
        <v>504</v>
      </c>
      <c r="B49">
        <v>10023831</v>
      </c>
      <c r="C49" t="s">
        <v>503</v>
      </c>
      <c r="D49" s="2"/>
      <c r="E49" s="2"/>
      <c r="F49" s="2"/>
      <c r="G49" s="2"/>
      <c r="H49" s="2">
        <v>1</v>
      </c>
    </row>
    <row r="50" spans="1:8">
      <c r="A50" t="s">
        <v>217</v>
      </c>
      <c r="B50">
        <v>10026043</v>
      </c>
      <c r="C50" t="s">
        <v>216</v>
      </c>
      <c r="D50" s="2"/>
      <c r="E50" s="2"/>
      <c r="F50" s="2"/>
      <c r="G50" s="2"/>
      <c r="H50" s="2">
        <v>1</v>
      </c>
    </row>
    <row r="51" spans="1:8">
      <c r="A51" t="s">
        <v>165</v>
      </c>
      <c r="B51">
        <v>10021084</v>
      </c>
      <c r="C51" t="s">
        <v>164</v>
      </c>
      <c r="D51" s="2">
        <v>1</v>
      </c>
      <c r="E51" s="2">
        <v>1</v>
      </c>
      <c r="F51" s="2">
        <v>1</v>
      </c>
      <c r="G51" s="2"/>
      <c r="H51" s="2"/>
    </row>
    <row r="52" spans="1:8">
      <c r="B52">
        <v>10030282</v>
      </c>
      <c r="C52" t="s">
        <v>614</v>
      </c>
      <c r="D52" s="2">
        <v>1</v>
      </c>
      <c r="E52" s="2">
        <v>1</v>
      </c>
      <c r="F52" s="2">
        <v>1</v>
      </c>
      <c r="G52" s="2">
        <v>1</v>
      </c>
      <c r="H52" s="2"/>
    </row>
    <row r="53" spans="1:8">
      <c r="A53" t="s">
        <v>150</v>
      </c>
      <c r="B53">
        <v>10019667</v>
      </c>
      <c r="C53" t="s">
        <v>149</v>
      </c>
      <c r="D53" s="2">
        <v>2</v>
      </c>
      <c r="E53" s="2">
        <v>2</v>
      </c>
      <c r="F53" s="2">
        <v>2</v>
      </c>
      <c r="G53" s="2">
        <v>1</v>
      </c>
      <c r="H53" s="2"/>
    </row>
    <row r="54" spans="1:8">
      <c r="A54" t="s">
        <v>29</v>
      </c>
      <c r="B54">
        <v>10002618</v>
      </c>
      <c r="C54" t="s">
        <v>28</v>
      </c>
      <c r="D54" s="2">
        <v>1</v>
      </c>
      <c r="E54" s="2">
        <v>1</v>
      </c>
      <c r="F54" s="2">
        <v>1</v>
      </c>
      <c r="G54" s="2">
        <v>1</v>
      </c>
      <c r="H54" s="2"/>
    </row>
    <row r="55" spans="1:8">
      <c r="A55" t="s">
        <v>78</v>
      </c>
      <c r="B55">
        <v>10011954</v>
      </c>
      <c r="C55" t="s">
        <v>77</v>
      </c>
      <c r="D55" s="2">
        <v>1</v>
      </c>
      <c r="E55" s="2"/>
      <c r="F55" s="2"/>
      <c r="G55" s="2"/>
      <c r="H55" s="2">
        <v>1</v>
      </c>
    </row>
    <row r="56" spans="1:8">
      <c r="A56" t="s">
        <v>127</v>
      </c>
      <c r="B56">
        <v>10018856</v>
      </c>
      <c r="C56" t="s">
        <v>126</v>
      </c>
      <c r="D56" s="2">
        <v>1</v>
      </c>
      <c r="E56" s="2"/>
      <c r="F56" s="2"/>
      <c r="G56" s="2"/>
      <c r="H56" s="2">
        <v>1</v>
      </c>
    </row>
    <row r="57" spans="1:8">
      <c r="A57" t="s">
        <v>157</v>
      </c>
      <c r="B57">
        <v>10020848</v>
      </c>
      <c r="C57" t="s">
        <v>156</v>
      </c>
      <c r="D57" s="2">
        <v>1</v>
      </c>
      <c r="E57" s="2">
        <v>1</v>
      </c>
      <c r="F57" s="2">
        <v>1</v>
      </c>
      <c r="G57" s="2">
        <v>1</v>
      </c>
      <c r="H57" s="2"/>
    </row>
    <row r="58" spans="1:8">
      <c r="A58" t="s">
        <v>84</v>
      </c>
      <c r="B58">
        <v>10012062</v>
      </c>
      <c r="C58" t="s">
        <v>83</v>
      </c>
      <c r="D58" s="2">
        <v>1</v>
      </c>
      <c r="E58" s="2"/>
      <c r="F58" s="2"/>
      <c r="G58" s="2"/>
      <c r="H58" s="2">
        <v>1</v>
      </c>
    </row>
    <row r="59" spans="1:8">
      <c r="A59" t="s">
        <v>98</v>
      </c>
      <c r="B59">
        <v>10016908</v>
      </c>
      <c r="C59" t="s">
        <v>97</v>
      </c>
      <c r="D59" s="2">
        <v>1</v>
      </c>
      <c r="E59" s="2"/>
      <c r="F59" s="2"/>
      <c r="G59" s="2"/>
      <c r="H59" s="2">
        <v>1</v>
      </c>
    </row>
    <row r="60" spans="1:8">
      <c r="A60" t="s">
        <v>510</v>
      </c>
      <c r="B60">
        <v>10024205</v>
      </c>
      <c r="C60" t="s">
        <v>509</v>
      </c>
      <c r="D60" s="2"/>
      <c r="E60" s="2"/>
      <c r="F60" s="2"/>
      <c r="G60" s="2"/>
      <c r="H60" s="2">
        <v>1</v>
      </c>
    </row>
    <row r="61" spans="1:8">
      <c r="A61" t="s">
        <v>121</v>
      </c>
      <c r="B61">
        <v>10018597</v>
      </c>
      <c r="C61" t="s">
        <v>120</v>
      </c>
      <c r="D61" s="2">
        <v>1</v>
      </c>
      <c r="E61" s="2"/>
      <c r="F61" s="2"/>
      <c r="G61" s="2"/>
      <c r="H61" s="2">
        <v>1</v>
      </c>
    </row>
    <row r="62" spans="1:8">
      <c r="A62" t="s">
        <v>213</v>
      </c>
      <c r="B62">
        <v>10025953</v>
      </c>
      <c r="C62" t="s">
        <v>212</v>
      </c>
      <c r="D62" s="2"/>
      <c r="E62" s="2"/>
      <c r="F62" s="2"/>
      <c r="G62" s="2"/>
      <c r="H62" s="2">
        <v>1</v>
      </c>
    </row>
    <row r="63" spans="1:8">
      <c r="A63" t="s">
        <v>163</v>
      </c>
      <c r="B63">
        <v>10021071</v>
      </c>
      <c r="C63" t="s">
        <v>162</v>
      </c>
      <c r="D63" s="2">
        <v>2</v>
      </c>
      <c r="E63" s="2">
        <v>2</v>
      </c>
      <c r="F63" s="2">
        <v>1</v>
      </c>
      <c r="G63" s="2">
        <v>1</v>
      </c>
      <c r="H63" s="2"/>
    </row>
    <row r="64" spans="1:8">
      <c r="A64" t="s">
        <v>125</v>
      </c>
      <c r="B64">
        <v>10018808</v>
      </c>
      <c r="C64" t="s">
        <v>124</v>
      </c>
      <c r="D64" s="2">
        <v>3</v>
      </c>
      <c r="E64" s="2">
        <v>2</v>
      </c>
      <c r="F64" s="2">
        <v>2</v>
      </c>
      <c r="G64" s="2"/>
      <c r="H64" s="2"/>
    </row>
    <row r="65" spans="1:8">
      <c r="B65">
        <v>10023490</v>
      </c>
      <c r="C65" t="s">
        <v>201</v>
      </c>
      <c r="D65" s="2">
        <v>3</v>
      </c>
      <c r="E65" s="2">
        <v>2</v>
      </c>
      <c r="F65" s="2">
        <v>2</v>
      </c>
      <c r="G65" s="2">
        <v>1</v>
      </c>
      <c r="H65" s="2"/>
    </row>
    <row r="66" spans="1:8">
      <c r="A66" t="s">
        <v>95</v>
      </c>
      <c r="B66">
        <v>10015043</v>
      </c>
      <c r="C66" t="s">
        <v>94</v>
      </c>
      <c r="D66" s="2"/>
      <c r="E66" s="2"/>
      <c r="F66" s="2"/>
      <c r="G66" s="2"/>
      <c r="H66" s="2">
        <v>1</v>
      </c>
    </row>
    <row r="67" spans="1:8">
      <c r="A67" t="s">
        <v>49</v>
      </c>
      <c r="B67">
        <v>10003623</v>
      </c>
      <c r="C67" t="s">
        <v>48</v>
      </c>
      <c r="D67" s="2"/>
      <c r="E67" s="2"/>
      <c r="F67" s="2"/>
      <c r="G67" s="2"/>
      <c r="H67" s="2">
        <v>1</v>
      </c>
    </row>
    <row r="68" spans="1:8">
      <c r="A68" t="s">
        <v>223</v>
      </c>
      <c r="B68">
        <v>10029175</v>
      </c>
      <c r="C68" t="s">
        <v>222</v>
      </c>
      <c r="D68" s="2">
        <v>1</v>
      </c>
      <c r="E68" s="2">
        <v>1</v>
      </c>
      <c r="F68" s="2">
        <v>1</v>
      </c>
      <c r="G68" s="2">
        <v>1</v>
      </c>
      <c r="H68" s="2"/>
    </row>
    <row r="69" spans="1:8">
      <c r="A69" t="s">
        <v>102</v>
      </c>
      <c r="B69">
        <v>10017162</v>
      </c>
      <c r="C69" t="s">
        <v>101</v>
      </c>
      <c r="D69" s="2">
        <v>1</v>
      </c>
      <c r="E69" s="2">
        <v>2</v>
      </c>
      <c r="F69" s="2">
        <v>2</v>
      </c>
      <c r="G69" s="2">
        <v>1</v>
      </c>
      <c r="H69" s="2"/>
    </row>
    <row r="70" spans="1:8">
      <c r="A70" t="s">
        <v>522</v>
      </c>
      <c r="B70">
        <v>10017914</v>
      </c>
      <c r="C70" t="s">
        <v>521</v>
      </c>
      <c r="D70" s="2"/>
      <c r="E70" s="2"/>
      <c r="F70" s="2"/>
      <c r="G70" s="2"/>
      <c r="H70" s="2">
        <v>1</v>
      </c>
    </row>
    <row r="71" spans="1:8">
      <c r="A71" t="s">
        <v>243</v>
      </c>
      <c r="B71">
        <v>10030431</v>
      </c>
      <c r="C71" t="s">
        <v>242</v>
      </c>
      <c r="D71" s="2">
        <v>1</v>
      </c>
      <c r="E71" s="2">
        <v>1</v>
      </c>
      <c r="F71" s="2">
        <v>1</v>
      </c>
      <c r="G71" s="2">
        <v>1</v>
      </c>
      <c r="H71" s="2"/>
    </row>
    <row r="72" spans="1:8">
      <c r="A72" t="s">
        <v>155</v>
      </c>
      <c r="B72">
        <v>10020806</v>
      </c>
      <c r="C72" t="s">
        <v>154</v>
      </c>
      <c r="D72" s="2">
        <v>2</v>
      </c>
      <c r="E72" s="2">
        <v>3</v>
      </c>
      <c r="F72" s="2">
        <v>1</v>
      </c>
      <c r="G72" s="2">
        <v>1</v>
      </c>
      <c r="H72" s="2"/>
    </row>
    <row r="73" spans="1:8">
      <c r="A73" t="s">
        <v>142</v>
      </c>
      <c r="B73">
        <v>10019408</v>
      </c>
      <c r="C73" t="s">
        <v>141</v>
      </c>
      <c r="D73" s="2">
        <v>1</v>
      </c>
      <c r="E73" s="2">
        <v>1</v>
      </c>
      <c r="F73" s="2">
        <v>1</v>
      </c>
      <c r="G73" s="2">
        <v>1</v>
      </c>
      <c r="H73" s="2"/>
    </row>
    <row r="74" spans="1:8">
      <c r="A74" t="s">
        <v>32</v>
      </c>
      <c r="B74">
        <v>10002622</v>
      </c>
      <c r="C74" t="s">
        <v>31</v>
      </c>
      <c r="D74" s="2">
        <v>1</v>
      </c>
      <c r="E74" s="2">
        <v>1</v>
      </c>
      <c r="F74" s="2">
        <v>1</v>
      </c>
      <c r="G74" s="2">
        <v>1</v>
      </c>
      <c r="H74" s="2"/>
    </row>
    <row r="75" spans="1:8">
      <c r="A75" t="s">
        <v>105</v>
      </c>
      <c r="B75">
        <v>10017541</v>
      </c>
      <c r="C75" t="s">
        <v>104</v>
      </c>
      <c r="D75" s="2">
        <v>1</v>
      </c>
      <c r="E75" s="2">
        <v>1</v>
      </c>
      <c r="F75" s="2">
        <v>1</v>
      </c>
      <c r="G75" s="2">
        <v>1</v>
      </c>
      <c r="H75" s="2"/>
    </row>
    <row r="76" spans="1:8">
      <c r="A76" t="s">
        <v>194</v>
      </c>
      <c r="B76">
        <v>10023008</v>
      </c>
      <c r="C76" t="s">
        <v>193</v>
      </c>
      <c r="D76" s="2">
        <v>1</v>
      </c>
      <c r="E76" s="2"/>
      <c r="F76" s="2"/>
      <c r="G76" s="2"/>
      <c r="H76" s="2">
        <v>1</v>
      </c>
    </row>
    <row r="77" spans="1:8">
      <c r="A77" t="s">
        <v>530</v>
      </c>
      <c r="B77">
        <v>10012944</v>
      </c>
      <c r="C77" t="s">
        <v>529</v>
      </c>
      <c r="D77" s="2"/>
      <c r="E77" s="2"/>
      <c r="F77" s="2"/>
      <c r="G77" s="2"/>
      <c r="H77" s="2">
        <v>1</v>
      </c>
    </row>
    <row r="78" spans="1:8">
      <c r="A78" t="s">
        <v>135</v>
      </c>
      <c r="B78">
        <v>10019117</v>
      </c>
      <c r="C78" t="s">
        <v>134</v>
      </c>
      <c r="D78" s="2">
        <v>1</v>
      </c>
      <c r="E78" s="2">
        <v>1</v>
      </c>
      <c r="F78" s="2">
        <v>1</v>
      </c>
      <c r="G78" s="2">
        <v>1</v>
      </c>
      <c r="H78" s="2"/>
    </row>
    <row r="79" spans="1:8">
      <c r="A79" t="s">
        <v>167</v>
      </c>
      <c r="B79">
        <v>10021176</v>
      </c>
      <c r="C79" t="s">
        <v>166</v>
      </c>
      <c r="D79" s="2">
        <v>2</v>
      </c>
      <c r="E79" s="2"/>
      <c r="F79" s="2">
        <v>1</v>
      </c>
      <c r="G79" s="2"/>
      <c r="H79" s="2">
        <v>1</v>
      </c>
    </row>
    <row r="80" spans="1:8">
      <c r="A80" t="s">
        <v>198</v>
      </c>
      <c r="B80">
        <v>10023342</v>
      </c>
      <c r="C80" t="s">
        <v>197</v>
      </c>
      <c r="D80" s="2">
        <v>1</v>
      </c>
      <c r="E80" s="2">
        <v>1</v>
      </c>
      <c r="F80" s="2">
        <v>1</v>
      </c>
      <c r="G80" s="2">
        <v>1</v>
      </c>
      <c r="H80" s="2"/>
    </row>
    <row r="81" spans="1:8">
      <c r="A81" t="s">
        <v>534</v>
      </c>
      <c r="B81">
        <v>10025233</v>
      </c>
      <c r="C81" t="s">
        <v>533</v>
      </c>
      <c r="D81" s="2"/>
      <c r="E81" s="2"/>
      <c r="F81" s="2"/>
      <c r="G81" s="2"/>
      <c r="H81" s="2">
        <v>1</v>
      </c>
    </row>
    <row r="82" spans="1:8">
      <c r="A82" t="s">
        <v>55</v>
      </c>
      <c r="B82">
        <v>10003775</v>
      </c>
      <c r="C82" t="s">
        <v>54</v>
      </c>
      <c r="D82" s="2">
        <v>1</v>
      </c>
      <c r="E82" s="2">
        <v>1</v>
      </c>
      <c r="F82" s="2">
        <v>1</v>
      </c>
      <c r="G82" s="2">
        <v>1</v>
      </c>
      <c r="H82" s="2"/>
    </row>
    <row r="83" spans="1:8">
      <c r="A83" t="s">
        <v>540</v>
      </c>
      <c r="B83">
        <v>10029063</v>
      </c>
      <c r="C83" t="s">
        <v>539</v>
      </c>
      <c r="D83" s="2"/>
      <c r="E83" s="2"/>
      <c r="F83" s="2"/>
      <c r="G83" s="2"/>
      <c r="H83" s="2">
        <v>1</v>
      </c>
    </row>
    <row r="84" spans="1:8">
      <c r="A84" t="s">
        <v>21</v>
      </c>
      <c r="B84">
        <v>10002254</v>
      </c>
      <c r="C84" t="s">
        <v>20</v>
      </c>
      <c r="D84" s="2">
        <v>2</v>
      </c>
      <c r="E84" s="2">
        <v>3</v>
      </c>
      <c r="F84" s="2">
        <v>2</v>
      </c>
      <c r="G84" s="2">
        <v>1</v>
      </c>
      <c r="H84" s="2"/>
    </row>
    <row r="85" spans="1:8">
      <c r="A85" t="s">
        <v>80</v>
      </c>
      <c r="B85">
        <v>10011961</v>
      </c>
      <c r="C85" t="s">
        <v>79</v>
      </c>
      <c r="D85" s="2">
        <v>2</v>
      </c>
      <c r="E85" s="2"/>
      <c r="F85" s="2">
        <v>1</v>
      </c>
      <c r="G85" s="2"/>
      <c r="H85" s="2">
        <v>1</v>
      </c>
    </row>
    <row r="86" spans="1:8">
      <c r="A86" t="s">
        <v>108</v>
      </c>
      <c r="B86">
        <v>10017609</v>
      </c>
      <c r="C86" t="s">
        <v>107</v>
      </c>
      <c r="D86" s="2">
        <v>1</v>
      </c>
      <c r="E86" s="2">
        <v>1</v>
      </c>
      <c r="F86" s="2">
        <v>1</v>
      </c>
      <c r="G86" s="2">
        <v>1</v>
      </c>
      <c r="H86" s="2"/>
    </row>
    <row r="87" spans="1:8">
      <c r="A87" t="s">
        <v>544</v>
      </c>
      <c r="B87">
        <v>10023202</v>
      </c>
      <c r="C87" t="s">
        <v>543</v>
      </c>
      <c r="D87" s="2"/>
      <c r="E87" s="2"/>
      <c r="F87" s="2"/>
      <c r="G87" s="2"/>
      <c r="H87" s="2">
        <v>1</v>
      </c>
    </row>
    <row r="88" spans="1:8">
      <c r="A88" t="s">
        <v>146</v>
      </c>
      <c r="B88">
        <v>10019497</v>
      </c>
      <c r="C88" t="s">
        <v>145</v>
      </c>
      <c r="D88" s="2">
        <v>2</v>
      </c>
      <c r="E88" s="2">
        <v>2</v>
      </c>
      <c r="F88" s="2">
        <v>2</v>
      </c>
      <c r="G88" s="2">
        <v>1</v>
      </c>
      <c r="H88" s="2"/>
    </row>
    <row r="89" spans="1:8">
      <c r="A89" t="s">
        <v>74</v>
      </c>
      <c r="B89">
        <v>10011086</v>
      </c>
      <c r="C89" t="s">
        <v>73</v>
      </c>
      <c r="D89" s="2">
        <v>1</v>
      </c>
      <c r="E89" s="2">
        <v>1</v>
      </c>
      <c r="F89" s="2">
        <v>1</v>
      </c>
      <c r="G89" s="2">
        <v>1</v>
      </c>
      <c r="H89" s="2"/>
    </row>
    <row r="90" spans="1:8">
      <c r="A90" t="s">
        <v>546</v>
      </c>
      <c r="B90">
        <v>10010986</v>
      </c>
      <c r="C90" t="s">
        <v>545</v>
      </c>
      <c r="D90" s="2"/>
      <c r="E90" s="2"/>
      <c r="F90" s="2"/>
      <c r="G90" s="2"/>
      <c r="H90" s="2">
        <v>1</v>
      </c>
    </row>
    <row r="91" spans="1:8">
      <c r="A91" t="s">
        <v>182</v>
      </c>
      <c r="B91">
        <v>10022134</v>
      </c>
      <c r="C91" t="s">
        <v>181</v>
      </c>
      <c r="D91" s="2">
        <v>1</v>
      </c>
      <c r="E91" s="2"/>
      <c r="F91" s="2">
        <v>1</v>
      </c>
      <c r="G91" s="2"/>
      <c r="H91" s="2">
        <v>1</v>
      </c>
    </row>
    <row r="92" spans="1:8">
      <c r="A92" t="s">
        <v>137</v>
      </c>
      <c r="B92">
        <v>10019263</v>
      </c>
      <c r="C92" t="s">
        <v>136</v>
      </c>
      <c r="D92" s="2">
        <v>2</v>
      </c>
      <c r="E92" s="2">
        <v>1</v>
      </c>
      <c r="F92" s="2">
        <v>2</v>
      </c>
      <c r="G92" s="2">
        <v>1</v>
      </c>
      <c r="H92" s="2"/>
    </row>
    <row r="93" spans="1:8">
      <c r="A93" t="s">
        <v>53</v>
      </c>
      <c r="B93">
        <v>10003734</v>
      </c>
      <c r="C93" t="s">
        <v>52</v>
      </c>
      <c r="D93" s="2"/>
      <c r="E93" s="2"/>
      <c r="F93" s="2"/>
      <c r="G93" s="2"/>
      <c r="H93" s="2">
        <v>1</v>
      </c>
    </row>
    <row r="94" spans="1:8">
      <c r="A94" t="s">
        <v>76</v>
      </c>
      <c r="B94">
        <v>10011884</v>
      </c>
      <c r="C94" t="s">
        <v>75</v>
      </c>
      <c r="D94" s="2">
        <v>1</v>
      </c>
      <c r="E94" s="2">
        <v>1</v>
      </c>
      <c r="F94" s="2">
        <v>1</v>
      </c>
      <c r="G94" s="2"/>
      <c r="H94" s="2"/>
    </row>
    <row r="95" spans="1:8">
      <c r="B95">
        <v>10012145</v>
      </c>
      <c r="C95" t="s">
        <v>629</v>
      </c>
      <c r="D95" s="2">
        <v>1</v>
      </c>
      <c r="E95" s="2">
        <v>1</v>
      </c>
      <c r="F95" s="2">
        <v>1</v>
      </c>
      <c r="G95" s="2">
        <v>1</v>
      </c>
      <c r="H95" s="2"/>
    </row>
    <row r="96" spans="1:8">
      <c r="A96" t="s">
        <v>552</v>
      </c>
      <c r="B96">
        <v>10021116</v>
      </c>
      <c r="C96" t="s">
        <v>551</v>
      </c>
      <c r="D96" s="2"/>
      <c r="E96" s="2"/>
      <c r="F96" s="2"/>
      <c r="G96" s="2"/>
      <c r="H96" s="2">
        <v>1</v>
      </c>
    </row>
    <row r="97" spans="1:8">
      <c r="A97" t="s">
        <v>554</v>
      </c>
      <c r="B97">
        <v>10030490</v>
      </c>
      <c r="C97" t="s">
        <v>553</v>
      </c>
      <c r="D97" s="2"/>
      <c r="E97" s="2"/>
      <c r="F97" s="2"/>
      <c r="G97" s="2"/>
      <c r="H97" s="2">
        <v>1</v>
      </c>
    </row>
    <row r="98" spans="1:8">
      <c r="A98" t="s">
        <v>196</v>
      </c>
      <c r="B98">
        <v>10023135</v>
      </c>
      <c r="C98" t="s">
        <v>195</v>
      </c>
      <c r="D98" s="2">
        <v>1</v>
      </c>
      <c r="E98" s="2">
        <v>1</v>
      </c>
      <c r="F98" s="2">
        <v>1</v>
      </c>
      <c r="G98" s="2">
        <v>1</v>
      </c>
      <c r="H98" s="2"/>
    </row>
    <row r="99" spans="1:8">
      <c r="A99" t="s">
        <v>100</v>
      </c>
      <c r="B99">
        <v>10016947</v>
      </c>
      <c r="C99" t="s">
        <v>99</v>
      </c>
      <c r="D99" s="2">
        <v>1</v>
      </c>
      <c r="E99" s="2">
        <v>1</v>
      </c>
      <c r="F99" s="2">
        <v>1</v>
      </c>
      <c r="G99" s="2">
        <v>1</v>
      </c>
      <c r="H99" s="2"/>
    </row>
    <row r="100" spans="1:8">
      <c r="A100" t="s">
        <v>225</v>
      </c>
      <c r="B100">
        <v>10029232</v>
      </c>
      <c r="C100" t="s">
        <v>224</v>
      </c>
      <c r="D100" s="2">
        <v>1</v>
      </c>
      <c r="E100" s="2">
        <v>1</v>
      </c>
      <c r="F100" s="2">
        <v>1</v>
      </c>
      <c r="G100" s="2">
        <v>1</v>
      </c>
      <c r="H100" s="2"/>
    </row>
    <row r="101" spans="1:8">
      <c r="A101" t="s">
        <v>13</v>
      </c>
      <c r="B101">
        <v>10002059</v>
      </c>
      <c r="C101" t="s">
        <v>12</v>
      </c>
      <c r="D101" s="2">
        <v>1</v>
      </c>
      <c r="E101" s="2"/>
      <c r="F101" s="2">
        <v>1</v>
      </c>
      <c r="G101" s="2"/>
      <c r="H101" s="2">
        <v>1</v>
      </c>
    </row>
    <row r="102" spans="1:8">
      <c r="A102" t="s">
        <v>200</v>
      </c>
      <c r="B102">
        <v>10023343</v>
      </c>
      <c r="C102" t="s">
        <v>199</v>
      </c>
      <c r="D102" s="2">
        <v>1</v>
      </c>
      <c r="E102" s="2">
        <v>1</v>
      </c>
      <c r="F102" s="2">
        <v>1</v>
      </c>
      <c r="G102" s="2">
        <v>1</v>
      </c>
      <c r="H102" s="2"/>
    </row>
    <row r="103" spans="1:8">
      <c r="A103" t="s">
        <v>161</v>
      </c>
      <c r="B103">
        <v>10021016</v>
      </c>
      <c r="C103" t="s">
        <v>160</v>
      </c>
      <c r="D103" s="2">
        <v>1</v>
      </c>
      <c r="E103" s="2">
        <v>1</v>
      </c>
      <c r="F103" s="2">
        <v>1</v>
      </c>
      <c r="G103" s="2">
        <v>1</v>
      </c>
      <c r="H103" s="2"/>
    </row>
    <row r="104" spans="1:8">
      <c r="A104" t="s">
        <v>191</v>
      </c>
      <c r="B104">
        <v>10022803</v>
      </c>
      <c r="C104" t="s">
        <v>190</v>
      </c>
      <c r="D104" s="2">
        <v>1</v>
      </c>
      <c r="E104" s="2"/>
      <c r="F104" s="2"/>
      <c r="G104" s="2"/>
      <c r="H104" s="2">
        <v>1</v>
      </c>
    </row>
    <row r="105" spans="1:8">
      <c r="A105" t="s">
        <v>556</v>
      </c>
      <c r="B105">
        <v>10018557</v>
      </c>
      <c r="C105" t="s">
        <v>555</v>
      </c>
      <c r="D105" s="2"/>
      <c r="E105" s="2"/>
      <c r="F105" s="2"/>
      <c r="G105" s="2"/>
      <c r="H105" s="2">
        <v>1</v>
      </c>
    </row>
    <row r="106" spans="1:8">
      <c r="A106" t="s">
        <v>558</v>
      </c>
      <c r="B106">
        <v>10029461</v>
      </c>
      <c r="C106" t="s">
        <v>557</v>
      </c>
      <c r="D106" s="2"/>
      <c r="E106" s="2"/>
      <c r="F106" s="2"/>
      <c r="G106" s="2"/>
      <c r="H106" s="2">
        <v>1</v>
      </c>
    </row>
    <row r="107" spans="1:8">
      <c r="A107" t="s">
        <v>67</v>
      </c>
      <c r="B107">
        <v>10007542</v>
      </c>
      <c r="C107" t="s">
        <v>66</v>
      </c>
      <c r="D107" s="2">
        <v>2</v>
      </c>
      <c r="E107" s="2">
        <v>1</v>
      </c>
      <c r="F107" s="2">
        <v>1</v>
      </c>
      <c r="G107" s="2">
        <v>1</v>
      </c>
      <c r="H107" s="2"/>
    </row>
    <row r="108" spans="1:8">
      <c r="A108" t="s">
        <v>90</v>
      </c>
      <c r="B108">
        <v>10013781</v>
      </c>
      <c r="C108" t="s">
        <v>89</v>
      </c>
      <c r="D108" s="2">
        <v>4</v>
      </c>
      <c r="E108" s="2">
        <v>1</v>
      </c>
      <c r="F108" s="2"/>
      <c r="G108" s="2">
        <v>1</v>
      </c>
      <c r="H108" s="2"/>
    </row>
    <row r="109" spans="1:8">
      <c r="A109" t="s">
        <v>564</v>
      </c>
      <c r="B109">
        <v>10025413</v>
      </c>
      <c r="C109" t="s">
        <v>563</v>
      </c>
      <c r="D109" s="2"/>
      <c r="E109" s="2"/>
      <c r="F109" s="2"/>
      <c r="G109" s="2"/>
      <c r="H109" s="2">
        <v>1</v>
      </c>
    </row>
    <row r="110" spans="1:8">
      <c r="A110" t="s">
        <v>245</v>
      </c>
      <c r="B110">
        <v>10030888</v>
      </c>
      <c r="C110" t="s">
        <v>244</v>
      </c>
      <c r="D110" s="2">
        <v>2</v>
      </c>
      <c r="E110" s="2">
        <v>1</v>
      </c>
      <c r="F110" s="2">
        <v>1</v>
      </c>
      <c r="G110" s="2">
        <v>1</v>
      </c>
      <c r="H110" s="2"/>
    </row>
    <row r="111" spans="1:8">
      <c r="A111" t="s">
        <v>566</v>
      </c>
      <c r="B111">
        <v>10011962</v>
      </c>
      <c r="C111" t="s">
        <v>565</v>
      </c>
      <c r="D111" s="2"/>
      <c r="E111" s="2"/>
      <c r="F111" s="2"/>
      <c r="G111" s="2"/>
      <c r="H111" s="2">
        <v>1</v>
      </c>
    </row>
    <row r="112" spans="1:8">
      <c r="A112" t="s">
        <v>114</v>
      </c>
      <c r="B112">
        <v>10018142</v>
      </c>
      <c r="C112" t="s">
        <v>113</v>
      </c>
      <c r="D112" s="2">
        <v>1</v>
      </c>
      <c r="E112" s="2"/>
      <c r="F112" s="2">
        <v>1</v>
      </c>
      <c r="G112" s="2"/>
      <c r="H112" s="2">
        <v>1</v>
      </c>
    </row>
    <row r="113" spans="1:8">
      <c r="A113" t="s">
        <v>129</v>
      </c>
      <c r="B113">
        <v>10018951</v>
      </c>
      <c r="C113" t="s">
        <v>128</v>
      </c>
      <c r="D113" s="2"/>
      <c r="E113" s="2"/>
      <c r="F113" s="2"/>
      <c r="G113" s="2"/>
      <c r="H113" s="2">
        <v>1</v>
      </c>
    </row>
    <row r="114" spans="1:8">
      <c r="A114" t="s">
        <v>123</v>
      </c>
      <c r="B114">
        <v>10018687</v>
      </c>
      <c r="C114" t="s">
        <v>122</v>
      </c>
      <c r="D114" s="2"/>
      <c r="E114" s="2">
        <v>1</v>
      </c>
      <c r="F114" s="2"/>
      <c r="G114" s="2"/>
      <c r="H114" s="2">
        <v>1</v>
      </c>
    </row>
    <row r="115" spans="1:8">
      <c r="A115" t="s">
        <v>172</v>
      </c>
      <c r="B115">
        <v>10021534</v>
      </c>
      <c r="C115" t="s">
        <v>171</v>
      </c>
      <c r="D115" s="2">
        <v>2</v>
      </c>
      <c r="E115" s="2">
        <v>2</v>
      </c>
      <c r="F115" s="2">
        <v>1</v>
      </c>
      <c r="G115" s="2">
        <v>1</v>
      </c>
      <c r="H115" s="2"/>
    </row>
    <row r="116" spans="1:8">
      <c r="A116" t="s">
        <v>184</v>
      </c>
      <c r="B116">
        <v>10022317</v>
      </c>
      <c r="C116" t="s">
        <v>183</v>
      </c>
      <c r="D116" s="2">
        <v>2</v>
      </c>
      <c r="E116" s="2">
        <v>1</v>
      </c>
      <c r="F116" s="2">
        <v>1</v>
      </c>
      <c r="G116" s="2">
        <v>1</v>
      </c>
      <c r="H116" s="2"/>
    </row>
    <row r="117" spans="1:8">
      <c r="A117" t="s">
        <v>573</v>
      </c>
      <c r="B117">
        <v>10031766</v>
      </c>
      <c r="C117" t="s">
        <v>572</v>
      </c>
      <c r="D117" s="2"/>
      <c r="E117" s="2"/>
      <c r="F117" s="2"/>
      <c r="G117" s="2"/>
      <c r="H117" s="2">
        <v>1</v>
      </c>
    </row>
    <row r="118" spans="1:8">
      <c r="A118" t="s">
        <v>140</v>
      </c>
      <c r="B118">
        <v>10019336</v>
      </c>
      <c r="C118" t="s">
        <v>139</v>
      </c>
      <c r="D118" s="2">
        <v>3</v>
      </c>
      <c r="E118" s="2">
        <v>1</v>
      </c>
      <c r="F118" s="2">
        <v>1</v>
      </c>
      <c r="G118" s="2">
        <v>1</v>
      </c>
      <c r="H118" s="2"/>
    </row>
    <row r="119" spans="1:8">
      <c r="A119" t="s">
        <v>174</v>
      </c>
      <c r="B119">
        <v>10021546</v>
      </c>
      <c r="C119" t="s">
        <v>173</v>
      </c>
      <c r="D119" s="2">
        <v>2</v>
      </c>
      <c r="E119" s="2">
        <v>2</v>
      </c>
      <c r="F119" s="2">
        <v>1</v>
      </c>
      <c r="G119" s="2">
        <v>1</v>
      </c>
      <c r="H119" s="2"/>
    </row>
    <row r="120" spans="1:8">
      <c r="A120" t="s">
        <v>577</v>
      </c>
      <c r="B120">
        <v>10029924</v>
      </c>
      <c r="C120" t="s">
        <v>576</v>
      </c>
      <c r="D120" s="2"/>
      <c r="E120" s="2"/>
      <c r="F120" s="2"/>
      <c r="G120" s="2"/>
      <c r="H120" s="2">
        <v>1</v>
      </c>
    </row>
    <row r="121" spans="1:8">
      <c r="A121" t="s">
        <v>579</v>
      </c>
      <c r="B121">
        <v>10030391</v>
      </c>
      <c r="C121" t="s">
        <v>578</v>
      </c>
      <c r="D121" s="2"/>
      <c r="E121" s="2"/>
      <c r="F121" s="2"/>
      <c r="G121" s="2"/>
      <c r="H121" s="2">
        <v>1</v>
      </c>
    </row>
    <row r="122" spans="1:8">
      <c r="A122" t="s">
        <v>227</v>
      </c>
      <c r="B122">
        <v>10029408</v>
      </c>
      <c r="C122" t="s">
        <v>226</v>
      </c>
      <c r="D122" s="2"/>
      <c r="E122" s="2">
        <v>1</v>
      </c>
      <c r="F122" s="2"/>
      <c r="G122" s="2"/>
      <c r="H122" s="2">
        <v>1</v>
      </c>
    </row>
    <row r="123" spans="1:8">
      <c r="A123" t="s">
        <v>118</v>
      </c>
      <c r="B123">
        <v>10018552</v>
      </c>
      <c r="C123" t="s">
        <v>117</v>
      </c>
      <c r="D123" s="2">
        <v>2</v>
      </c>
      <c r="E123" s="2">
        <v>1</v>
      </c>
      <c r="F123" s="2">
        <v>1</v>
      </c>
      <c r="G123" s="2"/>
      <c r="H123" s="2"/>
    </row>
    <row r="124" spans="1:8">
      <c r="B124">
        <v>10022505</v>
      </c>
      <c r="C124" t="s">
        <v>187</v>
      </c>
      <c r="D124" s="2">
        <v>2</v>
      </c>
      <c r="E124" s="2">
        <v>1</v>
      </c>
      <c r="F124" s="2">
        <v>1</v>
      </c>
      <c r="G124" s="2">
        <v>1</v>
      </c>
      <c r="H124" s="2"/>
    </row>
    <row r="125" spans="1:8">
      <c r="A125" t="s">
        <v>585</v>
      </c>
      <c r="B125">
        <v>10013918</v>
      </c>
      <c r="C125" t="s">
        <v>584</v>
      </c>
      <c r="D125" s="2"/>
      <c r="E125" s="2"/>
      <c r="F125" s="2"/>
      <c r="G125" s="2"/>
      <c r="H125" s="2">
        <v>1</v>
      </c>
    </row>
    <row r="126" spans="1:8">
      <c r="A126" t="s">
        <v>17</v>
      </c>
      <c r="B126">
        <v>10002063</v>
      </c>
      <c r="C126" t="s">
        <v>16</v>
      </c>
      <c r="D126" s="2">
        <v>1</v>
      </c>
      <c r="E126" s="2"/>
      <c r="F126" s="2"/>
      <c r="G126" s="2"/>
      <c r="H126" s="2">
        <v>1</v>
      </c>
    </row>
    <row r="127" spans="1:8">
      <c r="A127" t="s">
        <v>180</v>
      </c>
      <c r="B127">
        <v>10021905</v>
      </c>
      <c r="C127" t="s">
        <v>179</v>
      </c>
      <c r="D127" s="2">
        <v>1</v>
      </c>
      <c r="E127" s="2">
        <v>1</v>
      </c>
      <c r="F127" s="2">
        <v>1</v>
      </c>
      <c r="G127" s="2">
        <v>1</v>
      </c>
      <c r="H127" s="2"/>
    </row>
    <row r="128" spans="1:8">
      <c r="A128" t="s">
        <v>42</v>
      </c>
      <c r="B128">
        <v>10002657</v>
      </c>
      <c r="C128" t="s">
        <v>41</v>
      </c>
      <c r="D128" s="2">
        <v>1</v>
      </c>
      <c r="E128" s="2">
        <v>1</v>
      </c>
      <c r="F128" s="2"/>
      <c r="G128" s="2">
        <v>1</v>
      </c>
      <c r="H128" s="2"/>
    </row>
    <row r="129" spans="1:8">
      <c r="A129" t="s">
        <v>233</v>
      </c>
      <c r="B129">
        <v>10029619</v>
      </c>
      <c r="C129" t="s">
        <v>232</v>
      </c>
      <c r="D129" s="2"/>
      <c r="E129" s="2">
        <v>1</v>
      </c>
      <c r="F129" s="2"/>
      <c r="G129" s="2"/>
      <c r="H129" s="2">
        <v>1</v>
      </c>
    </row>
    <row r="130" spans="1:8">
      <c r="A130" t="s">
        <v>215</v>
      </c>
      <c r="B130">
        <v>10025994</v>
      </c>
      <c r="C130" t="s">
        <v>214</v>
      </c>
      <c r="D130" s="2">
        <v>1</v>
      </c>
      <c r="E130" s="2">
        <v>1</v>
      </c>
      <c r="F130" s="2">
        <v>1</v>
      </c>
      <c r="G130" s="2">
        <v>1</v>
      </c>
      <c r="H130" s="2"/>
    </row>
    <row r="131" spans="1:8">
      <c r="A131" t="s">
        <v>51</v>
      </c>
      <c r="B131">
        <v>10003624</v>
      </c>
      <c r="C131" t="s">
        <v>50</v>
      </c>
      <c r="D131" s="2">
        <v>2</v>
      </c>
      <c r="E131" s="2">
        <v>2</v>
      </c>
      <c r="F131" s="2">
        <v>1</v>
      </c>
      <c r="G131" s="2">
        <v>1</v>
      </c>
      <c r="H131" s="2"/>
    </row>
    <row r="132" spans="1:8">
      <c r="A132" t="s">
        <v>144</v>
      </c>
      <c r="B132">
        <v>10019410</v>
      </c>
      <c r="C132" t="s">
        <v>143</v>
      </c>
      <c r="D132" s="2">
        <v>1</v>
      </c>
      <c r="E132" s="2">
        <v>1</v>
      </c>
      <c r="F132" s="2">
        <v>1</v>
      </c>
      <c r="G132" s="2">
        <v>1</v>
      </c>
      <c r="H132" s="2"/>
    </row>
    <row r="133" spans="1:8">
      <c r="A133" t="s">
        <v>589</v>
      </c>
      <c r="B133">
        <v>10007548</v>
      </c>
      <c r="C133" t="s">
        <v>588</v>
      </c>
      <c r="D133" s="2"/>
      <c r="E133" s="2"/>
      <c r="F133" s="2"/>
      <c r="G133" s="2"/>
      <c r="H133" s="2">
        <v>1</v>
      </c>
    </row>
    <row r="134" spans="1:8">
      <c r="A134" t="s">
        <v>203</v>
      </c>
      <c r="B134">
        <v>10023676</v>
      </c>
      <c r="C134" t="s">
        <v>202</v>
      </c>
      <c r="D134" s="2"/>
      <c r="E134" s="2"/>
      <c r="F134" s="2"/>
      <c r="G134" s="2"/>
      <c r="H134" s="2">
        <v>1</v>
      </c>
    </row>
    <row r="135" spans="1:8">
      <c r="A135" t="s">
        <v>86</v>
      </c>
      <c r="B135">
        <v>10012158</v>
      </c>
      <c r="C135" t="s">
        <v>85</v>
      </c>
      <c r="D135" s="2">
        <v>1</v>
      </c>
      <c r="E135" s="2">
        <v>1</v>
      </c>
      <c r="F135" s="2">
        <v>1</v>
      </c>
      <c r="G135" s="2">
        <v>1</v>
      </c>
      <c r="H135" s="2"/>
    </row>
    <row r="136" spans="1:8">
      <c r="A136" t="s">
        <v>170</v>
      </c>
      <c r="B136">
        <v>10021528</v>
      </c>
      <c r="C136" t="s">
        <v>169</v>
      </c>
      <c r="D136" s="2">
        <v>1</v>
      </c>
      <c r="E136" s="2">
        <v>1</v>
      </c>
      <c r="F136" s="2">
        <v>1</v>
      </c>
      <c r="G136" s="2">
        <v>1</v>
      </c>
      <c r="H136" s="2"/>
    </row>
    <row r="137" spans="1:8">
      <c r="A137" t="s">
        <v>37</v>
      </c>
      <c r="B137">
        <v>10002641</v>
      </c>
      <c r="C137" t="s">
        <v>36</v>
      </c>
      <c r="D137" s="2">
        <v>2</v>
      </c>
      <c r="E137" s="2">
        <v>3</v>
      </c>
      <c r="F137" s="2">
        <v>1</v>
      </c>
      <c r="G137" s="2">
        <v>1</v>
      </c>
      <c r="H137" s="2"/>
    </row>
    <row r="138" spans="1:8">
      <c r="A138" t="s">
        <v>110</v>
      </c>
      <c r="B138">
        <v>10017703</v>
      </c>
      <c r="C138" t="s">
        <v>109</v>
      </c>
      <c r="D138" s="2">
        <v>1</v>
      </c>
      <c r="E138" s="2">
        <v>1</v>
      </c>
      <c r="F138" s="2">
        <v>1</v>
      </c>
      <c r="G138" s="2">
        <v>1</v>
      </c>
      <c r="H138" s="2"/>
    </row>
    <row r="139" spans="1:8">
      <c r="A139" t="s">
        <v>221</v>
      </c>
      <c r="B139">
        <v>10028602</v>
      </c>
      <c r="C139" t="s">
        <v>220</v>
      </c>
      <c r="D139" s="2">
        <v>1</v>
      </c>
      <c r="E139" s="2">
        <v>1</v>
      </c>
      <c r="F139" s="2">
        <v>1</v>
      </c>
      <c r="G139" s="2">
        <v>1</v>
      </c>
      <c r="H139" s="2"/>
    </row>
    <row r="140" spans="1:8">
      <c r="A140" t="s">
        <v>591</v>
      </c>
      <c r="B140">
        <v>10015655</v>
      </c>
      <c r="C140" t="s">
        <v>590</v>
      </c>
      <c r="D140" s="2"/>
      <c r="E140" s="2"/>
      <c r="F140" s="2"/>
      <c r="G140" s="2"/>
      <c r="H140" s="2">
        <v>1</v>
      </c>
    </row>
    <row r="141" spans="1:8">
      <c r="A141" t="s">
        <v>593</v>
      </c>
      <c r="B141">
        <v>10003736</v>
      </c>
      <c r="C141" t="s">
        <v>592</v>
      </c>
      <c r="D141" s="2"/>
      <c r="E141" s="2"/>
      <c r="F141" s="2"/>
      <c r="G141" s="2"/>
      <c r="H141" s="2">
        <v>1</v>
      </c>
    </row>
    <row r="142" spans="1:8">
      <c r="A142" t="s">
        <v>239</v>
      </c>
      <c r="B142">
        <v>10030220</v>
      </c>
      <c r="C142" t="s">
        <v>238</v>
      </c>
      <c r="D142" s="2">
        <v>1</v>
      </c>
      <c r="E142" s="2">
        <v>1</v>
      </c>
      <c r="F142" s="2">
        <v>1</v>
      </c>
      <c r="G142" s="2">
        <v>1</v>
      </c>
      <c r="H142" s="2"/>
    </row>
    <row r="143" spans="1:8">
      <c r="A143" t="s">
        <v>92</v>
      </c>
      <c r="B143">
        <v>10013982</v>
      </c>
      <c r="C143" t="s">
        <v>91</v>
      </c>
      <c r="D143" s="2">
        <v>2</v>
      </c>
      <c r="E143" s="2">
        <v>1</v>
      </c>
      <c r="F143" s="2">
        <v>1</v>
      </c>
      <c r="G143" s="2">
        <v>1</v>
      </c>
      <c r="H143" s="2"/>
    </row>
    <row r="144" spans="1:8">
      <c r="A144" t="s">
        <v>219</v>
      </c>
      <c r="B144">
        <v>10028508</v>
      </c>
      <c r="C144" t="s">
        <v>218</v>
      </c>
      <c r="D144" s="2"/>
      <c r="E144" s="2"/>
      <c r="F144" s="2"/>
      <c r="G144" s="2"/>
      <c r="H144" s="2">
        <v>1</v>
      </c>
    </row>
    <row r="145" spans="1:8">
      <c r="A145" t="s">
        <v>595</v>
      </c>
      <c r="B145">
        <v>10016810</v>
      </c>
      <c r="C145" t="s">
        <v>594</v>
      </c>
      <c r="D145" s="2"/>
      <c r="E145" s="2"/>
      <c r="F145" s="2"/>
      <c r="G145" s="2"/>
      <c r="H145" s="2">
        <v>1</v>
      </c>
    </row>
    <row r="146" spans="1:8">
      <c r="A146" t="s">
        <v>597</v>
      </c>
      <c r="B146">
        <v>10030379</v>
      </c>
      <c r="C146" t="s">
        <v>596</v>
      </c>
      <c r="D146" s="2"/>
      <c r="E146" s="2"/>
      <c r="F146" s="2"/>
      <c r="G146" s="2"/>
      <c r="H146" s="2">
        <v>1</v>
      </c>
    </row>
    <row r="147" spans="1:8">
      <c r="A147" t="s">
        <v>58</v>
      </c>
      <c r="B147">
        <v>10005402</v>
      </c>
      <c r="C147" t="s">
        <v>57</v>
      </c>
      <c r="D147" s="2">
        <v>1</v>
      </c>
      <c r="E147" s="2"/>
      <c r="F147" s="2"/>
      <c r="G147" s="2"/>
      <c r="H147" s="2">
        <v>1</v>
      </c>
    </row>
    <row r="148" spans="1:8">
      <c r="A148" t="s">
        <v>601</v>
      </c>
      <c r="B148">
        <v>10030832</v>
      </c>
      <c r="C148" t="s">
        <v>600</v>
      </c>
      <c r="D148" s="2"/>
      <c r="E148" s="2"/>
      <c r="F148" s="2"/>
      <c r="G148" s="2"/>
      <c r="H148" s="2">
        <v>1</v>
      </c>
    </row>
    <row r="149" spans="1:8">
      <c r="A149" t="s">
        <v>205</v>
      </c>
      <c r="B149">
        <v>10023684</v>
      </c>
      <c r="C149" t="s">
        <v>204</v>
      </c>
      <c r="D149" s="2"/>
      <c r="E149" s="2">
        <v>1</v>
      </c>
      <c r="F149" s="2"/>
      <c r="G149" s="2"/>
      <c r="H149" s="2">
        <v>1</v>
      </c>
    </row>
    <row r="150" spans="1:8">
      <c r="A150" t="s">
        <v>209</v>
      </c>
      <c r="B150">
        <v>10025286</v>
      </c>
      <c r="C150" t="s">
        <v>208</v>
      </c>
      <c r="D150" s="2">
        <v>3</v>
      </c>
      <c r="E150" s="2"/>
      <c r="F150" s="2"/>
      <c r="G150" s="2"/>
      <c r="H150" s="2">
        <v>1</v>
      </c>
    </row>
    <row r="151" spans="1:8">
      <c r="A151" t="s">
        <v>229</v>
      </c>
      <c r="B151">
        <v>10029413</v>
      </c>
      <c r="C151" t="s">
        <v>228</v>
      </c>
      <c r="D151" s="2">
        <v>1</v>
      </c>
      <c r="E151" s="2">
        <v>1</v>
      </c>
      <c r="F151" s="2">
        <v>1</v>
      </c>
      <c r="G151" s="2">
        <v>1</v>
      </c>
      <c r="H151" s="2"/>
    </row>
    <row r="152" spans="1:8">
      <c r="A152" t="s">
        <v>40</v>
      </c>
      <c r="B152">
        <v>10002644</v>
      </c>
      <c r="C152" t="s">
        <v>39</v>
      </c>
      <c r="D152" s="2">
        <v>1</v>
      </c>
      <c r="E152" s="2"/>
      <c r="F152" s="2"/>
      <c r="G152" s="2"/>
      <c r="H152" s="2">
        <v>1</v>
      </c>
    </row>
    <row r="153" spans="1:8">
      <c r="A153" t="s">
        <v>133</v>
      </c>
      <c r="B153">
        <v>10019114</v>
      </c>
      <c r="C153" t="s">
        <v>132</v>
      </c>
      <c r="D153" s="2">
        <v>1</v>
      </c>
      <c r="E153" s="2">
        <v>1</v>
      </c>
      <c r="F153" s="2">
        <v>1</v>
      </c>
      <c r="G153" s="2">
        <v>1</v>
      </c>
      <c r="H153" s="2"/>
    </row>
    <row r="154" spans="1:8">
      <c r="A154" t="s">
        <v>88</v>
      </c>
      <c r="B154">
        <v>10012238</v>
      </c>
      <c r="C154" t="s">
        <v>87</v>
      </c>
      <c r="D154" s="2">
        <v>3</v>
      </c>
      <c r="E154" s="2">
        <v>1</v>
      </c>
      <c r="F154" s="2">
        <v>1</v>
      </c>
      <c r="G154" s="2">
        <v>1</v>
      </c>
      <c r="H154" s="2"/>
    </row>
    <row r="155" spans="1:8">
      <c r="A155" t="s">
        <v>65</v>
      </c>
      <c r="B155">
        <v>10007071</v>
      </c>
      <c r="C155" t="s">
        <v>64</v>
      </c>
      <c r="D155" s="2">
        <v>1</v>
      </c>
      <c r="E155" s="2">
        <v>1</v>
      </c>
      <c r="F155" s="2">
        <v>1</v>
      </c>
      <c r="G155" s="2">
        <v>1</v>
      </c>
      <c r="H155" s="2"/>
    </row>
    <row r="156" spans="1:8">
      <c r="A156" t="s">
        <v>241</v>
      </c>
      <c r="B156">
        <v>10030244</v>
      </c>
      <c r="C156" t="s">
        <v>240</v>
      </c>
      <c r="D156" s="2">
        <v>1</v>
      </c>
      <c r="E156" s="2">
        <v>2</v>
      </c>
      <c r="F156" s="2">
        <v>3</v>
      </c>
      <c r="G156" s="2">
        <v>1</v>
      </c>
      <c r="H156" s="2"/>
    </row>
    <row r="157" spans="1:8">
      <c r="A157" t="s">
        <v>211</v>
      </c>
      <c r="B157">
        <v>10025918</v>
      </c>
      <c r="C157" t="s">
        <v>210</v>
      </c>
      <c r="D157" s="2">
        <v>1</v>
      </c>
      <c r="E157" s="2"/>
      <c r="F157" s="2"/>
      <c r="G157" s="2"/>
      <c r="H157" s="2">
        <v>1</v>
      </c>
    </row>
    <row r="158" spans="1:8">
      <c r="A158" t="s">
        <v>82</v>
      </c>
      <c r="B158">
        <v>10011965</v>
      </c>
      <c r="C158" t="s">
        <v>81</v>
      </c>
      <c r="D158" s="2">
        <v>1</v>
      </c>
      <c r="E158" s="2">
        <v>1</v>
      </c>
      <c r="F158" s="2">
        <v>1</v>
      </c>
      <c r="G158" s="2">
        <v>1</v>
      </c>
      <c r="H158" s="2"/>
    </row>
    <row r="159" spans="1:8">
      <c r="A159" t="s">
        <v>231</v>
      </c>
      <c r="B159">
        <v>10029414</v>
      </c>
      <c r="C159" t="s">
        <v>230</v>
      </c>
      <c r="D159" s="2">
        <v>1</v>
      </c>
      <c r="E159" s="2">
        <v>1</v>
      </c>
      <c r="F159" s="2">
        <v>1</v>
      </c>
      <c r="G159" s="2">
        <v>1</v>
      </c>
      <c r="H159" s="2"/>
    </row>
    <row r="160" spans="1:8">
      <c r="A160" t="s">
        <v>207</v>
      </c>
      <c r="B160">
        <v>10024482</v>
      </c>
      <c r="C160" t="s">
        <v>206</v>
      </c>
      <c r="D160" s="2">
        <v>1</v>
      </c>
      <c r="E160" s="2">
        <v>1</v>
      </c>
      <c r="F160" s="2">
        <v>1</v>
      </c>
      <c r="G160" s="2">
        <v>1</v>
      </c>
      <c r="H160" s="2"/>
    </row>
    <row r="161" spans="1:8">
      <c r="A161" t="s">
        <v>611</v>
      </c>
      <c r="B161">
        <v>10023509</v>
      </c>
      <c r="C161" t="s">
        <v>610</v>
      </c>
      <c r="D161" s="2"/>
      <c r="E161" s="2"/>
      <c r="F161" s="2"/>
      <c r="G161" s="2"/>
      <c r="H161" s="2">
        <v>1</v>
      </c>
    </row>
    <row r="162" spans="1:8">
      <c r="A162" t="s">
        <v>494</v>
      </c>
      <c r="B162">
        <v>10017159</v>
      </c>
      <c r="C162" t="s">
        <v>493</v>
      </c>
      <c r="D162" s="2"/>
      <c r="E162" s="2"/>
      <c r="F162" s="2"/>
      <c r="G162" s="2"/>
      <c r="H162" s="2">
        <v>1</v>
      </c>
    </row>
    <row r="163" spans="1:8">
      <c r="A163" t="s">
        <v>282</v>
      </c>
      <c r="B163">
        <v>10022749</v>
      </c>
      <c r="C163" t="s">
        <v>307</v>
      </c>
      <c r="D163" s="2">
        <v>1</v>
      </c>
      <c r="E163" s="2">
        <v>1</v>
      </c>
      <c r="F163" s="2">
        <v>1</v>
      </c>
      <c r="G163" s="2">
        <v>1</v>
      </c>
      <c r="H163" s="2"/>
    </row>
    <row r="164" spans="1:8">
      <c r="A164" t="s">
        <v>283</v>
      </c>
      <c r="B164">
        <v>10002342</v>
      </c>
      <c r="C164" t="s">
        <v>308</v>
      </c>
      <c r="D164" s="2">
        <v>3</v>
      </c>
      <c r="E164" s="2">
        <v>1</v>
      </c>
      <c r="F164" s="2">
        <v>1</v>
      </c>
      <c r="G164" s="2">
        <v>1</v>
      </c>
      <c r="H164" s="2"/>
    </row>
    <row r="165" spans="1:8">
      <c r="A165" t="s">
        <v>284</v>
      </c>
      <c r="B165">
        <v>10029777</v>
      </c>
      <c r="C165" t="s">
        <v>309</v>
      </c>
      <c r="D165" s="2"/>
      <c r="E165" s="2"/>
      <c r="F165" s="2">
        <v>1</v>
      </c>
      <c r="G165" s="2"/>
      <c r="H165" s="2">
        <v>1</v>
      </c>
    </row>
    <row r="166" spans="1:8">
      <c r="A166" t="s">
        <v>500</v>
      </c>
      <c r="B166">
        <v>10030407</v>
      </c>
      <c r="C166" t="s">
        <v>499</v>
      </c>
      <c r="D166" s="2"/>
      <c r="E166" s="2"/>
      <c r="F166" s="2"/>
      <c r="G166" s="2"/>
      <c r="H166" s="2">
        <v>1</v>
      </c>
    </row>
    <row r="167" spans="1:8">
      <c r="A167" t="s">
        <v>285</v>
      </c>
      <c r="B167">
        <v>10031135</v>
      </c>
      <c r="C167" t="s">
        <v>310</v>
      </c>
      <c r="D167" s="2">
        <v>1</v>
      </c>
      <c r="E167" s="2">
        <v>1</v>
      </c>
      <c r="F167" s="2">
        <v>1</v>
      </c>
      <c r="G167" s="2">
        <v>1</v>
      </c>
      <c r="H167" s="2"/>
    </row>
    <row r="168" spans="1:8">
      <c r="A168" t="s">
        <v>286</v>
      </c>
      <c r="B168">
        <v>10011953</v>
      </c>
      <c r="C168" t="s">
        <v>311</v>
      </c>
      <c r="D168" s="2">
        <v>6</v>
      </c>
      <c r="E168" s="2"/>
      <c r="F168" s="2"/>
      <c r="G168" s="2"/>
      <c r="H168" s="2">
        <v>1</v>
      </c>
    </row>
    <row r="169" spans="1:8">
      <c r="A169" t="s">
        <v>506</v>
      </c>
      <c r="B169">
        <v>10026046</v>
      </c>
      <c r="C169" t="s">
        <v>505</v>
      </c>
      <c r="D169" s="2"/>
      <c r="E169" s="2"/>
      <c r="F169" s="2"/>
      <c r="G169" s="2"/>
      <c r="H169" s="2">
        <v>1</v>
      </c>
    </row>
    <row r="170" spans="1:8">
      <c r="A170" t="s">
        <v>287</v>
      </c>
      <c r="B170">
        <v>10002651</v>
      </c>
      <c r="C170" t="s">
        <v>313</v>
      </c>
      <c r="D170" s="2">
        <v>1</v>
      </c>
      <c r="E170" s="2">
        <v>1</v>
      </c>
      <c r="F170" s="2">
        <v>2</v>
      </c>
      <c r="G170" s="2">
        <v>1</v>
      </c>
      <c r="H170" s="2"/>
    </row>
    <row r="171" spans="1:8">
      <c r="A171" t="s">
        <v>288</v>
      </c>
      <c r="B171">
        <v>10022502</v>
      </c>
      <c r="C171" t="s">
        <v>314</v>
      </c>
      <c r="D171" s="2">
        <v>2</v>
      </c>
      <c r="E171" s="2">
        <v>2</v>
      </c>
      <c r="F171" s="2">
        <v>2</v>
      </c>
      <c r="G171" s="2">
        <v>1</v>
      </c>
      <c r="H171" s="2"/>
    </row>
    <row r="172" spans="1:8">
      <c r="A172" t="s">
        <v>289</v>
      </c>
      <c r="B172">
        <v>10016744</v>
      </c>
      <c r="C172" t="s">
        <v>316</v>
      </c>
      <c r="D172" s="2">
        <v>1</v>
      </c>
      <c r="E172" s="2"/>
      <c r="F172" s="2"/>
      <c r="G172" s="2"/>
      <c r="H172" s="2">
        <v>1</v>
      </c>
    </row>
    <row r="173" spans="1:8">
      <c r="A173" t="s">
        <v>520</v>
      </c>
      <c r="B173">
        <v>10004820</v>
      </c>
      <c r="C173" t="s">
        <v>519</v>
      </c>
      <c r="D173" s="2"/>
      <c r="E173" s="2"/>
      <c r="F173" s="2"/>
      <c r="G173" s="2"/>
      <c r="H173" s="2">
        <v>1</v>
      </c>
    </row>
    <row r="174" spans="1:8">
      <c r="A174" t="s">
        <v>290</v>
      </c>
      <c r="B174">
        <v>10020637</v>
      </c>
      <c r="C174" t="s">
        <v>317</v>
      </c>
      <c r="D174" s="2">
        <v>1</v>
      </c>
      <c r="E174" s="2">
        <v>2</v>
      </c>
      <c r="F174" s="2"/>
      <c r="G174" s="2">
        <v>1</v>
      </c>
      <c r="H174" s="2"/>
    </row>
    <row r="175" spans="1:8">
      <c r="A175" t="s">
        <v>291</v>
      </c>
      <c r="B175">
        <v>10029303</v>
      </c>
      <c r="C175" t="s">
        <v>318</v>
      </c>
      <c r="D175" s="2">
        <v>1</v>
      </c>
      <c r="E175" s="2">
        <v>1</v>
      </c>
      <c r="F175" s="2">
        <v>1</v>
      </c>
      <c r="G175" s="2">
        <v>1</v>
      </c>
      <c r="H175" s="2"/>
    </row>
    <row r="176" spans="1:8">
      <c r="A176" t="s">
        <v>526</v>
      </c>
      <c r="B176">
        <v>10024688</v>
      </c>
      <c r="C176" t="s">
        <v>525</v>
      </c>
      <c r="D176" s="2"/>
      <c r="E176" s="2"/>
      <c r="F176" s="2"/>
      <c r="G176" s="2"/>
      <c r="H176" s="2">
        <v>1</v>
      </c>
    </row>
    <row r="177" spans="1:8">
      <c r="A177" t="s">
        <v>292</v>
      </c>
      <c r="B177">
        <v>10016624</v>
      </c>
      <c r="C177" t="s">
        <v>319</v>
      </c>
      <c r="D177" s="2">
        <v>2</v>
      </c>
      <c r="E177" s="2">
        <v>2</v>
      </c>
      <c r="F177" s="2">
        <v>1</v>
      </c>
      <c r="G177" s="2">
        <v>1</v>
      </c>
      <c r="H177" s="2"/>
    </row>
    <row r="178" spans="1:8">
      <c r="A178" t="s">
        <v>538</v>
      </c>
      <c r="B178">
        <v>10002632</v>
      </c>
      <c r="C178" t="s">
        <v>537</v>
      </c>
      <c r="D178" s="2"/>
      <c r="E178" s="2"/>
      <c r="F178" s="2"/>
      <c r="G178" s="2"/>
      <c r="H178" s="2">
        <v>1</v>
      </c>
    </row>
    <row r="179" spans="1:8">
      <c r="A179" t="s">
        <v>293</v>
      </c>
      <c r="B179">
        <v>10019574</v>
      </c>
      <c r="C179" t="s">
        <v>320</v>
      </c>
      <c r="D179" s="2">
        <v>1</v>
      </c>
      <c r="E179" s="2">
        <v>1</v>
      </c>
      <c r="F179" s="2">
        <v>2</v>
      </c>
      <c r="G179" s="2">
        <v>1</v>
      </c>
      <c r="H179" s="2"/>
    </row>
    <row r="180" spans="1:8">
      <c r="A180" t="s">
        <v>294</v>
      </c>
      <c r="B180">
        <v>10022079</v>
      </c>
      <c r="C180" t="s">
        <v>321</v>
      </c>
      <c r="D180" s="2">
        <v>1</v>
      </c>
      <c r="E180" s="2">
        <v>1</v>
      </c>
      <c r="F180" s="2">
        <v>2</v>
      </c>
      <c r="G180" s="2">
        <v>1</v>
      </c>
      <c r="H180" s="2"/>
    </row>
    <row r="181" spans="1:8">
      <c r="A181" t="s">
        <v>295</v>
      </c>
      <c r="B181">
        <v>10016946</v>
      </c>
      <c r="C181" t="s">
        <v>322</v>
      </c>
      <c r="D181" s="2">
        <v>2</v>
      </c>
      <c r="E181" s="2">
        <v>2</v>
      </c>
      <c r="F181" s="2">
        <v>1</v>
      </c>
      <c r="G181" s="2">
        <v>1</v>
      </c>
      <c r="H181" s="2"/>
    </row>
    <row r="182" spans="1:8">
      <c r="A182" t="s">
        <v>296</v>
      </c>
      <c r="B182">
        <v>10018146</v>
      </c>
      <c r="C182" t="s">
        <v>323</v>
      </c>
      <c r="D182" s="2">
        <v>1</v>
      </c>
      <c r="E182" s="2">
        <v>1</v>
      </c>
      <c r="F182" s="2">
        <v>1</v>
      </c>
      <c r="G182" s="2">
        <v>1</v>
      </c>
      <c r="H182" s="2"/>
    </row>
    <row r="183" spans="1:8">
      <c r="A183" t="s">
        <v>297</v>
      </c>
      <c r="B183">
        <v>10023289</v>
      </c>
      <c r="C183" t="s">
        <v>324</v>
      </c>
      <c r="D183" s="2">
        <v>1</v>
      </c>
      <c r="E183" s="2">
        <v>1</v>
      </c>
      <c r="F183" s="2">
        <v>1</v>
      </c>
      <c r="G183" s="2">
        <v>1</v>
      </c>
      <c r="H183" s="2"/>
    </row>
    <row r="184" spans="1:8">
      <c r="A184" t="s">
        <v>298</v>
      </c>
      <c r="B184">
        <v>10008580</v>
      </c>
      <c r="C184" t="s">
        <v>325</v>
      </c>
      <c r="D184" s="2">
        <v>2</v>
      </c>
      <c r="E184" s="2">
        <v>1</v>
      </c>
      <c r="F184" s="2">
        <v>2</v>
      </c>
      <c r="G184" s="2">
        <v>1</v>
      </c>
      <c r="H184" s="2"/>
    </row>
    <row r="185" spans="1:8">
      <c r="A185" t="s">
        <v>299</v>
      </c>
      <c r="B185">
        <v>10024239</v>
      </c>
      <c r="C185" t="s">
        <v>326</v>
      </c>
      <c r="D185" s="2"/>
      <c r="E185" s="2"/>
      <c r="F185" s="2"/>
      <c r="G185" s="2"/>
      <c r="H185" s="2">
        <v>1</v>
      </c>
    </row>
    <row r="186" spans="1:8">
      <c r="A186" t="s">
        <v>300</v>
      </c>
      <c r="B186">
        <v>10031100</v>
      </c>
      <c r="C186" t="s">
        <v>327</v>
      </c>
      <c r="D186" s="2">
        <v>1</v>
      </c>
      <c r="E186" s="2">
        <v>1</v>
      </c>
      <c r="F186" s="2">
        <v>1</v>
      </c>
      <c r="G186" s="2">
        <v>1</v>
      </c>
      <c r="H186" s="2"/>
    </row>
    <row r="187" spans="1:8">
      <c r="A187" t="s">
        <v>583</v>
      </c>
      <c r="B187">
        <v>10025843</v>
      </c>
      <c r="C187" t="s">
        <v>582</v>
      </c>
      <c r="D187" s="2"/>
      <c r="E187" s="2"/>
      <c r="F187" s="2"/>
      <c r="G187" s="2"/>
      <c r="H187" s="2">
        <v>1</v>
      </c>
    </row>
    <row r="188" spans="1:8">
      <c r="A188" t="s">
        <v>301</v>
      </c>
      <c r="B188">
        <v>10018762</v>
      </c>
      <c r="C188" t="s">
        <v>329</v>
      </c>
      <c r="D188" s="2">
        <v>1</v>
      </c>
      <c r="E188" s="2"/>
      <c r="F188" s="2"/>
      <c r="G188" s="2"/>
      <c r="H188" s="2">
        <v>1</v>
      </c>
    </row>
    <row r="189" spans="1:8">
      <c r="A189" t="s">
        <v>302</v>
      </c>
      <c r="B189">
        <v>10019250</v>
      </c>
      <c r="C189" t="s">
        <v>330</v>
      </c>
      <c r="D189" s="2"/>
      <c r="E189" s="2"/>
      <c r="F189" s="2"/>
      <c r="G189" s="2"/>
      <c r="H189" s="2">
        <v>1</v>
      </c>
    </row>
    <row r="190" spans="1:8">
      <c r="A190" t="s">
        <v>303</v>
      </c>
      <c r="B190">
        <v>10017281</v>
      </c>
      <c r="C190" t="s">
        <v>331</v>
      </c>
      <c r="D190" s="2">
        <v>1</v>
      </c>
      <c r="E190" s="2">
        <v>1</v>
      </c>
      <c r="F190" s="2">
        <v>1</v>
      </c>
      <c r="G190" s="2">
        <v>1</v>
      </c>
      <c r="H190" s="2"/>
    </row>
    <row r="191" spans="1:8">
      <c r="A191" t="s">
        <v>304</v>
      </c>
      <c r="B191">
        <v>10029658</v>
      </c>
      <c r="C191" t="s">
        <v>332</v>
      </c>
      <c r="D191" s="2">
        <v>2</v>
      </c>
      <c r="E191" s="2">
        <v>2</v>
      </c>
      <c r="F191" s="2">
        <v>2</v>
      </c>
      <c r="G191" s="2">
        <v>1</v>
      </c>
      <c r="H191" s="2"/>
    </row>
    <row r="192" spans="1:8">
      <c r="A192" t="s">
        <v>603</v>
      </c>
      <c r="B192">
        <v>10016485</v>
      </c>
      <c r="C192" t="s">
        <v>602</v>
      </c>
      <c r="D192" s="2"/>
      <c r="E192" s="2"/>
      <c r="F192" s="2"/>
      <c r="G192" s="2"/>
      <c r="H192" s="2">
        <v>1</v>
      </c>
    </row>
    <row r="193" spans="1:8">
      <c r="A193" t="s">
        <v>305</v>
      </c>
      <c r="B193">
        <v>10029738</v>
      </c>
      <c r="C193" t="s">
        <v>333</v>
      </c>
      <c r="D193" s="2"/>
      <c r="E193" s="2"/>
      <c r="F193" s="2"/>
      <c r="G193" s="2"/>
      <c r="H193" s="2">
        <v>1</v>
      </c>
    </row>
    <row r="194" spans="1:8">
      <c r="A194" t="s">
        <v>306</v>
      </c>
      <c r="B194">
        <v>10016441</v>
      </c>
      <c r="C194" t="s">
        <v>334</v>
      </c>
      <c r="D194" s="2">
        <v>2</v>
      </c>
      <c r="E194" s="2"/>
      <c r="F194" s="2"/>
      <c r="G194" s="2"/>
      <c r="H194" s="2">
        <v>1</v>
      </c>
    </row>
    <row r="195" spans="1:8">
      <c r="A195" t="s">
        <v>360</v>
      </c>
      <c r="B195">
        <v>10017563</v>
      </c>
      <c r="C195" t="s">
        <v>359</v>
      </c>
      <c r="D195" s="2">
        <v>2</v>
      </c>
      <c r="E195" s="2">
        <v>2</v>
      </c>
      <c r="F195" s="2">
        <v>2</v>
      </c>
      <c r="G195" s="2">
        <v>1</v>
      </c>
      <c r="H195" s="2"/>
    </row>
    <row r="196" spans="1:8">
      <c r="A196" t="s">
        <v>362</v>
      </c>
      <c r="B196">
        <v>10013329</v>
      </c>
      <c r="C196" t="s">
        <v>361</v>
      </c>
      <c r="D196" s="2">
        <v>2</v>
      </c>
      <c r="E196" s="2">
        <v>1</v>
      </c>
      <c r="F196" s="2">
        <v>2</v>
      </c>
      <c r="G196" s="2">
        <v>1</v>
      </c>
      <c r="H196" s="2"/>
    </row>
    <row r="197" spans="1:8">
      <c r="A197" t="s">
        <v>364</v>
      </c>
      <c r="B197">
        <v>10017653</v>
      </c>
      <c r="C197" t="s">
        <v>363</v>
      </c>
      <c r="D197" s="2">
        <v>3</v>
      </c>
      <c r="E197" s="2">
        <v>1</v>
      </c>
      <c r="F197" s="2">
        <v>2</v>
      </c>
      <c r="G197" s="2">
        <v>1</v>
      </c>
      <c r="H197" s="2"/>
    </row>
    <row r="198" spans="1:8">
      <c r="A198" t="s">
        <v>366</v>
      </c>
      <c r="B198">
        <v>10028963</v>
      </c>
      <c r="C198" t="s">
        <v>365</v>
      </c>
      <c r="D198" s="2"/>
      <c r="E198" s="2"/>
      <c r="F198" s="2">
        <v>1</v>
      </c>
      <c r="G198" s="2"/>
      <c r="H198" s="2">
        <v>1</v>
      </c>
    </row>
    <row r="199" spans="1:8">
      <c r="A199" t="s">
        <v>368</v>
      </c>
      <c r="B199">
        <v>10008186</v>
      </c>
      <c r="C199" t="s">
        <v>367</v>
      </c>
      <c r="D199" s="2">
        <v>2</v>
      </c>
      <c r="E199" s="2">
        <v>1</v>
      </c>
      <c r="F199" s="2">
        <v>2</v>
      </c>
      <c r="G199" s="2">
        <v>1</v>
      </c>
      <c r="H199" s="2"/>
    </row>
    <row r="200" spans="1:8">
      <c r="A200" t="s">
        <v>370</v>
      </c>
      <c r="B200">
        <v>10017048</v>
      </c>
      <c r="C200" t="s">
        <v>369</v>
      </c>
      <c r="D200" s="2">
        <v>1</v>
      </c>
      <c r="E200" s="2">
        <v>1</v>
      </c>
      <c r="F200" s="2">
        <v>1</v>
      </c>
      <c r="G200" s="2">
        <v>1</v>
      </c>
      <c r="H200" s="2"/>
    </row>
    <row r="201" spans="1:8">
      <c r="A201" t="s">
        <v>498</v>
      </c>
      <c r="B201">
        <v>10014207</v>
      </c>
      <c r="C201" t="s">
        <v>497</v>
      </c>
      <c r="D201" s="2"/>
      <c r="E201" s="2"/>
      <c r="F201" s="2"/>
      <c r="G201" s="2"/>
      <c r="H201" s="2">
        <v>1</v>
      </c>
    </row>
    <row r="202" spans="1:8">
      <c r="A202" t="s">
        <v>372</v>
      </c>
      <c r="B202">
        <v>10006768</v>
      </c>
      <c r="C202" t="s">
        <v>371</v>
      </c>
      <c r="D202" s="2">
        <v>1</v>
      </c>
      <c r="E202" s="2">
        <v>1</v>
      </c>
      <c r="F202" s="2"/>
      <c r="G202" s="2">
        <v>1</v>
      </c>
      <c r="H202" s="2"/>
    </row>
    <row r="203" spans="1:8">
      <c r="B203">
        <v>10007516</v>
      </c>
      <c r="C203" t="s">
        <v>373</v>
      </c>
      <c r="D203" s="2">
        <v>1</v>
      </c>
      <c r="E203" s="2">
        <v>1</v>
      </c>
      <c r="F203" s="2"/>
      <c r="G203" s="2"/>
      <c r="H203" s="2"/>
    </row>
    <row r="204" spans="1:8">
      <c r="A204" t="s">
        <v>376</v>
      </c>
      <c r="B204">
        <v>10022381</v>
      </c>
      <c r="C204" t="s">
        <v>375</v>
      </c>
      <c r="D204" s="2">
        <v>1</v>
      </c>
      <c r="E204" s="2">
        <v>1</v>
      </c>
      <c r="F204" s="2">
        <v>1</v>
      </c>
      <c r="G204" s="2">
        <v>1</v>
      </c>
      <c r="H204" s="2"/>
    </row>
    <row r="205" spans="1:8">
      <c r="A205" t="s">
        <v>378</v>
      </c>
      <c r="B205">
        <v>10025892</v>
      </c>
      <c r="C205" t="s">
        <v>377</v>
      </c>
      <c r="D205" s="2">
        <v>4</v>
      </c>
      <c r="E205" s="2">
        <v>1</v>
      </c>
      <c r="F205" s="2">
        <v>3</v>
      </c>
      <c r="G205" s="2">
        <v>1</v>
      </c>
      <c r="H205" s="2"/>
    </row>
    <row r="206" spans="1:8">
      <c r="A206" t="s">
        <v>380</v>
      </c>
      <c r="B206">
        <v>10002652</v>
      </c>
      <c r="C206" t="s">
        <v>379</v>
      </c>
      <c r="D206" s="2">
        <v>1</v>
      </c>
      <c r="E206" s="2"/>
      <c r="F206" s="2">
        <v>1</v>
      </c>
      <c r="G206" s="2"/>
      <c r="H206" s="2">
        <v>1</v>
      </c>
    </row>
    <row r="207" spans="1:8">
      <c r="A207" t="s">
        <v>516</v>
      </c>
      <c r="B207">
        <v>10022226</v>
      </c>
      <c r="C207" t="s">
        <v>515</v>
      </c>
      <c r="D207" s="2"/>
      <c r="E207" s="2"/>
      <c r="F207" s="2"/>
      <c r="G207" s="2"/>
      <c r="H207" s="2">
        <v>1</v>
      </c>
    </row>
    <row r="208" spans="1:8">
      <c r="A208" t="s">
        <v>518</v>
      </c>
      <c r="B208">
        <v>10018756</v>
      </c>
      <c r="C208" t="s">
        <v>517</v>
      </c>
      <c r="D208" s="2"/>
      <c r="E208" s="2"/>
      <c r="F208" s="2"/>
      <c r="G208" s="2"/>
      <c r="H208" s="2">
        <v>1</v>
      </c>
    </row>
    <row r="209" spans="1:8">
      <c r="A209" t="s">
        <v>382</v>
      </c>
      <c r="B209">
        <v>10020286</v>
      </c>
      <c r="C209" t="s">
        <v>381</v>
      </c>
      <c r="D209" s="2">
        <v>2</v>
      </c>
      <c r="E209" s="2">
        <v>1</v>
      </c>
      <c r="F209" s="2">
        <v>1</v>
      </c>
      <c r="G209" s="2">
        <v>1</v>
      </c>
      <c r="H209" s="2"/>
    </row>
    <row r="210" spans="1:8">
      <c r="A210" t="s">
        <v>528</v>
      </c>
      <c r="B210">
        <v>10022448</v>
      </c>
      <c r="C210" t="s">
        <v>527</v>
      </c>
      <c r="D210" s="2"/>
      <c r="E210" s="2"/>
      <c r="F210" s="2"/>
      <c r="G210" s="2"/>
      <c r="H210" s="2">
        <v>1</v>
      </c>
    </row>
    <row r="211" spans="1:8">
      <c r="A211" t="s">
        <v>384</v>
      </c>
      <c r="B211">
        <v>10014421</v>
      </c>
      <c r="C211" t="s">
        <v>383</v>
      </c>
      <c r="D211" s="2"/>
      <c r="E211" s="2">
        <v>1</v>
      </c>
      <c r="F211" s="2"/>
      <c r="G211" s="2"/>
      <c r="H211" s="2">
        <v>1</v>
      </c>
    </row>
    <row r="212" spans="1:8">
      <c r="A212" t="s">
        <v>386</v>
      </c>
      <c r="B212">
        <v>10029172</v>
      </c>
      <c r="C212" t="s">
        <v>385</v>
      </c>
      <c r="D212" s="2">
        <v>2</v>
      </c>
      <c r="E212" s="2">
        <v>2</v>
      </c>
      <c r="F212" s="2">
        <v>2</v>
      </c>
      <c r="G212" s="2">
        <v>1</v>
      </c>
      <c r="H212" s="2"/>
    </row>
    <row r="213" spans="1:8">
      <c r="A213" t="s">
        <v>388</v>
      </c>
      <c r="B213">
        <v>10017330</v>
      </c>
      <c r="C213" t="s">
        <v>387</v>
      </c>
      <c r="D213" s="2">
        <v>2</v>
      </c>
      <c r="E213" s="2">
        <v>1</v>
      </c>
      <c r="F213" s="2">
        <v>1</v>
      </c>
      <c r="G213" s="2">
        <v>1</v>
      </c>
      <c r="H213" s="2"/>
    </row>
    <row r="214" spans="1:8">
      <c r="A214" t="s">
        <v>390</v>
      </c>
      <c r="B214">
        <v>10016399</v>
      </c>
      <c r="C214" t="s">
        <v>389</v>
      </c>
      <c r="D214" s="2">
        <v>1</v>
      </c>
      <c r="E214" s="2"/>
      <c r="F214" s="2">
        <v>1</v>
      </c>
      <c r="G214" s="2"/>
      <c r="H214" s="2">
        <v>1</v>
      </c>
    </row>
    <row r="215" spans="1:8">
      <c r="A215" t="s">
        <v>392</v>
      </c>
      <c r="B215">
        <v>10030364</v>
      </c>
      <c r="C215" t="s">
        <v>391</v>
      </c>
      <c r="D215" s="2">
        <v>2</v>
      </c>
      <c r="E215" s="2">
        <v>2</v>
      </c>
      <c r="F215" s="2">
        <v>4</v>
      </c>
      <c r="G215" s="2">
        <v>1</v>
      </c>
      <c r="H215" s="2"/>
    </row>
    <row r="216" spans="1:8">
      <c r="A216" t="s">
        <v>394</v>
      </c>
      <c r="B216">
        <v>10019098</v>
      </c>
      <c r="C216" t="s">
        <v>393</v>
      </c>
      <c r="D216" s="2"/>
      <c r="E216" s="2"/>
      <c r="F216" s="2"/>
      <c r="G216" s="2"/>
      <c r="H216" s="2">
        <v>1</v>
      </c>
    </row>
    <row r="217" spans="1:8">
      <c r="A217" t="s">
        <v>532</v>
      </c>
      <c r="B217">
        <v>10024234</v>
      </c>
      <c r="C217" t="s">
        <v>531</v>
      </c>
      <c r="D217" s="2"/>
      <c r="E217" s="2"/>
      <c r="F217" s="2"/>
      <c r="G217" s="2"/>
      <c r="H217" s="2">
        <v>1</v>
      </c>
    </row>
    <row r="218" spans="1:8">
      <c r="A218" t="s">
        <v>536</v>
      </c>
      <c r="B218">
        <v>10020680</v>
      </c>
      <c r="C218" t="s">
        <v>535</v>
      </c>
      <c r="D218" s="2"/>
      <c r="E218" s="2"/>
      <c r="F218" s="2"/>
      <c r="G218" s="2"/>
      <c r="H218" s="2">
        <v>1</v>
      </c>
    </row>
    <row r="219" spans="1:8">
      <c r="A219" t="s">
        <v>396</v>
      </c>
      <c r="B219">
        <v>10030603</v>
      </c>
      <c r="C219" t="s">
        <v>395</v>
      </c>
      <c r="D219" s="2"/>
      <c r="E219" s="2">
        <v>1</v>
      </c>
      <c r="F219" s="2"/>
      <c r="G219" s="2"/>
      <c r="H219" s="2">
        <v>1</v>
      </c>
    </row>
    <row r="220" spans="1:8">
      <c r="A220" t="s">
        <v>398</v>
      </c>
      <c r="B220">
        <v>10030568</v>
      </c>
      <c r="C220" t="s">
        <v>397</v>
      </c>
      <c r="D220" s="2">
        <v>1</v>
      </c>
      <c r="E220" s="2">
        <v>1</v>
      </c>
      <c r="F220" s="2">
        <v>1</v>
      </c>
      <c r="G220" s="2">
        <v>1</v>
      </c>
      <c r="H220" s="2"/>
    </row>
    <row r="221" spans="1:8">
      <c r="A221" t="s">
        <v>542</v>
      </c>
      <c r="B221">
        <v>10003735</v>
      </c>
      <c r="C221" t="s">
        <v>541</v>
      </c>
      <c r="D221" s="2"/>
      <c r="E221" s="2"/>
      <c r="F221" s="2"/>
      <c r="G221" s="2"/>
      <c r="H221" s="2">
        <v>1</v>
      </c>
    </row>
    <row r="222" spans="1:8">
      <c r="A222" t="s">
        <v>400</v>
      </c>
      <c r="B222">
        <v>10020182</v>
      </c>
      <c r="C222" t="s">
        <v>399</v>
      </c>
      <c r="D222" s="2">
        <v>1</v>
      </c>
      <c r="E222" s="2"/>
      <c r="F222" s="2">
        <v>1</v>
      </c>
      <c r="G222" s="2"/>
      <c r="H222" s="2">
        <v>1</v>
      </c>
    </row>
    <row r="223" spans="1:8">
      <c r="A223" t="s">
        <v>402</v>
      </c>
      <c r="B223">
        <v>10016243</v>
      </c>
      <c r="C223" t="s">
        <v>401</v>
      </c>
      <c r="D223" s="2"/>
      <c r="E223" s="2"/>
      <c r="F223" s="2">
        <v>1</v>
      </c>
      <c r="G223" s="2"/>
      <c r="H223" s="2">
        <v>1</v>
      </c>
    </row>
    <row r="224" spans="1:8">
      <c r="A224" t="s">
        <v>404</v>
      </c>
      <c r="B224">
        <v>10024527</v>
      </c>
      <c r="C224" t="s">
        <v>403</v>
      </c>
      <c r="D224" s="2">
        <v>2</v>
      </c>
      <c r="E224" s="2">
        <v>2</v>
      </c>
      <c r="F224" s="2"/>
      <c r="G224" s="2">
        <v>1</v>
      </c>
      <c r="H224" s="2"/>
    </row>
    <row r="225" spans="1:8">
      <c r="A225" t="s">
        <v>406</v>
      </c>
      <c r="B225">
        <v>10002633</v>
      </c>
      <c r="C225" t="s">
        <v>405</v>
      </c>
      <c r="D225" s="2"/>
      <c r="E225" s="2">
        <v>1</v>
      </c>
      <c r="F225" s="2">
        <v>2</v>
      </c>
      <c r="G225" s="2"/>
      <c r="H225" s="2">
        <v>1</v>
      </c>
    </row>
    <row r="226" spans="1:8">
      <c r="B226">
        <v>10021612</v>
      </c>
      <c r="C226" t="s">
        <v>407</v>
      </c>
      <c r="D226" s="2"/>
      <c r="E226" s="2"/>
      <c r="F226" s="2">
        <v>1</v>
      </c>
      <c r="G226" s="2"/>
      <c r="H226" s="2"/>
    </row>
    <row r="227" spans="1:8">
      <c r="A227" t="s">
        <v>560</v>
      </c>
      <c r="B227">
        <v>10012240</v>
      </c>
      <c r="C227" t="s">
        <v>559</v>
      </c>
      <c r="D227" s="2"/>
      <c r="E227" s="2"/>
      <c r="F227" s="2"/>
      <c r="G227" s="2"/>
      <c r="H227" s="2">
        <v>1</v>
      </c>
    </row>
    <row r="228" spans="1:8">
      <c r="A228" t="s">
        <v>409</v>
      </c>
      <c r="B228">
        <v>10018846</v>
      </c>
      <c r="C228" t="s">
        <v>408</v>
      </c>
      <c r="D228" s="2"/>
      <c r="E228" s="2"/>
      <c r="F228" s="2">
        <v>1</v>
      </c>
      <c r="G228" s="2"/>
      <c r="H228" s="2">
        <v>1</v>
      </c>
    </row>
    <row r="229" spans="1:8">
      <c r="A229" t="s">
        <v>571</v>
      </c>
      <c r="B229">
        <v>10016078</v>
      </c>
      <c r="C229" t="s">
        <v>570</v>
      </c>
      <c r="D229" s="2"/>
      <c r="E229" s="2"/>
      <c r="F229" s="2"/>
      <c r="G229" s="2"/>
      <c r="H229" s="2">
        <v>1</v>
      </c>
    </row>
    <row r="230" spans="1:8">
      <c r="A230" t="s">
        <v>411</v>
      </c>
      <c r="B230">
        <v>10018870</v>
      </c>
      <c r="C230" t="s">
        <v>410</v>
      </c>
      <c r="D230" s="2">
        <v>1</v>
      </c>
      <c r="E230" s="2">
        <v>1</v>
      </c>
      <c r="F230" s="2">
        <v>1</v>
      </c>
      <c r="G230" s="2">
        <v>1</v>
      </c>
      <c r="H230" s="2"/>
    </row>
    <row r="231" spans="1:8">
      <c r="A231" t="s">
        <v>575</v>
      </c>
      <c r="B231">
        <v>10031009</v>
      </c>
      <c r="C231" t="s">
        <v>574</v>
      </c>
      <c r="D231" s="2"/>
      <c r="E231" s="2"/>
      <c r="F231" s="2"/>
      <c r="G231" s="2"/>
      <c r="H231" s="2">
        <v>1</v>
      </c>
    </row>
    <row r="232" spans="1:8">
      <c r="A232" t="s">
        <v>413</v>
      </c>
      <c r="B232">
        <v>10025993</v>
      </c>
      <c r="C232" t="s">
        <v>412</v>
      </c>
      <c r="D232" s="2">
        <v>1</v>
      </c>
      <c r="E232" s="2">
        <v>1</v>
      </c>
      <c r="F232" s="2">
        <v>1</v>
      </c>
      <c r="G232" s="2">
        <v>1</v>
      </c>
      <c r="H232" s="2"/>
    </row>
    <row r="233" spans="1:8">
      <c r="A233" t="s">
        <v>415</v>
      </c>
      <c r="B233">
        <v>10016059</v>
      </c>
      <c r="C233" t="s">
        <v>414</v>
      </c>
      <c r="D233" s="2">
        <v>2</v>
      </c>
      <c r="E233" s="2">
        <v>2</v>
      </c>
      <c r="F233" s="2">
        <v>1</v>
      </c>
      <c r="G233" s="2">
        <v>1</v>
      </c>
      <c r="H233" s="2"/>
    </row>
    <row r="234" spans="1:8">
      <c r="A234" t="s">
        <v>581</v>
      </c>
      <c r="B234">
        <v>10030374</v>
      </c>
      <c r="C234" t="s">
        <v>580</v>
      </c>
      <c r="D234" s="2"/>
      <c r="E234" s="2"/>
      <c r="F234" s="2"/>
      <c r="G234" s="2"/>
      <c r="H234" s="2">
        <v>1</v>
      </c>
    </row>
    <row r="235" spans="1:8">
      <c r="A235" t="s">
        <v>587</v>
      </c>
      <c r="B235">
        <v>10011099</v>
      </c>
      <c r="C235" t="s">
        <v>586</v>
      </c>
      <c r="D235" s="2"/>
      <c r="E235" s="2"/>
      <c r="F235" s="2"/>
      <c r="G235" s="2"/>
      <c r="H235" s="2">
        <v>1</v>
      </c>
    </row>
    <row r="236" spans="1:8">
      <c r="A236" t="s">
        <v>417</v>
      </c>
      <c r="B236">
        <v>10015734</v>
      </c>
      <c r="C236" t="s">
        <v>416</v>
      </c>
      <c r="D236" s="2">
        <v>3</v>
      </c>
      <c r="E236" s="2">
        <v>2</v>
      </c>
      <c r="F236" s="2">
        <v>2</v>
      </c>
      <c r="G236" s="2">
        <v>1</v>
      </c>
      <c r="H236" s="2"/>
    </row>
    <row r="237" spans="1:8">
      <c r="A237" t="s">
        <v>419</v>
      </c>
      <c r="B237">
        <v>10016307</v>
      </c>
      <c r="C237" t="s">
        <v>418</v>
      </c>
      <c r="D237" s="2">
        <v>2</v>
      </c>
      <c r="E237" s="2">
        <v>2</v>
      </c>
      <c r="F237" s="2">
        <v>1</v>
      </c>
      <c r="G237" s="2">
        <v>1</v>
      </c>
      <c r="H237" s="2"/>
    </row>
    <row r="238" spans="1:8">
      <c r="A238" t="s">
        <v>421</v>
      </c>
      <c r="B238">
        <v>10018295</v>
      </c>
      <c r="C238" t="s">
        <v>420</v>
      </c>
      <c r="D238" s="2">
        <v>2</v>
      </c>
      <c r="E238" s="2">
        <v>1</v>
      </c>
      <c r="F238" s="2">
        <v>1</v>
      </c>
      <c r="G238" s="2">
        <v>1</v>
      </c>
      <c r="H238" s="2"/>
    </row>
    <row r="239" spans="1:8">
      <c r="A239" t="s">
        <v>423</v>
      </c>
      <c r="B239">
        <v>10018137</v>
      </c>
      <c r="C239" t="s">
        <v>422</v>
      </c>
      <c r="D239" s="2">
        <v>2</v>
      </c>
      <c r="E239" s="2">
        <v>1</v>
      </c>
      <c r="F239" s="2">
        <v>1</v>
      </c>
      <c r="G239" s="2"/>
      <c r="H239" s="2"/>
    </row>
    <row r="240" spans="1:8">
      <c r="B240">
        <v>10006704</v>
      </c>
      <c r="C240" t="s">
        <v>424</v>
      </c>
      <c r="D240" s="2">
        <v>2</v>
      </c>
      <c r="E240" s="2">
        <v>1</v>
      </c>
      <c r="F240" s="2">
        <v>1</v>
      </c>
      <c r="G240" s="2">
        <v>1</v>
      </c>
      <c r="H240" s="2"/>
    </row>
    <row r="241" spans="1:8">
      <c r="A241" t="s">
        <v>605</v>
      </c>
      <c r="B241">
        <v>10016953</v>
      </c>
      <c r="C241" t="s">
        <v>604</v>
      </c>
      <c r="D241" s="2"/>
      <c r="E241" s="2"/>
      <c r="F241" s="2"/>
      <c r="G241" s="2"/>
      <c r="H241" s="2">
        <v>1</v>
      </c>
    </row>
    <row r="242" spans="1:8">
      <c r="A242" t="s">
        <v>607</v>
      </c>
      <c r="B242">
        <v>10030596</v>
      </c>
      <c r="C242" t="s">
        <v>606</v>
      </c>
      <c r="D242" s="2"/>
      <c r="E242" s="2"/>
      <c r="F242" s="2"/>
      <c r="G242" s="2"/>
      <c r="H242" s="2">
        <v>1</v>
      </c>
    </row>
    <row r="243" spans="1:8">
      <c r="A243" t="s">
        <v>426</v>
      </c>
      <c r="B243">
        <v>10011097</v>
      </c>
      <c r="C243" t="s">
        <v>425</v>
      </c>
      <c r="D243" s="2">
        <v>2</v>
      </c>
      <c r="E243" s="2">
        <v>2</v>
      </c>
      <c r="F243" s="2">
        <v>2</v>
      </c>
      <c r="G243" s="2">
        <v>1</v>
      </c>
      <c r="H243" s="2"/>
    </row>
    <row r="244" spans="1:8">
      <c r="A244" t="s">
        <v>428</v>
      </c>
      <c r="B244">
        <v>10011964</v>
      </c>
      <c r="C244" t="s">
        <v>427</v>
      </c>
      <c r="D244" s="2">
        <v>2</v>
      </c>
      <c r="E244" s="2">
        <v>2</v>
      </c>
      <c r="F244" s="2">
        <v>1</v>
      </c>
      <c r="G244" s="2">
        <v>1</v>
      </c>
      <c r="H244" s="2"/>
    </row>
    <row r="245" spans="1:8">
      <c r="A245" t="s">
        <v>609</v>
      </c>
      <c r="B245">
        <v>10008227</v>
      </c>
      <c r="C245" t="s">
        <v>608</v>
      </c>
      <c r="D245" s="2"/>
      <c r="E245" s="2"/>
      <c r="F245" s="2"/>
      <c r="G245" s="2"/>
      <c r="H245" s="2">
        <v>1</v>
      </c>
    </row>
    <row r="246" spans="1:8">
      <c r="A246" t="s">
        <v>430</v>
      </c>
      <c r="B246">
        <v>10025348</v>
      </c>
      <c r="C246" t="s">
        <v>429</v>
      </c>
      <c r="D246" s="2"/>
      <c r="E246" s="2"/>
      <c r="F246" s="2">
        <v>1</v>
      </c>
      <c r="G246" s="2"/>
      <c r="H246" s="2">
        <v>1</v>
      </c>
    </row>
    <row r="247" spans="1:8">
      <c r="A247" t="s">
        <v>432</v>
      </c>
      <c r="B247">
        <v>10029992</v>
      </c>
      <c r="C247" t="s">
        <v>431</v>
      </c>
      <c r="D247" s="2">
        <v>1</v>
      </c>
      <c r="E247" s="2">
        <v>1</v>
      </c>
      <c r="F247" s="2">
        <v>2</v>
      </c>
      <c r="G247" s="2">
        <v>1</v>
      </c>
      <c r="H247" s="2"/>
    </row>
    <row r="248" spans="1:8">
      <c r="A248" t="s">
        <v>434</v>
      </c>
      <c r="B248">
        <v>10029134</v>
      </c>
      <c r="C248" t="s">
        <v>433</v>
      </c>
      <c r="D248" s="2"/>
      <c r="E248" s="2">
        <v>1</v>
      </c>
      <c r="F248" s="2"/>
      <c r="G248" s="2"/>
      <c r="H248" s="2">
        <v>1</v>
      </c>
    </row>
    <row r="249" spans="1:8">
      <c r="A249" t="s">
        <v>496</v>
      </c>
      <c r="B249">
        <v>10030316</v>
      </c>
      <c r="C249" t="s">
        <v>495</v>
      </c>
      <c r="D249" s="2"/>
      <c r="E249" s="2"/>
      <c r="F249" s="2"/>
      <c r="G249" s="2"/>
      <c r="H249" s="2">
        <v>1</v>
      </c>
    </row>
    <row r="250" spans="1:8">
      <c r="A250" t="s">
        <v>508</v>
      </c>
      <c r="B250">
        <v>10018727</v>
      </c>
      <c r="C250" t="s">
        <v>507</v>
      </c>
      <c r="D250" s="2">
        <v>1</v>
      </c>
      <c r="E250" s="2">
        <v>1</v>
      </c>
      <c r="F250" s="2">
        <v>1</v>
      </c>
      <c r="G250" s="2">
        <v>1</v>
      </c>
      <c r="H250" s="2"/>
    </row>
    <row r="251" spans="1:8">
      <c r="A251" t="s">
        <v>512</v>
      </c>
      <c r="B251">
        <v>10001970</v>
      </c>
      <c r="C251" t="s">
        <v>511</v>
      </c>
      <c r="D251" s="2"/>
      <c r="E251" s="2"/>
      <c r="F251" s="2"/>
      <c r="G251" s="2"/>
      <c r="H251" s="2">
        <v>1</v>
      </c>
    </row>
    <row r="252" spans="1:8">
      <c r="A252" t="s">
        <v>514</v>
      </c>
      <c r="B252">
        <v>10020651</v>
      </c>
      <c r="C252" t="s">
        <v>513</v>
      </c>
      <c r="D252" s="2">
        <v>1</v>
      </c>
      <c r="E252" s="2"/>
      <c r="F252" s="2"/>
      <c r="G252" s="2"/>
      <c r="H252" s="2">
        <v>1</v>
      </c>
    </row>
    <row r="253" spans="1:8">
      <c r="A253" t="s">
        <v>524</v>
      </c>
      <c r="B253">
        <v>10020397</v>
      </c>
      <c r="C253" t="s">
        <v>523</v>
      </c>
      <c r="D253" s="2"/>
      <c r="E253" s="2"/>
      <c r="F253" s="2"/>
      <c r="G253" s="2"/>
      <c r="H253" s="2">
        <v>1</v>
      </c>
    </row>
    <row r="254" spans="1:8">
      <c r="A254" t="s">
        <v>548</v>
      </c>
      <c r="B254">
        <v>10018644</v>
      </c>
      <c r="C254" t="s">
        <v>547</v>
      </c>
      <c r="D254" s="2">
        <v>2</v>
      </c>
      <c r="E254" s="2">
        <v>1</v>
      </c>
      <c r="F254" s="2">
        <v>1</v>
      </c>
      <c r="G254" s="2">
        <v>1</v>
      </c>
      <c r="H254" s="2"/>
    </row>
    <row r="255" spans="1:8">
      <c r="A255" t="s">
        <v>550</v>
      </c>
      <c r="B255">
        <v>10011867</v>
      </c>
      <c r="C255" t="s">
        <v>549</v>
      </c>
      <c r="D255" s="2">
        <v>1</v>
      </c>
      <c r="E255" s="2">
        <v>1</v>
      </c>
      <c r="F255" s="2">
        <v>1</v>
      </c>
      <c r="G255" s="2">
        <v>1</v>
      </c>
      <c r="H255" s="2"/>
    </row>
    <row r="256" spans="1:8">
      <c r="A256" t="s">
        <v>562</v>
      </c>
      <c r="B256">
        <v>10029574</v>
      </c>
      <c r="C256" t="s">
        <v>561</v>
      </c>
      <c r="D256" s="2"/>
      <c r="E256" s="2"/>
      <c r="F256" s="2"/>
      <c r="G256" s="2"/>
      <c r="H256" s="2">
        <v>1</v>
      </c>
    </row>
    <row r="257" spans="1:8">
      <c r="A257" t="s">
        <v>568</v>
      </c>
      <c r="B257">
        <v>10002410</v>
      </c>
      <c r="C257" t="s">
        <v>567</v>
      </c>
      <c r="D257" s="2">
        <v>1</v>
      </c>
      <c r="E257" s="2"/>
      <c r="F257" s="2"/>
      <c r="G257" s="2"/>
      <c r="H257" s="2"/>
    </row>
    <row r="258" spans="1:8">
      <c r="B258">
        <v>10029538</v>
      </c>
      <c r="C258" t="s">
        <v>569</v>
      </c>
      <c r="D258" s="2">
        <v>1</v>
      </c>
      <c r="E258" s="2"/>
      <c r="F258" s="2"/>
      <c r="G258" s="2"/>
      <c r="H258" s="2">
        <v>1</v>
      </c>
    </row>
    <row r="259" spans="1:8">
      <c r="A259" t="s">
        <v>599</v>
      </c>
      <c r="B259">
        <v>10011176</v>
      </c>
      <c r="C259" t="s">
        <v>598</v>
      </c>
      <c r="D259" s="2">
        <v>1</v>
      </c>
      <c r="E259" s="2">
        <v>1</v>
      </c>
      <c r="F259" s="2">
        <v>1</v>
      </c>
      <c r="G259" s="2">
        <v>1</v>
      </c>
      <c r="H259" s="2"/>
    </row>
    <row r="260" spans="1:8">
      <c r="A260" t="s">
        <v>613</v>
      </c>
      <c r="B260">
        <v>10008043</v>
      </c>
      <c r="C260" t="s">
        <v>612</v>
      </c>
      <c r="D260" s="2">
        <v>2</v>
      </c>
      <c r="E260" s="2">
        <v>1</v>
      </c>
      <c r="F260" s="2">
        <v>1</v>
      </c>
      <c r="G260" s="2">
        <v>1</v>
      </c>
      <c r="H260" s="2"/>
    </row>
    <row r="261" spans="1:8">
      <c r="A261" t="s">
        <v>616</v>
      </c>
      <c r="B261">
        <v>10029677</v>
      </c>
      <c r="C261" t="s">
        <v>615</v>
      </c>
      <c r="D261" s="2">
        <v>1</v>
      </c>
      <c r="E261" s="2">
        <v>1</v>
      </c>
      <c r="F261" s="2">
        <v>1</v>
      </c>
      <c r="G261" s="2">
        <v>1</v>
      </c>
      <c r="H261" s="2"/>
    </row>
    <row r="262" spans="1:8">
      <c r="A262" t="s">
        <v>618</v>
      </c>
      <c r="B262">
        <v>10017880</v>
      </c>
      <c r="C262" t="s">
        <v>617</v>
      </c>
      <c r="D262" s="2">
        <v>1</v>
      </c>
      <c r="E262" s="2">
        <v>1</v>
      </c>
      <c r="F262" s="2">
        <v>1</v>
      </c>
      <c r="G262" s="2">
        <v>1</v>
      </c>
      <c r="H262" s="2"/>
    </row>
    <row r="263" spans="1:8">
      <c r="A263" t="s">
        <v>620</v>
      </c>
      <c r="B263">
        <v>10020846</v>
      </c>
      <c r="C263" t="s">
        <v>619</v>
      </c>
      <c r="D263" s="2"/>
      <c r="E263" s="2"/>
      <c r="F263" s="2"/>
      <c r="G263" s="2"/>
      <c r="H263" s="2">
        <v>1</v>
      </c>
    </row>
    <row r="264" spans="1:8">
      <c r="A264" t="s">
        <v>622</v>
      </c>
      <c r="B264">
        <v>10021150</v>
      </c>
      <c r="C264" t="s">
        <v>621</v>
      </c>
      <c r="D264" s="2">
        <v>1</v>
      </c>
      <c r="E264" s="2">
        <v>1</v>
      </c>
      <c r="F264" s="2">
        <v>2</v>
      </c>
      <c r="G264" s="2">
        <v>1</v>
      </c>
      <c r="H264" s="2"/>
    </row>
    <row r="265" spans="1:8">
      <c r="A265" t="s">
        <v>624</v>
      </c>
      <c r="B265">
        <v>10029788</v>
      </c>
      <c r="C265" t="s">
        <v>623</v>
      </c>
      <c r="D265" s="2">
        <v>1</v>
      </c>
      <c r="E265" s="2">
        <v>1</v>
      </c>
      <c r="F265" s="2"/>
      <c r="G265" s="2">
        <v>1</v>
      </c>
      <c r="H265" s="2"/>
    </row>
    <row r="266" spans="1:8">
      <c r="A266" t="s">
        <v>626</v>
      </c>
      <c r="B266">
        <v>10022890</v>
      </c>
      <c r="C266" t="s">
        <v>625</v>
      </c>
      <c r="D266" s="2">
        <v>2</v>
      </c>
      <c r="E266" s="2">
        <v>1</v>
      </c>
      <c r="F266" s="2">
        <v>1</v>
      </c>
      <c r="G266" s="2">
        <v>1</v>
      </c>
      <c r="H266" s="2"/>
    </row>
    <row r="267" spans="1:8">
      <c r="A267" t="s">
        <v>628</v>
      </c>
      <c r="B267">
        <v>10029278</v>
      </c>
      <c r="C267" t="s">
        <v>627</v>
      </c>
      <c r="D267" s="2"/>
      <c r="E267" s="2"/>
      <c r="F267" s="2"/>
      <c r="G267" s="2"/>
      <c r="H267" s="2">
        <v>1</v>
      </c>
    </row>
    <row r="268" spans="1:8">
      <c r="A268" t="s">
        <v>631</v>
      </c>
      <c r="B268">
        <v>10029672</v>
      </c>
      <c r="C268" t="s">
        <v>630</v>
      </c>
      <c r="D268" s="2">
        <v>2</v>
      </c>
      <c r="E268" s="2">
        <v>2</v>
      </c>
      <c r="F268" s="2">
        <v>2</v>
      </c>
      <c r="G268" s="2">
        <v>1</v>
      </c>
      <c r="H268" s="2"/>
    </row>
    <row r="269" spans="1:8">
      <c r="A269" t="s">
        <v>633</v>
      </c>
      <c r="B269">
        <v>10023158</v>
      </c>
      <c r="C269" t="s">
        <v>632</v>
      </c>
      <c r="D269" s="2">
        <v>2</v>
      </c>
      <c r="E269" s="2">
        <v>1</v>
      </c>
      <c r="F269" s="2">
        <v>1</v>
      </c>
      <c r="G269" s="2">
        <v>1</v>
      </c>
      <c r="H269" s="2"/>
    </row>
    <row r="270" spans="1:8">
      <c r="A270" t="s">
        <v>635</v>
      </c>
      <c r="B270">
        <v>10029930</v>
      </c>
      <c r="C270" t="s">
        <v>634</v>
      </c>
      <c r="D270" s="2">
        <v>1</v>
      </c>
      <c r="E270" s="2">
        <v>1</v>
      </c>
      <c r="F270" s="2">
        <v>1</v>
      </c>
      <c r="G270" s="2">
        <v>1</v>
      </c>
      <c r="H270" s="2"/>
    </row>
    <row r="271" spans="1:8">
      <c r="A271" t="s">
        <v>637</v>
      </c>
      <c r="B271">
        <v>10030978</v>
      </c>
      <c r="C271" t="s">
        <v>636</v>
      </c>
      <c r="D271" s="2">
        <v>1</v>
      </c>
      <c r="E271" s="2">
        <v>1</v>
      </c>
      <c r="F271" s="2">
        <v>1</v>
      </c>
      <c r="G271" s="2">
        <v>1</v>
      </c>
      <c r="H271" s="2"/>
    </row>
    <row r="272" spans="1:8">
      <c r="A272" t="s">
        <v>639</v>
      </c>
      <c r="B272">
        <v>10020590</v>
      </c>
      <c r="C272" t="s">
        <v>638</v>
      </c>
      <c r="D272" s="2">
        <v>2</v>
      </c>
      <c r="E272" s="2"/>
      <c r="F272" s="2"/>
      <c r="G272" s="2"/>
      <c r="H272" s="2">
        <v>1</v>
      </c>
    </row>
    <row r="273" spans="1:8">
      <c r="A273" t="s">
        <v>641</v>
      </c>
      <c r="B273">
        <v>10011087</v>
      </c>
      <c r="C273" t="s">
        <v>640</v>
      </c>
      <c r="D273" s="2">
        <v>1</v>
      </c>
      <c r="E273" s="2"/>
      <c r="F273" s="2"/>
      <c r="G273" s="2"/>
      <c r="H273" s="2">
        <v>1</v>
      </c>
    </row>
    <row r="274" spans="1:8">
      <c r="A274" t="s">
        <v>643</v>
      </c>
      <c r="B274">
        <v>10031073</v>
      </c>
      <c r="C274" t="s">
        <v>642</v>
      </c>
      <c r="D274" s="2"/>
      <c r="E274" s="2"/>
      <c r="F274" s="2"/>
      <c r="G274" s="2"/>
      <c r="H274" s="2">
        <v>1</v>
      </c>
    </row>
    <row r="275" spans="1:8">
      <c r="A275" t="s">
        <v>645</v>
      </c>
      <c r="B275">
        <v>10017348</v>
      </c>
      <c r="C275" t="s">
        <v>644</v>
      </c>
      <c r="D275" s="2">
        <v>1</v>
      </c>
      <c r="E275" s="2"/>
      <c r="F275" s="2"/>
      <c r="G275" s="2"/>
      <c r="H275" s="2">
        <v>1</v>
      </c>
    </row>
    <row r="276" spans="1:8">
      <c r="A276" t="s">
        <v>647</v>
      </c>
      <c r="B276">
        <v>10023371</v>
      </c>
      <c r="C276" t="s">
        <v>646</v>
      </c>
      <c r="D276" s="2">
        <v>2</v>
      </c>
      <c r="E276" s="2">
        <v>1</v>
      </c>
      <c r="F276" s="2">
        <v>1</v>
      </c>
      <c r="G276" s="2">
        <v>1</v>
      </c>
      <c r="H276" s="2"/>
    </row>
    <row r="277" spans="1:8">
      <c r="A277" t="s">
        <v>649</v>
      </c>
      <c r="B277">
        <v>10021357</v>
      </c>
      <c r="C277" t="s">
        <v>648</v>
      </c>
      <c r="D277" s="2"/>
      <c r="E277" s="2"/>
      <c r="F277" s="2"/>
      <c r="G277" s="2"/>
      <c r="H277" s="2">
        <v>1</v>
      </c>
    </row>
    <row r="278" spans="1:8">
      <c r="A278" t="s">
        <v>651</v>
      </c>
      <c r="B278">
        <v>10014732</v>
      </c>
      <c r="C278" t="s">
        <v>650</v>
      </c>
      <c r="D278" s="2">
        <v>2</v>
      </c>
      <c r="E278" s="2">
        <v>1</v>
      </c>
      <c r="F278" s="2">
        <v>1</v>
      </c>
      <c r="G278" s="2">
        <v>1</v>
      </c>
      <c r="H278" s="2"/>
    </row>
    <row r="279" spans="1:8">
      <c r="A279" t="s">
        <v>653</v>
      </c>
      <c r="B279">
        <v>10026044</v>
      </c>
      <c r="C279" t="s">
        <v>652</v>
      </c>
      <c r="D279" s="2">
        <v>1</v>
      </c>
      <c r="E279" s="2">
        <v>1</v>
      </c>
      <c r="F279" s="2">
        <v>1</v>
      </c>
      <c r="G279" s="2">
        <v>1</v>
      </c>
      <c r="H279" s="2"/>
    </row>
    <row r="280" spans="1:8">
      <c r="A280" t="s">
        <v>254</v>
      </c>
      <c r="D280" s="2">
        <v>247</v>
      </c>
      <c r="E280" s="2">
        <v>176</v>
      </c>
      <c r="F280" s="2">
        <v>175</v>
      </c>
      <c r="G280" s="2">
        <v>130</v>
      </c>
      <c r="H280" s="2">
        <v>119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theme="9" tint="0.59999389629810485"/>
  </sheetPr>
  <dimension ref="A1:I140"/>
  <sheetViews>
    <sheetView workbookViewId="0">
      <selection activeCell="A3" sqref="A3:XFD3"/>
    </sheetView>
  </sheetViews>
  <sheetFormatPr defaultRowHeight="15"/>
  <cols>
    <col min="1" max="1" width="26.42578125" bestFit="1" customWidth="1"/>
    <col min="2" max="2" width="40.7109375" customWidth="1"/>
    <col min="3" max="3" width="14.5703125" customWidth="1"/>
    <col min="4" max="4" width="40.7109375" customWidth="1"/>
    <col min="5" max="5" width="23.28515625" hidden="1" customWidth="1"/>
    <col min="6" max="6" width="23.85546875" hidden="1" customWidth="1"/>
    <col min="7" max="7" width="28.42578125" hidden="1" customWidth="1"/>
    <col min="8" max="8" width="16" customWidth="1"/>
    <col min="9" max="9" width="20.28515625" customWidth="1"/>
    <col min="10" max="10" width="25" bestFit="1" customWidth="1"/>
    <col min="11" max="11" width="22.5703125" bestFit="1" customWidth="1"/>
  </cols>
  <sheetData>
    <row r="1" spans="1:9">
      <c r="A1" s="5" t="s">
        <v>275</v>
      </c>
    </row>
    <row r="3" spans="1:9">
      <c r="A3" s="1" t="s">
        <v>470</v>
      </c>
      <c r="B3" t="s">
        <v>255</v>
      </c>
    </row>
    <row r="4" spans="1:9">
      <c r="A4" s="1" t="s">
        <v>249</v>
      </c>
      <c r="B4" t="s">
        <v>253</v>
      </c>
    </row>
    <row r="5" spans="1:9">
      <c r="A5" s="1" t="s">
        <v>251</v>
      </c>
      <c r="B5" t="s">
        <v>253</v>
      </c>
    </row>
    <row r="6" spans="1:9">
      <c r="A6" s="1" t="s">
        <v>4</v>
      </c>
      <c r="B6" t="s">
        <v>253</v>
      </c>
    </row>
    <row r="7" spans="1:9">
      <c r="A7" s="1" t="s">
        <v>471</v>
      </c>
      <c r="B7" t="s">
        <v>253</v>
      </c>
    </row>
    <row r="8" spans="1:9">
      <c r="A8" s="1" t="s">
        <v>436</v>
      </c>
      <c r="B8" t="s">
        <v>253</v>
      </c>
    </row>
    <row r="9" spans="1:9">
      <c r="A9" s="1" t="s">
        <v>662</v>
      </c>
      <c r="B9" t="s">
        <v>253</v>
      </c>
    </row>
    <row r="11" spans="1:9">
      <c r="E11" s="1" t="s">
        <v>256</v>
      </c>
    </row>
    <row r="12" spans="1:9">
      <c r="A12" s="1" t="s">
        <v>250</v>
      </c>
      <c r="B12" s="1" t="s">
        <v>2</v>
      </c>
      <c r="C12" s="1" t="s">
        <v>0</v>
      </c>
      <c r="D12" s="1" t="s">
        <v>1</v>
      </c>
      <c r="E12" t="s">
        <v>336</v>
      </c>
      <c r="F12" t="s">
        <v>337</v>
      </c>
      <c r="G12" t="s">
        <v>338</v>
      </c>
      <c r="H12" t="s">
        <v>280</v>
      </c>
      <c r="I12" t="s">
        <v>335</v>
      </c>
    </row>
    <row r="13" spans="1:9">
      <c r="A13" t="s">
        <v>19</v>
      </c>
      <c r="B13" t="s">
        <v>63</v>
      </c>
      <c r="C13">
        <v>10006819</v>
      </c>
      <c r="D13" t="s">
        <v>62</v>
      </c>
      <c r="E13" s="2">
        <v>1</v>
      </c>
      <c r="F13" s="2">
        <v>1</v>
      </c>
      <c r="G13" s="2">
        <v>1</v>
      </c>
      <c r="H13" s="2">
        <v>1</v>
      </c>
      <c r="I13" s="2"/>
    </row>
    <row r="14" spans="1:9">
      <c r="B14" t="s">
        <v>96</v>
      </c>
      <c r="C14">
        <v>10016787</v>
      </c>
      <c r="D14" t="s">
        <v>96</v>
      </c>
      <c r="E14" s="2">
        <v>1</v>
      </c>
      <c r="F14" s="2"/>
      <c r="G14" s="2"/>
      <c r="H14" s="2"/>
      <c r="I14" s="2">
        <v>1</v>
      </c>
    </row>
    <row r="15" spans="1:9">
      <c r="B15" t="s">
        <v>24</v>
      </c>
      <c r="C15">
        <v>10002393</v>
      </c>
      <c r="D15" t="s">
        <v>23</v>
      </c>
      <c r="E15" s="2">
        <v>1</v>
      </c>
      <c r="F15" s="2"/>
      <c r="G15" s="2"/>
      <c r="H15" s="2"/>
      <c r="I15" s="2">
        <v>1</v>
      </c>
    </row>
    <row r="16" spans="1:9">
      <c r="C16">
        <v>10003305</v>
      </c>
      <c r="D16" t="s">
        <v>47</v>
      </c>
      <c r="E16" s="2">
        <v>1</v>
      </c>
      <c r="F16" s="2"/>
      <c r="G16" s="2"/>
      <c r="H16" s="2"/>
      <c r="I16" s="2"/>
    </row>
    <row r="17" spans="2:9">
      <c r="C17">
        <v>10022928</v>
      </c>
      <c r="D17" t="s">
        <v>192</v>
      </c>
      <c r="E17" s="2">
        <v>1</v>
      </c>
      <c r="F17" s="2"/>
      <c r="G17" s="2"/>
      <c r="H17" s="2"/>
      <c r="I17" s="2"/>
    </row>
    <row r="18" spans="2:9">
      <c r="B18" t="s">
        <v>84</v>
      </c>
      <c r="C18">
        <v>10012062</v>
      </c>
      <c r="D18" t="s">
        <v>83</v>
      </c>
      <c r="E18" s="2">
        <v>1</v>
      </c>
      <c r="F18" s="2"/>
      <c r="G18" s="2"/>
      <c r="H18" s="2"/>
      <c r="I18" s="2">
        <v>1</v>
      </c>
    </row>
    <row r="19" spans="2:9">
      <c r="B19" t="s">
        <v>142</v>
      </c>
      <c r="C19">
        <v>10019408</v>
      </c>
      <c r="D19" t="s">
        <v>141</v>
      </c>
      <c r="E19" s="2">
        <v>1</v>
      </c>
      <c r="F19" s="2">
        <v>1</v>
      </c>
      <c r="G19" s="2">
        <v>1</v>
      </c>
      <c r="H19" s="2">
        <v>1</v>
      </c>
      <c r="I19" s="2"/>
    </row>
    <row r="20" spans="2:9">
      <c r="B20" t="s">
        <v>105</v>
      </c>
      <c r="C20">
        <v>10017541</v>
      </c>
      <c r="D20" t="s">
        <v>104</v>
      </c>
      <c r="E20" s="2">
        <v>1</v>
      </c>
      <c r="F20" s="2">
        <v>1</v>
      </c>
      <c r="G20" s="2">
        <v>1</v>
      </c>
      <c r="H20" s="2">
        <v>1</v>
      </c>
      <c r="I20" s="2"/>
    </row>
    <row r="21" spans="2:9">
      <c r="B21" t="s">
        <v>74</v>
      </c>
      <c r="C21">
        <v>10011086</v>
      </c>
      <c r="D21" t="s">
        <v>73</v>
      </c>
      <c r="E21" s="2">
        <v>1</v>
      </c>
      <c r="F21" s="2">
        <v>1</v>
      </c>
      <c r="G21" s="2">
        <v>1</v>
      </c>
      <c r="H21" s="2">
        <v>1</v>
      </c>
      <c r="I21" s="2"/>
    </row>
    <row r="22" spans="2:9">
      <c r="B22" t="s">
        <v>76</v>
      </c>
      <c r="C22">
        <v>10011884</v>
      </c>
      <c r="D22" t="s">
        <v>75</v>
      </c>
      <c r="E22" s="2">
        <v>1</v>
      </c>
      <c r="F22" s="2">
        <v>1</v>
      </c>
      <c r="G22" s="2">
        <v>1</v>
      </c>
      <c r="H22" s="2"/>
      <c r="I22" s="2"/>
    </row>
    <row r="23" spans="2:9">
      <c r="C23">
        <v>10012145</v>
      </c>
      <c r="D23" t="s">
        <v>629</v>
      </c>
      <c r="E23" s="2">
        <v>1</v>
      </c>
      <c r="F23" s="2">
        <v>1</v>
      </c>
      <c r="G23" s="2">
        <v>1</v>
      </c>
      <c r="H23" s="2">
        <v>1</v>
      </c>
      <c r="I23" s="2"/>
    </row>
    <row r="24" spans="2:9">
      <c r="B24" t="s">
        <v>67</v>
      </c>
      <c r="C24">
        <v>10007542</v>
      </c>
      <c r="D24" t="s">
        <v>66</v>
      </c>
      <c r="E24" s="2">
        <v>2</v>
      </c>
      <c r="F24" s="2">
        <v>1</v>
      </c>
      <c r="G24" s="2">
        <v>1</v>
      </c>
      <c r="H24" s="2">
        <v>1</v>
      </c>
      <c r="I24" s="2"/>
    </row>
    <row r="25" spans="2:9">
      <c r="B25" t="s">
        <v>17</v>
      </c>
      <c r="C25">
        <v>10002063</v>
      </c>
      <c r="D25" t="s">
        <v>16</v>
      </c>
      <c r="E25" s="2">
        <v>1</v>
      </c>
      <c r="F25" s="2"/>
      <c r="G25" s="2"/>
      <c r="H25" s="2"/>
      <c r="I25" s="2">
        <v>1</v>
      </c>
    </row>
    <row r="26" spans="2:9">
      <c r="B26" t="s">
        <v>144</v>
      </c>
      <c r="C26">
        <v>10019410</v>
      </c>
      <c r="D26" t="s">
        <v>143</v>
      </c>
      <c r="E26" s="2">
        <v>1</v>
      </c>
      <c r="F26" s="2">
        <v>1</v>
      </c>
      <c r="G26" s="2">
        <v>1</v>
      </c>
      <c r="H26" s="2">
        <v>1</v>
      </c>
      <c r="I26" s="2"/>
    </row>
    <row r="27" spans="2:9">
      <c r="B27" t="s">
        <v>288</v>
      </c>
      <c r="C27">
        <v>10022502</v>
      </c>
      <c r="D27" t="s">
        <v>314</v>
      </c>
      <c r="E27" s="2">
        <v>2</v>
      </c>
      <c r="F27" s="2">
        <v>2</v>
      </c>
      <c r="G27" s="2">
        <v>2</v>
      </c>
      <c r="H27" s="2">
        <v>1</v>
      </c>
      <c r="I27" s="2"/>
    </row>
    <row r="28" spans="2:9">
      <c r="B28" t="s">
        <v>295</v>
      </c>
      <c r="C28">
        <v>10016946</v>
      </c>
      <c r="D28" t="s">
        <v>322</v>
      </c>
      <c r="E28" s="2">
        <v>2</v>
      </c>
      <c r="F28" s="2">
        <v>2</v>
      </c>
      <c r="G28" s="2">
        <v>1</v>
      </c>
      <c r="H28" s="2">
        <v>1</v>
      </c>
      <c r="I28" s="2"/>
    </row>
    <row r="29" spans="2:9">
      <c r="B29" t="s">
        <v>419</v>
      </c>
      <c r="C29">
        <v>10016307</v>
      </c>
      <c r="D29" t="s">
        <v>418</v>
      </c>
      <c r="E29" s="2">
        <v>2</v>
      </c>
      <c r="F29" s="2">
        <v>2</v>
      </c>
      <c r="G29" s="2">
        <v>1</v>
      </c>
      <c r="H29" s="2">
        <v>1</v>
      </c>
      <c r="I29" s="2"/>
    </row>
    <row r="30" spans="2:9">
      <c r="B30" t="s">
        <v>550</v>
      </c>
      <c r="C30">
        <v>10011867</v>
      </c>
      <c r="D30" t="s">
        <v>549</v>
      </c>
      <c r="E30" s="2">
        <v>1</v>
      </c>
      <c r="F30" s="2">
        <v>1</v>
      </c>
      <c r="G30" s="2">
        <v>1</v>
      </c>
      <c r="H30" s="2">
        <v>1</v>
      </c>
      <c r="I30" s="2"/>
    </row>
    <row r="31" spans="2:9">
      <c r="B31" t="s">
        <v>568</v>
      </c>
      <c r="C31">
        <v>10002410</v>
      </c>
      <c r="D31" t="s">
        <v>567</v>
      </c>
      <c r="E31" s="2">
        <v>1</v>
      </c>
      <c r="F31" s="2"/>
      <c r="G31" s="2"/>
      <c r="H31" s="2"/>
      <c r="I31" s="2"/>
    </row>
    <row r="32" spans="2:9">
      <c r="C32">
        <v>10029538</v>
      </c>
      <c r="D32" t="s">
        <v>569</v>
      </c>
      <c r="E32" s="2">
        <v>1</v>
      </c>
      <c r="F32" s="2"/>
      <c r="G32" s="2"/>
      <c r="H32" s="2"/>
      <c r="I32" s="2">
        <v>1</v>
      </c>
    </row>
    <row r="33" spans="1:9">
      <c r="B33" t="s">
        <v>633</v>
      </c>
      <c r="C33">
        <v>10023158</v>
      </c>
      <c r="D33" t="s">
        <v>632</v>
      </c>
      <c r="E33" s="2">
        <v>2</v>
      </c>
      <c r="F33" s="2">
        <v>1</v>
      </c>
      <c r="G33" s="2">
        <v>1</v>
      </c>
      <c r="H33" s="2">
        <v>1</v>
      </c>
      <c r="I33" s="2"/>
    </row>
    <row r="34" spans="1:9">
      <c r="B34" t="s">
        <v>641</v>
      </c>
      <c r="C34">
        <v>10011087</v>
      </c>
      <c r="D34" t="s">
        <v>640</v>
      </c>
      <c r="E34" s="2">
        <v>1</v>
      </c>
      <c r="F34" s="2"/>
      <c r="G34" s="2"/>
      <c r="H34" s="2"/>
      <c r="I34" s="2">
        <v>1</v>
      </c>
    </row>
    <row r="35" spans="1:9">
      <c r="B35" t="s">
        <v>647</v>
      </c>
      <c r="C35">
        <v>10023371</v>
      </c>
      <c r="D35" t="s">
        <v>646</v>
      </c>
      <c r="E35" s="2">
        <v>2</v>
      </c>
      <c r="F35" s="2">
        <v>1</v>
      </c>
      <c r="G35" s="2">
        <v>1</v>
      </c>
      <c r="H35" s="2">
        <v>1</v>
      </c>
      <c r="I35" s="2"/>
    </row>
    <row r="36" spans="1:9">
      <c r="A36" t="s">
        <v>268</v>
      </c>
      <c r="E36" s="2">
        <v>29</v>
      </c>
      <c r="F36" s="2">
        <v>17</v>
      </c>
      <c r="G36" s="2">
        <v>15</v>
      </c>
      <c r="H36" s="2">
        <v>13</v>
      </c>
      <c r="I36" s="2">
        <v>6</v>
      </c>
    </row>
    <row r="37" spans="1:9">
      <c r="A37" t="s">
        <v>14</v>
      </c>
      <c r="B37" t="s">
        <v>148</v>
      </c>
      <c r="C37">
        <v>10019610</v>
      </c>
      <c r="D37" t="s">
        <v>147</v>
      </c>
      <c r="E37" s="2">
        <v>1</v>
      </c>
      <c r="F37" s="2">
        <v>1</v>
      </c>
      <c r="G37" s="2">
        <v>1</v>
      </c>
      <c r="H37" s="2">
        <v>1</v>
      </c>
      <c r="I37" s="2"/>
    </row>
    <row r="38" spans="1:9">
      <c r="B38" t="s">
        <v>55</v>
      </c>
      <c r="C38">
        <v>10003775</v>
      </c>
      <c r="D38" t="s">
        <v>54</v>
      </c>
      <c r="E38" s="2">
        <v>1</v>
      </c>
      <c r="F38" s="2">
        <v>1</v>
      </c>
      <c r="G38" s="2">
        <v>1</v>
      </c>
      <c r="H38" s="2">
        <v>1</v>
      </c>
      <c r="I38" s="2"/>
    </row>
    <row r="39" spans="1:9">
      <c r="B39" t="s">
        <v>108</v>
      </c>
      <c r="C39">
        <v>10017609</v>
      </c>
      <c r="D39" t="s">
        <v>107</v>
      </c>
      <c r="E39" s="2">
        <v>1</v>
      </c>
      <c r="F39" s="2">
        <v>1</v>
      </c>
      <c r="G39" s="2">
        <v>1</v>
      </c>
      <c r="H39" s="2">
        <v>1</v>
      </c>
      <c r="I39" s="2"/>
    </row>
    <row r="40" spans="1:9">
      <c r="B40" t="s">
        <v>100</v>
      </c>
      <c r="C40">
        <v>10016947</v>
      </c>
      <c r="D40" t="s">
        <v>99</v>
      </c>
      <c r="E40" s="2">
        <v>1</v>
      </c>
      <c r="F40" s="2">
        <v>1</v>
      </c>
      <c r="G40" s="2">
        <v>1</v>
      </c>
      <c r="H40" s="2">
        <v>1</v>
      </c>
      <c r="I40" s="2"/>
    </row>
    <row r="41" spans="1:9">
      <c r="B41" t="s">
        <v>13</v>
      </c>
      <c r="C41">
        <v>10002059</v>
      </c>
      <c r="D41" t="s">
        <v>12</v>
      </c>
      <c r="E41" s="2">
        <v>1</v>
      </c>
      <c r="F41" s="2"/>
      <c r="G41" s="2">
        <v>1</v>
      </c>
      <c r="H41" s="2"/>
      <c r="I41" s="2">
        <v>1</v>
      </c>
    </row>
    <row r="42" spans="1:9">
      <c r="B42" t="s">
        <v>191</v>
      </c>
      <c r="C42">
        <v>10022803</v>
      </c>
      <c r="D42" t="s">
        <v>190</v>
      </c>
      <c r="E42" s="2">
        <v>1</v>
      </c>
      <c r="F42" s="2"/>
      <c r="G42" s="2"/>
      <c r="H42" s="2"/>
      <c r="I42" s="2">
        <v>1</v>
      </c>
    </row>
    <row r="43" spans="1:9">
      <c r="B43" t="s">
        <v>90</v>
      </c>
      <c r="C43">
        <v>10013781</v>
      </c>
      <c r="D43" t="s">
        <v>89</v>
      </c>
      <c r="E43" s="2">
        <v>4</v>
      </c>
      <c r="F43" s="2">
        <v>1</v>
      </c>
      <c r="G43" s="2"/>
      <c r="H43" s="2">
        <v>1</v>
      </c>
      <c r="I43" s="2"/>
    </row>
    <row r="44" spans="1:9">
      <c r="B44" t="s">
        <v>184</v>
      </c>
      <c r="C44">
        <v>10022317</v>
      </c>
      <c r="D44" t="s">
        <v>183</v>
      </c>
      <c r="E44" s="2">
        <v>2</v>
      </c>
      <c r="F44" s="2">
        <v>1</v>
      </c>
      <c r="G44" s="2">
        <v>1</v>
      </c>
      <c r="H44" s="2">
        <v>1</v>
      </c>
      <c r="I44" s="2"/>
    </row>
    <row r="45" spans="1:9">
      <c r="B45" t="s">
        <v>140</v>
      </c>
      <c r="C45">
        <v>10019336</v>
      </c>
      <c r="D45" t="s">
        <v>139</v>
      </c>
      <c r="E45" s="2">
        <v>3</v>
      </c>
      <c r="F45" s="2">
        <v>1</v>
      </c>
      <c r="G45" s="2">
        <v>1</v>
      </c>
      <c r="H45" s="2">
        <v>1</v>
      </c>
      <c r="I45" s="2"/>
    </row>
    <row r="46" spans="1:9">
      <c r="B46" t="s">
        <v>209</v>
      </c>
      <c r="C46">
        <v>10025286</v>
      </c>
      <c r="D46" t="s">
        <v>208</v>
      </c>
      <c r="E46" s="2">
        <v>3</v>
      </c>
      <c r="F46" s="2"/>
      <c r="G46" s="2"/>
      <c r="H46" s="2"/>
      <c r="I46" s="2">
        <v>1</v>
      </c>
    </row>
    <row r="47" spans="1:9">
      <c r="B47" t="s">
        <v>40</v>
      </c>
      <c r="C47">
        <v>10002644</v>
      </c>
      <c r="D47" t="s">
        <v>39</v>
      </c>
      <c r="E47" s="2">
        <v>1</v>
      </c>
      <c r="F47" s="2"/>
      <c r="G47" s="2"/>
      <c r="H47" s="2"/>
      <c r="I47" s="2">
        <v>1</v>
      </c>
    </row>
    <row r="48" spans="1:9">
      <c r="B48" t="s">
        <v>82</v>
      </c>
      <c r="C48">
        <v>10011965</v>
      </c>
      <c r="D48" t="s">
        <v>81</v>
      </c>
      <c r="E48" s="2">
        <v>1</v>
      </c>
      <c r="F48" s="2">
        <v>1</v>
      </c>
      <c r="G48" s="2">
        <v>1</v>
      </c>
      <c r="H48" s="2">
        <v>1</v>
      </c>
      <c r="I48" s="2"/>
    </row>
    <row r="49" spans="1:9">
      <c r="B49" t="s">
        <v>207</v>
      </c>
      <c r="C49">
        <v>10024482</v>
      </c>
      <c r="D49" t="s">
        <v>206</v>
      </c>
      <c r="E49" s="2">
        <v>1</v>
      </c>
      <c r="F49" s="2">
        <v>1</v>
      </c>
      <c r="G49" s="2">
        <v>1</v>
      </c>
      <c r="H49" s="2">
        <v>1</v>
      </c>
      <c r="I49" s="2"/>
    </row>
    <row r="50" spans="1:9">
      <c r="B50" t="s">
        <v>618</v>
      </c>
      <c r="C50">
        <v>10017880</v>
      </c>
      <c r="D50" t="s">
        <v>617</v>
      </c>
      <c r="E50" s="2">
        <v>1</v>
      </c>
      <c r="F50" s="2">
        <v>1</v>
      </c>
      <c r="G50" s="2">
        <v>1</v>
      </c>
      <c r="H50" s="2">
        <v>1</v>
      </c>
      <c r="I50" s="2"/>
    </row>
    <row r="51" spans="1:9">
      <c r="B51" t="s">
        <v>626</v>
      </c>
      <c r="C51">
        <v>10022890</v>
      </c>
      <c r="D51" t="s">
        <v>625</v>
      </c>
      <c r="E51" s="2">
        <v>2</v>
      </c>
      <c r="F51" s="2">
        <v>1</v>
      </c>
      <c r="G51" s="2">
        <v>1</v>
      </c>
      <c r="H51" s="2">
        <v>1</v>
      </c>
      <c r="I51" s="2"/>
    </row>
    <row r="52" spans="1:9">
      <c r="B52" t="s">
        <v>651</v>
      </c>
      <c r="C52">
        <v>10014732</v>
      </c>
      <c r="D52" t="s">
        <v>650</v>
      </c>
      <c r="E52" s="2">
        <v>2</v>
      </c>
      <c r="F52" s="2">
        <v>1</v>
      </c>
      <c r="G52" s="2">
        <v>1</v>
      </c>
      <c r="H52" s="2">
        <v>1</v>
      </c>
      <c r="I52" s="2"/>
    </row>
    <row r="53" spans="1:9">
      <c r="A53" t="s">
        <v>269</v>
      </c>
      <c r="E53" s="2">
        <v>26</v>
      </c>
      <c r="F53" s="2">
        <v>12</v>
      </c>
      <c r="G53" s="2">
        <v>12</v>
      </c>
      <c r="H53" s="2">
        <v>12</v>
      </c>
      <c r="I53" s="2">
        <v>4</v>
      </c>
    </row>
    <row r="54" spans="1:9">
      <c r="A54" t="s">
        <v>119</v>
      </c>
      <c r="B54" t="s">
        <v>245</v>
      </c>
      <c r="C54">
        <v>10030888</v>
      </c>
      <c r="D54" t="s">
        <v>244</v>
      </c>
      <c r="E54" s="2">
        <v>2</v>
      </c>
      <c r="F54" s="2">
        <v>1</v>
      </c>
      <c r="G54" s="2">
        <v>1</v>
      </c>
      <c r="H54" s="2">
        <v>1</v>
      </c>
      <c r="I54" s="2"/>
    </row>
    <row r="55" spans="1:9">
      <c r="B55" t="s">
        <v>118</v>
      </c>
      <c r="C55">
        <v>10018552</v>
      </c>
      <c r="D55" t="s">
        <v>117</v>
      </c>
      <c r="E55" s="2">
        <v>2</v>
      </c>
      <c r="F55" s="2">
        <v>1</v>
      </c>
      <c r="G55" s="2">
        <v>1</v>
      </c>
      <c r="H55" s="2"/>
      <c r="I55" s="2"/>
    </row>
    <row r="56" spans="1:9">
      <c r="C56">
        <v>10022505</v>
      </c>
      <c r="D56" t="s">
        <v>187</v>
      </c>
      <c r="E56" s="2">
        <v>2</v>
      </c>
      <c r="F56" s="2">
        <v>1</v>
      </c>
      <c r="G56" s="2">
        <v>1</v>
      </c>
      <c r="H56" s="2">
        <v>1</v>
      </c>
      <c r="I56" s="2"/>
    </row>
    <row r="57" spans="1:9">
      <c r="B57" t="s">
        <v>221</v>
      </c>
      <c r="C57">
        <v>10028602</v>
      </c>
      <c r="D57" t="s">
        <v>220</v>
      </c>
      <c r="E57" s="2">
        <v>1</v>
      </c>
      <c r="F57" s="2">
        <v>1</v>
      </c>
      <c r="G57" s="2">
        <v>1</v>
      </c>
      <c r="H57" s="2">
        <v>1</v>
      </c>
      <c r="I57" s="2"/>
    </row>
    <row r="58" spans="1:9">
      <c r="B58" t="s">
        <v>239</v>
      </c>
      <c r="C58">
        <v>10030220</v>
      </c>
      <c r="D58" t="s">
        <v>238</v>
      </c>
      <c r="E58" s="2">
        <v>1</v>
      </c>
      <c r="F58" s="2">
        <v>1</v>
      </c>
      <c r="G58" s="2">
        <v>1</v>
      </c>
      <c r="H58" s="2">
        <v>1</v>
      </c>
      <c r="I58" s="2"/>
    </row>
    <row r="59" spans="1:9">
      <c r="B59" t="s">
        <v>219</v>
      </c>
      <c r="C59">
        <v>10028508</v>
      </c>
      <c r="D59" t="s">
        <v>218</v>
      </c>
      <c r="E59" s="2"/>
      <c r="F59" s="2"/>
      <c r="G59" s="2"/>
      <c r="H59" s="2"/>
      <c r="I59" s="2">
        <v>1</v>
      </c>
    </row>
    <row r="60" spans="1:9">
      <c r="B60" t="s">
        <v>231</v>
      </c>
      <c r="C60">
        <v>10029414</v>
      </c>
      <c r="D60" t="s">
        <v>230</v>
      </c>
      <c r="E60" s="2">
        <v>1</v>
      </c>
      <c r="F60" s="2">
        <v>1</v>
      </c>
      <c r="G60" s="2">
        <v>1</v>
      </c>
      <c r="H60" s="2">
        <v>1</v>
      </c>
      <c r="I60" s="2"/>
    </row>
    <row r="61" spans="1:9">
      <c r="B61" t="s">
        <v>628</v>
      </c>
      <c r="C61">
        <v>10029278</v>
      </c>
      <c r="D61" t="s">
        <v>627</v>
      </c>
      <c r="E61" s="2"/>
      <c r="F61" s="2"/>
      <c r="G61" s="2"/>
      <c r="H61" s="2"/>
      <c r="I61" s="2">
        <v>1</v>
      </c>
    </row>
    <row r="62" spans="1:9">
      <c r="B62" t="s">
        <v>653</v>
      </c>
      <c r="C62">
        <v>10026044</v>
      </c>
      <c r="D62" t="s">
        <v>652</v>
      </c>
      <c r="E62" s="2">
        <v>1</v>
      </c>
      <c r="F62" s="2">
        <v>1</v>
      </c>
      <c r="G62" s="2">
        <v>1</v>
      </c>
      <c r="H62" s="2">
        <v>1</v>
      </c>
      <c r="I62" s="2"/>
    </row>
    <row r="63" spans="1:9">
      <c r="A63" t="s">
        <v>270</v>
      </c>
      <c r="E63" s="2">
        <v>10</v>
      </c>
      <c r="F63" s="2">
        <v>7</v>
      </c>
      <c r="G63" s="2">
        <v>7</v>
      </c>
      <c r="H63" s="2">
        <v>6</v>
      </c>
      <c r="I63" s="2">
        <v>2</v>
      </c>
    </row>
    <row r="64" spans="1:9">
      <c r="A64" t="s">
        <v>59</v>
      </c>
      <c r="B64" t="s">
        <v>98</v>
      </c>
      <c r="C64">
        <v>10016908</v>
      </c>
      <c r="D64" t="s">
        <v>97</v>
      </c>
      <c r="E64" s="2">
        <v>1</v>
      </c>
      <c r="F64" s="2"/>
      <c r="G64" s="2"/>
      <c r="H64" s="2"/>
      <c r="I64" s="2">
        <v>1</v>
      </c>
    </row>
    <row r="65" spans="1:9">
      <c r="B65" t="s">
        <v>121</v>
      </c>
      <c r="C65">
        <v>10018597</v>
      </c>
      <c r="D65" t="s">
        <v>120</v>
      </c>
      <c r="E65" s="2">
        <v>1</v>
      </c>
      <c r="F65" s="2"/>
      <c r="G65" s="2"/>
      <c r="H65" s="2"/>
      <c r="I65" s="2">
        <v>1</v>
      </c>
    </row>
    <row r="66" spans="1:9">
      <c r="B66" t="s">
        <v>92</v>
      </c>
      <c r="C66">
        <v>10013982</v>
      </c>
      <c r="D66" t="s">
        <v>91</v>
      </c>
      <c r="E66" s="2">
        <v>2</v>
      </c>
      <c r="F66" s="2">
        <v>1</v>
      </c>
      <c r="G66" s="2">
        <v>1</v>
      </c>
      <c r="H66" s="2">
        <v>1</v>
      </c>
      <c r="I66" s="2"/>
    </row>
    <row r="67" spans="1:9">
      <c r="B67" t="s">
        <v>58</v>
      </c>
      <c r="C67">
        <v>10005402</v>
      </c>
      <c r="D67" t="s">
        <v>57</v>
      </c>
      <c r="E67" s="2">
        <v>1</v>
      </c>
      <c r="F67" s="2"/>
      <c r="G67" s="2"/>
      <c r="H67" s="2"/>
      <c r="I67" s="2">
        <v>1</v>
      </c>
    </row>
    <row r="68" spans="1:9">
      <c r="B68" t="s">
        <v>289</v>
      </c>
      <c r="C68">
        <v>10016744</v>
      </c>
      <c r="D68" t="s">
        <v>316</v>
      </c>
      <c r="E68" s="2">
        <v>1</v>
      </c>
      <c r="F68" s="2"/>
      <c r="G68" s="2"/>
      <c r="H68" s="2"/>
      <c r="I68" s="2">
        <v>1</v>
      </c>
    </row>
    <row r="69" spans="1:9">
      <c r="A69" t="s">
        <v>271</v>
      </c>
      <c r="E69" s="2">
        <v>6</v>
      </c>
      <c r="F69" s="2">
        <v>1</v>
      </c>
      <c r="G69" s="2">
        <v>1</v>
      </c>
      <c r="H69" s="2">
        <v>1</v>
      </c>
      <c r="I69" s="2">
        <v>4</v>
      </c>
    </row>
    <row r="70" spans="1:9">
      <c r="A70" t="s">
        <v>654</v>
      </c>
      <c r="B70" t="s">
        <v>474</v>
      </c>
      <c r="C70">
        <v>10007811</v>
      </c>
      <c r="D70" t="s">
        <v>473</v>
      </c>
      <c r="E70" s="2"/>
      <c r="F70" s="2"/>
      <c r="G70" s="2"/>
      <c r="H70" s="2"/>
      <c r="I70" s="2"/>
    </row>
    <row r="71" spans="1:9">
      <c r="B71" t="s">
        <v>116</v>
      </c>
      <c r="C71">
        <v>10018143</v>
      </c>
      <c r="D71" t="s">
        <v>115</v>
      </c>
      <c r="E71" s="2">
        <v>1</v>
      </c>
      <c r="F71" s="2">
        <v>1</v>
      </c>
      <c r="G71" s="2">
        <v>1</v>
      </c>
      <c r="H71" s="2">
        <v>1</v>
      </c>
      <c r="I71" s="2"/>
    </row>
    <row r="72" spans="1:9">
      <c r="B72" t="s">
        <v>248</v>
      </c>
      <c r="C72">
        <v>10031660</v>
      </c>
      <c r="D72" t="s">
        <v>247</v>
      </c>
      <c r="E72" s="2">
        <v>1</v>
      </c>
      <c r="F72" s="2">
        <v>1</v>
      </c>
      <c r="G72" s="2">
        <v>1</v>
      </c>
      <c r="H72" s="2">
        <v>1</v>
      </c>
      <c r="I72" s="2"/>
    </row>
    <row r="73" spans="1:9">
      <c r="B73" t="s">
        <v>483</v>
      </c>
      <c r="C73">
        <v>10017261</v>
      </c>
      <c r="D73" t="s">
        <v>482</v>
      </c>
      <c r="E73" s="2"/>
      <c r="F73" s="2"/>
      <c r="G73" s="2"/>
      <c r="H73" s="2"/>
      <c r="I73" s="2"/>
    </row>
    <row r="74" spans="1:9">
      <c r="B74" t="s">
        <v>485</v>
      </c>
      <c r="C74">
        <v>10016689</v>
      </c>
      <c r="D74" t="s">
        <v>486</v>
      </c>
      <c r="E74" s="2"/>
      <c r="F74" s="2"/>
      <c r="G74" s="2"/>
      <c r="H74" s="2"/>
      <c r="I74" s="2"/>
    </row>
    <row r="75" spans="1:9">
      <c r="C75">
        <v>10023546</v>
      </c>
      <c r="D75" t="s">
        <v>484</v>
      </c>
      <c r="E75" s="2"/>
      <c r="F75" s="2"/>
      <c r="G75" s="2"/>
      <c r="H75" s="2"/>
      <c r="I75" s="2">
        <v>1</v>
      </c>
    </row>
    <row r="76" spans="1:9">
      <c r="B76" t="s">
        <v>131</v>
      </c>
      <c r="C76">
        <v>10019089</v>
      </c>
      <c r="D76" t="s">
        <v>130</v>
      </c>
      <c r="E76" s="2">
        <v>1</v>
      </c>
      <c r="F76" s="2">
        <v>1</v>
      </c>
      <c r="G76" s="2">
        <v>1</v>
      </c>
      <c r="H76" s="2">
        <v>1</v>
      </c>
      <c r="I76" s="2"/>
    </row>
    <row r="77" spans="1:9">
      <c r="B77" t="s">
        <v>26</v>
      </c>
      <c r="C77">
        <v>10002616</v>
      </c>
      <c r="D77" t="s">
        <v>25</v>
      </c>
      <c r="E77" s="2">
        <v>1</v>
      </c>
      <c r="F77" s="2">
        <v>1</v>
      </c>
      <c r="G77" s="2">
        <v>1</v>
      </c>
      <c r="H77" s="2">
        <v>1</v>
      </c>
      <c r="I77" s="2"/>
    </row>
    <row r="78" spans="1:9">
      <c r="B78" t="s">
        <v>235</v>
      </c>
      <c r="C78">
        <v>10029742</v>
      </c>
      <c r="D78" t="s">
        <v>234</v>
      </c>
      <c r="E78" s="2">
        <v>1</v>
      </c>
      <c r="F78" s="2">
        <v>1</v>
      </c>
      <c r="G78" s="2">
        <v>1</v>
      </c>
      <c r="H78" s="2">
        <v>1</v>
      </c>
      <c r="I78" s="2"/>
    </row>
    <row r="79" spans="1:9">
      <c r="B79" t="s">
        <v>165</v>
      </c>
      <c r="C79">
        <v>10021084</v>
      </c>
      <c r="D79" t="s">
        <v>164</v>
      </c>
      <c r="E79" s="2">
        <v>1</v>
      </c>
      <c r="F79" s="2">
        <v>1</v>
      </c>
      <c r="G79" s="2">
        <v>1</v>
      </c>
      <c r="H79" s="2"/>
      <c r="I79" s="2"/>
    </row>
    <row r="80" spans="1:9">
      <c r="C80">
        <v>10030282</v>
      </c>
      <c r="D80" t="s">
        <v>614</v>
      </c>
      <c r="E80" s="2">
        <v>1</v>
      </c>
      <c r="F80" s="2">
        <v>1</v>
      </c>
      <c r="G80" s="2">
        <v>1</v>
      </c>
      <c r="H80" s="2">
        <v>1</v>
      </c>
      <c r="I80" s="2"/>
    </row>
    <row r="81" spans="2:9">
      <c r="B81" t="s">
        <v>29</v>
      </c>
      <c r="C81">
        <v>10002618</v>
      </c>
      <c r="D81" t="s">
        <v>28</v>
      </c>
      <c r="E81" s="2">
        <v>1</v>
      </c>
      <c r="F81" s="2">
        <v>1</v>
      </c>
      <c r="G81" s="2">
        <v>1</v>
      </c>
      <c r="H81" s="2">
        <v>1</v>
      </c>
      <c r="I81" s="2"/>
    </row>
    <row r="82" spans="2:9">
      <c r="B82" t="s">
        <v>78</v>
      </c>
      <c r="C82">
        <v>10011954</v>
      </c>
      <c r="D82" t="s">
        <v>77</v>
      </c>
      <c r="E82" s="2">
        <v>1</v>
      </c>
      <c r="F82" s="2"/>
      <c r="G82" s="2"/>
      <c r="H82" s="2"/>
      <c r="I82" s="2">
        <v>1</v>
      </c>
    </row>
    <row r="83" spans="2:9">
      <c r="B83" t="s">
        <v>127</v>
      </c>
      <c r="C83">
        <v>10018856</v>
      </c>
      <c r="D83" t="s">
        <v>126</v>
      </c>
      <c r="E83" s="2">
        <v>1</v>
      </c>
      <c r="F83" s="2"/>
      <c r="G83" s="2"/>
      <c r="H83" s="2"/>
      <c r="I83" s="2">
        <v>1</v>
      </c>
    </row>
    <row r="84" spans="2:9">
      <c r="B84" t="s">
        <v>157</v>
      </c>
      <c r="C84">
        <v>10020848</v>
      </c>
      <c r="D84" t="s">
        <v>156</v>
      </c>
      <c r="E84" s="2">
        <v>1</v>
      </c>
      <c r="F84" s="2">
        <v>1</v>
      </c>
      <c r="G84" s="2">
        <v>1</v>
      </c>
      <c r="H84" s="2">
        <v>1</v>
      </c>
      <c r="I84" s="2"/>
    </row>
    <row r="85" spans="2:9">
      <c r="B85" t="s">
        <v>125</v>
      </c>
      <c r="C85">
        <v>10018808</v>
      </c>
      <c r="D85" t="s">
        <v>124</v>
      </c>
      <c r="E85" s="2">
        <v>3</v>
      </c>
      <c r="F85" s="2">
        <v>2</v>
      </c>
      <c r="G85" s="2">
        <v>2</v>
      </c>
      <c r="H85" s="2"/>
      <c r="I85" s="2"/>
    </row>
    <row r="86" spans="2:9">
      <c r="C86">
        <v>10023490</v>
      </c>
      <c r="D86" t="s">
        <v>201</v>
      </c>
      <c r="E86" s="2">
        <v>3</v>
      </c>
      <c r="F86" s="2">
        <v>2</v>
      </c>
      <c r="G86" s="2">
        <v>2</v>
      </c>
      <c r="H86" s="2">
        <v>1</v>
      </c>
      <c r="I86" s="2"/>
    </row>
    <row r="87" spans="2:9">
      <c r="B87" t="s">
        <v>223</v>
      </c>
      <c r="C87">
        <v>10029175</v>
      </c>
      <c r="D87" t="s">
        <v>222</v>
      </c>
      <c r="E87" s="2">
        <v>1</v>
      </c>
      <c r="F87" s="2">
        <v>1</v>
      </c>
      <c r="G87" s="2">
        <v>1</v>
      </c>
      <c r="H87" s="2">
        <v>1</v>
      </c>
      <c r="I87" s="2"/>
    </row>
    <row r="88" spans="2:9">
      <c r="B88" t="s">
        <v>522</v>
      </c>
      <c r="C88">
        <v>10017914</v>
      </c>
      <c r="D88" t="s">
        <v>521</v>
      </c>
      <c r="E88" s="2"/>
      <c r="F88" s="2"/>
      <c r="G88" s="2"/>
      <c r="H88" s="2"/>
      <c r="I88" s="2">
        <v>1</v>
      </c>
    </row>
    <row r="89" spans="2:9">
      <c r="B89" t="s">
        <v>243</v>
      </c>
      <c r="C89">
        <v>10030431</v>
      </c>
      <c r="D89" t="s">
        <v>242</v>
      </c>
      <c r="E89" s="2">
        <v>1</v>
      </c>
      <c r="F89" s="2">
        <v>1</v>
      </c>
      <c r="G89" s="2">
        <v>1</v>
      </c>
      <c r="H89" s="2">
        <v>1</v>
      </c>
      <c r="I89" s="2"/>
    </row>
    <row r="90" spans="2:9">
      <c r="B90" t="s">
        <v>194</v>
      </c>
      <c r="C90">
        <v>10023008</v>
      </c>
      <c r="D90" t="s">
        <v>193</v>
      </c>
      <c r="E90" s="2">
        <v>1</v>
      </c>
      <c r="F90" s="2"/>
      <c r="G90" s="2"/>
      <c r="H90" s="2"/>
      <c r="I90" s="2">
        <v>1</v>
      </c>
    </row>
    <row r="91" spans="2:9">
      <c r="B91" t="s">
        <v>530</v>
      </c>
      <c r="C91">
        <v>10012944</v>
      </c>
      <c r="D91" t="s">
        <v>529</v>
      </c>
      <c r="E91" s="2"/>
      <c r="F91" s="2"/>
      <c r="G91" s="2"/>
      <c r="H91" s="2"/>
      <c r="I91" s="2">
        <v>1</v>
      </c>
    </row>
    <row r="92" spans="2:9">
      <c r="B92" t="s">
        <v>198</v>
      </c>
      <c r="C92">
        <v>10023342</v>
      </c>
      <c r="D92" t="s">
        <v>197</v>
      </c>
      <c r="E92" s="2">
        <v>1</v>
      </c>
      <c r="F92" s="2">
        <v>1</v>
      </c>
      <c r="G92" s="2">
        <v>1</v>
      </c>
      <c r="H92" s="2">
        <v>1</v>
      </c>
      <c r="I92" s="2"/>
    </row>
    <row r="93" spans="2:9">
      <c r="B93" t="s">
        <v>80</v>
      </c>
      <c r="C93">
        <v>10011961</v>
      </c>
      <c r="D93" t="s">
        <v>79</v>
      </c>
      <c r="E93" s="2">
        <v>2</v>
      </c>
      <c r="F93" s="2"/>
      <c r="G93" s="2">
        <v>1</v>
      </c>
      <c r="H93" s="2"/>
      <c r="I93" s="2">
        <v>1</v>
      </c>
    </row>
    <row r="94" spans="2:9">
      <c r="B94" t="s">
        <v>182</v>
      </c>
      <c r="C94">
        <v>10022134</v>
      </c>
      <c r="D94" t="s">
        <v>181</v>
      </c>
      <c r="E94" s="2">
        <v>1</v>
      </c>
      <c r="F94" s="2"/>
      <c r="G94" s="2">
        <v>1</v>
      </c>
      <c r="H94" s="2"/>
      <c r="I94" s="2">
        <v>1</v>
      </c>
    </row>
    <row r="95" spans="2:9">
      <c r="B95" t="s">
        <v>53</v>
      </c>
      <c r="C95">
        <v>10003734</v>
      </c>
      <c r="D95" t="s">
        <v>52</v>
      </c>
      <c r="E95" s="2"/>
      <c r="F95" s="2"/>
      <c r="G95" s="2"/>
      <c r="H95" s="2"/>
      <c r="I95" s="2">
        <v>1</v>
      </c>
    </row>
    <row r="96" spans="2:9">
      <c r="B96" t="s">
        <v>196</v>
      </c>
      <c r="C96">
        <v>10023135</v>
      </c>
      <c r="D96" t="s">
        <v>195</v>
      </c>
      <c r="E96" s="2">
        <v>1</v>
      </c>
      <c r="F96" s="2">
        <v>1</v>
      </c>
      <c r="G96" s="2">
        <v>1</v>
      </c>
      <c r="H96" s="2">
        <v>1</v>
      </c>
      <c r="I96" s="2"/>
    </row>
    <row r="97" spans="2:9">
      <c r="B97" t="s">
        <v>225</v>
      </c>
      <c r="C97">
        <v>10029232</v>
      </c>
      <c r="D97" t="s">
        <v>224</v>
      </c>
      <c r="E97" s="2">
        <v>1</v>
      </c>
      <c r="F97" s="2">
        <v>1</v>
      </c>
      <c r="G97" s="2">
        <v>1</v>
      </c>
      <c r="H97" s="2">
        <v>1</v>
      </c>
      <c r="I97" s="2"/>
    </row>
    <row r="98" spans="2:9">
      <c r="B98" t="s">
        <v>556</v>
      </c>
      <c r="C98">
        <v>10018557</v>
      </c>
      <c r="D98" t="s">
        <v>555</v>
      </c>
      <c r="E98" s="2"/>
      <c r="F98" s="2"/>
      <c r="G98" s="2"/>
      <c r="H98" s="2"/>
      <c r="I98" s="2">
        <v>1</v>
      </c>
    </row>
    <row r="99" spans="2:9">
      <c r="B99" t="s">
        <v>566</v>
      </c>
      <c r="C99">
        <v>10011962</v>
      </c>
      <c r="D99" t="s">
        <v>565</v>
      </c>
      <c r="E99" s="2"/>
      <c r="F99" s="2"/>
      <c r="G99" s="2"/>
      <c r="H99" s="2"/>
      <c r="I99" s="2">
        <v>1</v>
      </c>
    </row>
    <row r="100" spans="2:9">
      <c r="B100" t="s">
        <v>174</v>
      </c>
      <c r="C100">
        <v>10021546</v>
      </c>
      <c r="D100" t="s">
        <v>173</v>
      </c>
      <c r="E100" s="2">
        <v>2</v>
      </c>
      <c r="F100" s="2">
        <v>2</v>
      </c>
      <c r="G100" s="2">
        <v>1</v>
      </c>
      <c r="H100" s="2">
        <v>1</v>
      </c>
      <c r="I100" s="2"/>
    </row>
    <row r="101" spans="2:9">
      <c r="B101" t="s">
        <v>180</v>
      </c>
      <c r="C101">
        <v>10021905</v>
      </c>
      <c r="D101" t="s">
        <v>179</v>
      </c>
      <c r="E101" s="2">
        <v>1</v>
      </c>
      <c r="F101" s="2">
        <v>1</v>
      </c>
      <c r="G101" s="2">
        <v>1</v>
      </c>
      <c r="H101" s="2">
        <v>1</v>
      </c>
      <c r="I101" s="2"/>
    </row>
    <row r="102" spans="2:9">
      <c r="B102" t="s">
        <v>215</v>
      </c>
      <c r="C102">
        <v>10025994</v>
      </c>
      <c r="D102" t="s">
        <v>214</v>
      </c>
      <c r="E102" s="2">
        <v>1</v>
      </c>
      <c r="F102" s="2">
        <v>1</v>
      </c>
      <c r="G102" s="2">
        <v>1</v>
      </c>
      <c r="H102" s="2">
        <v>1</v>
      </c>
      <c r="I102" s="2"/>
    </row>
    <row r="103" spans="2:9">
      <c r="B103" t="s">
        <v>597</v>
      </c>
      <c r="C103">
        <v>10030379</v>
      </c>
      <c r="D103" t="s">
        <v>596</v>
      </c>
      <c r="E103" s="2"/>
      <c r="F103" s="2"/>
      <c r="G103" s="2"/>
      <c r="H103" s="2"/>
      <c r="I103" s="2">
        <v>1</v>
      </c>
    </row>
    <row r="104" spans="2:9">
      <c r="B104" t="s">
        <v>229</v>
      </c>
      <c r="C104">
        <v>10029413</v>
      </c>
      <c r="D104" t="s">
        <v>228</v>
      </c>
      <c r="E104" s="2">
        <v>1</v>
      </c>
      <c r="F104" s="2">
        <v>1</v>
      </c>
      <c r="G104" s="2">
        <v>1</v>
      </c>
      <c r="H104" s="2">
        <v>1</v>
      </c>
      <c r="I104" s="2"/>
    </row>
    <row r="105" spans="2:9">
      <c r="B105" t="s">
        <v>133</v>
      </c>
      <c r="C105">
        <v>10019114</v>
      </c>
      <c r="D105" t="s">
        <v>132</v>
      </c>
      <c r="E105" s="2">
        <v>1</v>
      </c>
      <c r="F105" s="2">
        <v>1</v>
      </c>
      <c r="G105" s="2">
        <v>1</v>
      </c>
      <c r="H105" s="2">
        <v>1</v>
      </c>
      <c r="I105" s="2"/>
    </row>
    <row r="106" spans="2:9">
      <c r="B106" t="s">
        <v>88</v>
      </c>
      <c r="C106">
        <v>10012238</v>
      </c>
      <c r="D106" t="s">
        <v>87</v>
      </c>
      <c r="E106" s="2">
        <v>3</v>
      </c>
      <c r="F106" s="2">
        <v>1</v>
      </c>
      <c r="G106" s="2">
        <v>1</v>
      </c>
      <c r="H106" s="2">
        <v>1</v>
      </c>
      <c r="I106" s="2"/>
    </row>
    <row r="107" spans="2:9">
      <c r="B107" t="s">
        <v>65</v>
      </c>
      <c r="C107">
        <v>10007071</v>
      </c>
      <c r="D107" t="s">
        <v>64</v>
      </c>
      <c r="E107" s="2">
        <v>1</v>
      </c>
      <c r="F107" s="2">
        <v>1</v>
      </c>
      <c r="G107" s="2">
        <v>1</v>
      </c>
      <c r="H107" s="2">
        <v>1</v>
      </c>
      <c r="I107" s="2"/>
    </row>
    <row r="108" spans="2:9">
      <c r="B108" t="s">
        <v>283</v>
      </c>
      <c r="C108">
        <v>10002342</v>
      </c>
      <c r="D108" t="s">
        <v>308</v>
      </c>
      <c r="E108" s="2">
        <v>3</v>
      </c>
      <c r="F108" s="2">
        <v>1</v>
      </c>
      <c r="G108" s="2">
        <v>1</v>
      </c>
      <c r="H108" s="2">
        <v>1</v>
      </c>
      <c r="I108" s="2"/>
    </row>
    <row r="109" spans="2:9">
      <c r="B109" t="s">
        <v>286</v>
      </c>
      <c r="C109">
        <v>10011953</v>
      </c>
      <c r="D109" t="s">
        <v>311</v>
      </c>
      <c r="E109" s="2">
        <v>6</v>
      </c>
      <c r="F109" s="2"/>
      <c r="G109" s="2"/>
      <c r="H109" s="2"/>
      <c r="I109" s="2">
        <v>1</v>
      </c>
    </row>
    <row r="110" spans="2:9">
      <c r="B110" t="s">
        <v>291</v>
      </c>
      <c r="C110">
        <v>10029303</v>
      </c>
      <c r="D110" t="s">
        <v>318</v>
      </c>
      <c r="E110" s="2">
        <v>1</v>
      </c>
      <c r="F110" s="2">
        <v>1</v>
      </c>
      <c r="G110" s="2">
        <v>1</v>
      </c>
      <c r="H110" s="2">
        <v>1</v>
      </c>
      <c r="I110" s="2"/>
    </row>
    <row r="111" spans="2:9">
      <c r="B111" t="s">
        <v>292</v>
      </c>
      <c r="C111">
        <v>10016624</v>
      </c>
      <c r="D111" t="s">
        <v>319</v>
      </c>
      <c r="E111" s="2">
        <v>2</v>
      </c>
      <c r="F111" s="2">
        <v>2</v>
      </c>
      <c r="G111" s="2">
        <v>1</v>
      </c>
      <c r="H111" s="2">
        <v>1</v>
      </c>
      <c r="I111" s="2"/>
    </row>
    <row r="112" spans="2:9">
      <c r="B112" t="s">
        <v>293</v>
      </c>
      <c r="C112">
        <v>10019574</v>
      </c>
      <c r="D112" t="s">
        <v>320</v>
      </c>
      <c r="E112" s="2">
        <v>1</v>
      </c>
      <c r="F112" s="2">
        <v>1</v>
      </c>
      <c r="G112" s="2">
        <v>2</v>
      </c>
      <c r="H112" s="2">
        <v>1</v>
      </c>
      <c r="I112" s="2"/>
    </row>
    <row r="113" spans="2:9">
      <c r="B113" t="s">
        <v>297</v>
      </c>
      <c r="C113">
        <v>10023289</v>
      </c>
      <c r="D113" t="s">
        <v>324</v>
      </c>
      <c r="E113" s="2">
        <v>1</v>
      </c>
      <c r="F113" s="2">
        <v>1</v>
      </c>
      <c r="G113" s="2">
        <v>1</v>
      </c>
      <c r="H113" s="2">
        <v>1</v>
      </c>
      <c r="I113" s="2"/>
    </row>
    <row r="114" spans="2:9">
      <c r="B114" t="s">
        <v>300</v>
      </c>
      <c r="C114">
        <v>10031100</v>
      </c>
      <c r="D114" t="s">
        <v>327</v>
      </c>
      <c r="E114" s="2">
        <v>1</v>
      </c>
      <c r="F114" s="2">
        <v>1</v>
      </c>
      <c r="G114" s="2">
        <v>1</v>
      </c>
      <c r="H114" s="2">
        <v>1</v>
      </c>
      <c r="I114" s="2"/>
    </row>
    <row r="115" spans="2:9">
      <c r="B115" t="s">
        <v>301</v>
      </c>
      <c r="C115">
        <v>10018762</v>
      </c>
      <c r="D115" t="s">
        <v>329</v>
      </c>
      <c r="E115" s="2">
        <v>1</v>
      </c>
      <c r="F115" s="2"/>
      <c r="G115" s="2"/>
      <c r="H115" s="2"/>
      <c r="I115" s="2">
        <v>1</v>
      </c>
    </row>
    <row r="116" spans="2:9">
      <c r="B116" t="s">
        <v>603</v>
      </c>
      <c r="C116">
        <v>10016485</v>
      </c>
      <c r="D116" t="s">
        <v>602</v>
      </c>
      <c r="E116" s="2"/>
      <c r="F116" s="2"/>
      <c r="G116" s="2"/>
      <c r="H116" s="2"/>
      <c r="I116" s="2">
        <v>1</v>
      </c>
    </row>
    <row r="117" spans="2:9">
      <c r="B117" t="s">
        <v>306</v>
      </c>
      <c r="C117">
        <v>10016441</v>
      </c>
      <c r="D117" t="s">
        <v>334</v>
      </c>
      <c r="E117" s="2">
        <v>2</v>
      </c>
      <c r="F117" s="2"/>
      <c r="G117" s="2"/>
      <c r="H117" s="2"/>
      <c r="I117" s="2">
        <v>1</v>
      </c>
    </row>
    <row r="118" spans="2:9">
      <c r="B118" t="s">
        <v>415</v>
      </c>
      <c r="C118">
        <v>10016059</v>
      </c>
      <c r="D118" t="s">
        <v>414</v>
      </c>
      <c r="E118" s="2">
        <v>2</v>
      </c>
      <c r="F118" s="2">
        <v>2</v>
      </c>
      <c r="G118" s="2">
        <v>1</v>
      </c>
      <c r="H118" s="2">
        <v>1</v>
      </c>
      <c r="I118" s="2"/>
    </row>
    <row r="119" spans="2:9">
      <c r="B119" t="s">
        <v>426</v>
      </c>
      <c r="C119">
        <v>10011097</v>
      </c>
      <c r="D119" t="s">
        <v>425</v>
      </c>
      <c r="E119" s="2">
        <v>2</v>
      </c>
      <c r="F119" s="2">
        <v>2</v>
      </c>
      <c r="G119" s="2">
        <v>2</v>
      </c>
      <c r="H119" s="2">
        <v>1</v>
      </c>
      <c r="I119" s="2"/>
    </row>
    <row r="120" spans="2:9">
      <c r="B120" t="s">
        <v>428</v>
      </c>
      <c r="C120">
        <v>10011964</v>
      </c>
      <c r="D120" t="s">
        <v>427</v>
      </c>
      <c r="E120" s="2">
        <v>2</v>
      </c>
      <c r="F120" s="2">
        <v>2</v>
      </c>
      <c r="G120" s="2">
        <v>1</v>
      </c>
      <c r="H120" s="2">
        <v>1</v>
      </c>
      <c r="I120" s="2"/>
    </row>
    <row r="121" spans="2:9">
      <c r="B121" t="s">
        <v>496</v>
      </c>
      <c r="C121">
        <v>10030316</v>
      </c>
      <c r="D121" t="s">
        <v>495</v>
      </c>
      <c r="E121" s="2"/>
      <c r="F121" s="2"/>
      <c r="G121" s="2"/>
      <c r="H121" s="2"/>
      <c r="I121" s="2">
        <v>1</v>
      </c>
    </row>
    <row r="122" spans="2:9">
      <c r="B122" t="s">
        <v>508</v>
      </c>
      <c r="C122">
        <v>10018727</v>
      </c>
      <c r="D122" t="s">
        <v>507</v>
      </c>
      <c r="E122" s="2">
        <v>1</v>
      </c>
      <c r="F122" s="2">
        <v>1</v>
      </c>
      <c r="G122" s="2">
        <v>1</v>
      </c>
      <c r="H122" s="2">
        <v>1</v>
      </c>
      <c r="I122" s="2"/>
    </row>
    <row r="123" spans="2:9">
      <c r="B123" t="s">
        <v>514</v>
      </c>
      <c r="C123">
        <v>10020651</v>
      </c>
      <c r="D123" t="s">
        <v>513</v>
      </c>
      <c r="E123" s="2">
        <v>1</v>
      </c>
      <c r="F123" s="2"/>
      <c r="G123" s="2"/>
      <c r="H123" s="2"/>
      <c r="I123" s="2">
        <v>1</v>
      </c>
    </row>
    <row r="124" spans="2:9">
      <c r="B124" t="s">
        <v>524</v>
      </c>
      <c r="C124">
        <v>10020397</v>
      </c>
      <c r="D124" t="s">
        <v>523</v>
      </c>
      <c r="E124" s="2"/>
      <c r="F124" s="2"/>
      <c r="G124" s="2"/>
      <c r="H124" s="2"/>
      <c r="I124" s="2">
        <v>1</v>
      </c>
    </row>
    <row r="125" spans="2:9">
      <c r="B125" t="s">
        <v>548</v>
      </c>
      <c r="C125">
        <v>10018644</v>
      </c>
      <c r="D125" t="s">
        <v>547</v>
      </c>
      <c r="E125" s="2">
        <v>2</v>
      </c>
      <c r="F125" s="2">
        <v>1</v>
      </c>
      <c r="G125" s="2">
        <v>1</v>
      </c>
      <c r="H125" s="2">
        <v>1</v>
      </c>
      <c r="I125" s="2"/>
    </row>
    <row r="126" spans="2:9">
      <c r="B126" t="s">
        <v>562</v>
      </c>
      <c r="C126">
        <v>10029574</v>
      </c>
      <c r="D126" t="s">
        <v>561</v>
      </c>
      <c r="E126" s="2"/>
      <c r="F126" s="2"/>
      <c r="G126" s="2"/>
      <c r="H126" s="2"/>
      <c r="I126" s="2">
        <v>1</v>
      </c>
    </row>
    <row r="127" spans="2:9">
      <c r="B127" t="s">
        <v>613</v>
      </c>
      <c r="C127">
        <v>10008043</v>
      </c>
      <c r="D127" t="s">
        <v>612</v>
      </c>
      <c r="E127" s="2">
        <v>2</v>
      </c>
      <c r="F127" s="2">
        <v>1</v>
      </c>
      <c r="G127" s="2">
        <v>1</v>
      </c>
      <c r="H127" s="2">
        <v>1</v>
      </c>
      <c r="I127" s="2"/>
    </row>
    <row r="128" spans="2:9">
      <c r="B128" t="s">
        <v>616</v>
      </c>
      <c r="C128">
        <v>10029677</v>
      </c>
      <c r="D128" t="s">
        <v>615</v>
      </c>
      <c r="E128" s="2">
        <v>1</v>
      </c>
      <c r="F128" s="2">
        <v>1</v>
      </c>
      <c r="G128" s="2">
        <v>1</v>
      </c>
      <c r="H128" s="2">
        <v>1</v>
      </c>
      <c r="I128" s="2"/>
    </row>
    <row r="129" spans="1:9">
      <c r="B129" t="s">
        <v>620</v>
      </c>
      <c r="C129">
        <v>10020846</v>
      </c>
      <c r="D129" t="s">
        <v>619</v>
      </c>
      <c r="E129" s="2"/>
      <c r="F129" s="2"/>
      <c r="G129" s="2"/>
      <c r="H129" s="2"/>
      <c r="I129" s="2">
        <v>1</v>
      </c>
    </row>
    <row r="130" spans="1:9">
      <c r="B130" t="s">
        <v>622</v>
      </c>
      <c r="C130">
        <v>10021150</v>
      </c>
      <c r="D130" t="s">
        <v>621</v>
      </c>
      <c r="E130" s="2">
        <v>1</v>
      </c>
      <c r="F130" s="2">
        <v>1</v>
      </c>
      <c r="G130" s="2">
        <v>2</v>
      </c>
      <c r="H130" s="2">
        <v>1</v>
      </c>
      <c r="I130" s="2"/>
    </row>
    <row r="131" spans="1:9">
      <c r="B131" t="s">
        <v>624</v>
      </c>
      <c r="C131">
        <v>10029788</v>
      </c>
      <c r="D131" t="s">
        <v>623</v>
      </c>
      <c r="E131" s="2">
        <v>1</v>
      </c>
      <c r="F131" s="2">
        <v>1</v>
      </c>
      <c r="G131" s="2"/>
      <c r="H131" s="2">
        <v>1</v>
      </c>
      <c r="I131" s="2"/>
    </row>
    <row r="132" spans="1:9">
      <c r="B132" t="s">
        <v>631</v>
      </c>
      <c r="C132">
        <v>10029672</v>
      </c>
      <c r="D132" t="s">
        <v>630</v>
      </c>
      <c r="E132" s="2">
        <v>2</v>
      </c>
      <c r="F132" s="2">
        <v>2</v>
      </c>
      <c r="G132" s="2">
        <v>2</v>
      </c>
      <c r="H132" s="2">
        <v>1</v>
      </c>
      <c r="I132" s="2"/>
    </row>
    <row r="133" spans="1:9">
      <c r="B133" t="s">
        <v>635</v>
      </c>
      <c r="C133">
        <v>10029930</v>
      </c>
      <c r="D133" t="s">
        <v>634</v>
      </c>
      <c r="E133" s="2">
        <v>1</v>
      </c>
      <c r="F133" s="2">
        <v>1</v>
      </c>
      <c r="G133" s="2">
        <v>1</v>
      </c>
      <c r="H133" s="2">
        <v>1</v>
      </c>
      <c r="I133" s="2"/>
    </row>
    <row r="134" spans="1:9">
      <c r="B134" t="s">
        <v>637</v>
      </c>
      <c r="C134">
        <v>10030978</v>
      </c>
      <c r="D134" t="s">
        <v>636</v>
      </c>
      <c r="E134" s="2">
        <v>1</v>
      </c>
      <c r="F134" s="2">
        <v>1</v>
      </c>
      <c r="G134" s="2">
        <v>1</v>
      </c>
      <c r="H134" s="2">
        <v>1</v>
      </c>
      <c r="I134" s="2"/>
    </row>
    <row r="135" spans="1:9">
      <c r="B135" t="s">
        <v>639</v>
      </c>
      <c r="C135">
        <v>10020590</v>
      </c>
      <c r="D135" t="s">
        <v>638</v>
      </c>
      <c r="E135" s="2">
        <v>2</v>
      </c>
      <c r="F135" s="2"/>
      <c r="G135" s="2"/>
      <c r="H135" s="2"/>
      <c r="I135" s="2">
        <v>1</v>
      </c>
    </row>
    <row r="136" spans="1:9">
      <c r="B136" t="s">
        <v>643</v>
      </c>
      <c r="C136">
        <v>10031073</v>
      </c>
      <c r="D136" t="s">
        <v>642</v>
      </c>
      <c r="E136" s="2"/>
      <c r="F136" s="2"/>
      <c r="G136" s="2"/>
      <c r="H136" s="2"/>
      <c r="I136" s="2">
        <v>1</v>
      </c>
    </row>
    <row r="137" spans="1:9">
      <c r="B137" t="s">
        <v>645</v>
      </c>
      <c r="C137">
        <v>10017348</v>
      </c>
      <c r="D137" t="s">
        <v>644</v>
      </c>
      <c r="E137" s="2">
        <v>1</v>
      </c>
      <c r="F137" s="2"/>
      <c r="G137" s="2"/>
      <c r="H137" s="2"/>
      <c r="I137" s="2">
        <v>1</v>
      </c>
    </row>
    <row r="138" spans="1:9">
      <c r="B138" t="s">
        <v>649</v>
      </c>
      <c r="C138">
        <v>10021357</v>
      </c>
      <c r="D138" t="s">
        <v>648</v>
      </c>
      <c r="E138" s="2"/>
      <c r="F138" s="2"/>
      <c r="G138" s="2"/>
      <c r="H138" s="2"/>
      <c r="I138" s="2">
        <v>1</v>
      </c>
    </row>
    <row r="139" spans="1:9">
      <c r="A139" t="s">
        <v>655</v>
      </c>
      <c r="E139" s="2">
        <v>76</v>
      </c>
      <c r="F139" s="2">
        <v>49</v>
      </c>
      <c r="G139" s="2">
        <v>48</v>
      </c>
      <c r="H139" s="2">
        <v>39</v>
      </c>
      <c r="I139" s="2">
        <v>25</v>
      </c>
    </row>
    <row r="140" spans="1:9">
      <c r="A140" t="s">
        <v>254</v>
      </c>
      <c r="E140" s="2">
        <v>147</v>
      </c>
      <c r="F140" s="2">
        <v>86</v>
      </c>
      <c r="G140" s="2">
        <v>83</v>
      </c>
      <c r="H140" s="2">
        <v>71</v>
      </c>
      <c r="I140" s="2">
        <v>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9" tint="0.59999389629810485"/>
  </sheetPr>
  <dimension ref="A1:I192"/>
  <sheetViews>
    <sheetView workbookViewId="0">
      <selection activeCell="A2" sqref="A2:XFD2"/>
    </sheetView>
  </sheetViews>
  <sheetFormatPr defaultRowHeight="15"/>
  <cols>
    <col min="1" max="1" width="26.42578125" bestFit="1" customWidth="1"/>
    <col min="2" max="2" width="40.7109375" customWidth="1"/>
    <col min="3" max="3" width="14.5703125" customWidth="1"/>
    <col min="4" max="4" width="43.28515625" customWidth="1"/>
    <col min="5" max="5" width="16.28515625" hidden="1" customWidth="1"/>
    <col min="6" max="6" width="15.5703125" hidden="1" customWidth="1"/>
    <col min="7" max="7" width="20.42578125" hidden="1" customWidth="1"/>
    <col min="8" max="8" width="17.5703125" customWidth="1"/>
    <col min="9" max="9" width="20.28515625" customWidth="1"/>
    <col min="10" max="10" width="25" bestFit="1" customWidth="1"/>
    <col min="11" max="11" width="22.5703125" bestFit="1" customWidth="1"/>
  </cols>
  <sheetData>
    <row r="1" spans="1:9">
      <c r="A1" s="5" t="s">
        <v>276</v>
      </c>
    </row>
    <row r="3" spans="1:9">
      <c r="A3" s="1" t="s">
        <v>470</v>
      </c>
      <c r="B3" t="s">
        <v>255</v>
      </c>
    </row>
    <row r="4" spans="1:9">
      <c r="A4" s="1" t="s">
        <v>249</v>
      </c>
      <c r="B4" t="s">
        <v>253</v>
      </c>
    </row>
    <row r="5" spans="1:9">
      <c r="A5" s="1" t="s">
        <v>251</v>
      </c>
      <c r="B5" t="s">
        <v>253</v>
      </c>
    </row>
    <row r="6" spans="1:9">
      <c r="A6" s="1" t="s">
        <v>4</v>
      </c>
      <c r="B6" t="s">
        <v>253</v>
      </c>
    </row>
    <row r="7" spans="1:9">
      <c r="A7" s="1" t="s">
        <v>471</v>
      </c>
      <c r="B7" t="s">
        <v>253</v>
      </c>
    </row>
    <row r="8" spans="1:9">
      <c r="A8" s="1" t="s">
        <v>436</v>
      </c>
      <c r="B8" t="s">
        <v>253</v>
      </c>
    </row>
    <row r="9" spans="1:9">
      <c r="A9" s="1" t="s">
        <v>662</v>
      </c>
      <c r="B9" t="s">
        <v>253</v>
      </c>
    </row>
    <row r="11" spans="1:9">
      <c r="E11" s="1" t="s">
        <v>256</v>
      </c>
    </row>
    <row r="12" spans="1:9">
      <c r="A12" s="1" t="s">
        <v>252</v>
      </c>
      <c r="B12" s="1" t="s">
        <v>2</v>
      </c>
      <c r="C12" s="1" t="s">
        <v>0</v>
      </c>
      <c r="D12" s="1" t="s">
        <v>1</v>
      </c>
      <c r="E12" t="s">
        <v>336</v>
      </c>
      <c r="F12" t="s">
        <v>337</v>
      </c>
      <c r="G12" t="s">
        <v>338</v>
      </c>
      <c r="H12" t="s">
        <v>257</v>
      </c>
      <c r="I12" t="s">
        <v>335</v>
      </c>
    </row>
    <row r="13" spans="1:9">
      <c r="A13" t="s">
        <v>151</v>
      </c>
      <c r="B13" t="s">
        <v>150</v>
      </c>
      <c r="C13">
        <v>10019667</v>
      </c>
      <c r="D13" t="s">
        <v>149</v>
      </c>
      <c r="E13" s="2">
        <v>2</v>
      </c>
      <c r="F13" s="2">
        <v>2</v>
      </c>
      <c r="G13" s="2">
        <v>2</v>
      </c>
      <c r="H13" s="2">
        <v>1</v>
      </c>
      <c r="I13" s="2"/>
    </row>
    <row r="14" spans="1:9">
      <c r="B14" t="s">
        <v>172</v>
      </c>
      <c r="C14">
        <v>10021534</v>
      </c>
      <c r="D14" t="s">
        <v>171</v>
      </c>
      <c r="E14" s="2">
        <v>2</v>
      </c>
      <c r="F14" s="2">
        <v>2</v>
      </c>
      <c r="G14" s="2">
        <v>1</v>
      </c>
      <c r="H14" s="2">
        <v>1</v>
      </c>
      <c r="I14" s="2"/>
    </row>
    <row r="15" spans="1:9">
      <c r="B15" t="s">
        <v>170</v>
      </c>
      <c r="C15">
        <v>10021528</v>
      </c>
      <c r="D15" t="s">
        <v>169</v>
      </c>
      <c r="E15" s="2">
        <v>1</v>
      </c>
      <c r="F15" s="2">
        <v>1</v>
      </c>
      <c r="G15" s="2">
        <v>1</v>
      </c>
      <c r="H15" s="2">
        <v>1</v>
      </c>
      <c r="I15" s="2"/>
    </row>
    <row r="16" spans="1:9">
      <c r="B16" t="s">
        <v>299</v>
      </c>
      <c r="C16">
        <v>10024239</v>
      </c>
      <c r="D16" t="s">
        <v>326</v>
      </c>
      <c r="E16" s="2"/>
      <c r="F16" s="2"/>
      <c r="G16" s="2"/>
      <c r="H16" s="2"/>
      <c r="I16" s="2">
        <v>1</v>
      </c>
    </row>
    <row r="17" spans="1:9">
      <c r="B17" t="s">
        <v>421</v>
      </c>
      <c r="C17">
        <v>10018295</v>
      </c>
      <c r="D17" t="s">
        <v>420</v>
      </c>
      <c r="E17" s="2">
        <v>2</v>
      </c>
      <c r="F17" s="2">
        <v>1</v>
      </c>
      <c r="G17" s="2">
        <v>1</v>
      </c>
      <c r="H17" s="2">
        <v>1</v>
      </c>
      <c r="I17" s="2"/>
    </row>
    <row r="18" spans="1:9">
      <c r="A18" t="s">
        <v>258</v>
      </c>
      <c r="E18" s="2">
        <v>7</v>
      </c>
      <c r="F18" s="2">
        <v>6</v>
      </c>
      <c r="G18" s="2">
        <v>5</v>
      </c>
      <c r="H18" s="2">
        <v>4</v>
      </c>
      <c r="I18" s="2">
        <v>1</v>
      </c>
    </row>
    <row r="19" spans="1:9">
      <c r="A19" t="s">
        <v>178</v>
      </c>
      <c r="B19" t="s">
        <v>177</v>
      </c>
      <c r="C19">
        <v>10021632</v>
      </c>
      <c r="D19" t="s">
        <v>176</v>
      </c>
      <c r="E19" s="2">
        <v>1</v>
      </c>
      <c r="F19" s="2">
        <v>1</v>
      </c>
      <c r="G19" s="2"/>
      <c r="H19" s="2">
        <v>1</v>
      </c>
      <c r="I19" s="2"/>
    </row>
    <row r="20" spans="1:9">
      <c r="B20" t="s">
        <v>200</v>
      </c>
      <c r="C20">
        <v>10023343</v>
      </c>
      <c r="D20" t="s">
        <v>199</v>
      </c>
      <c r="E20" s="2">
        <v>1</v>
      </c>
      <c r="F20" s="2">
        <v>1</v>
      </c>
      <c r="G20" s="2">
        <v>1</v>
      </c>
      <c r="H20" s="2">
        <v>1</v>
      </c>
      <c r="I20" s="2"/>
    </row>
    <row r="21" spans="1:9">
      <c r="B21" t="s">
        <v>203</v>
      </c>
      <c r="C21">
        <v>10023676</v>
      </c>
      <c r="D21" t="s">
        <v>202</v>
      </c>
      <c r="E21" s="2"/>
      <c r="F21" s="2"/>
      <c r="G21" s="2"/>
      <c r="H21" s="2"/>
      <c r="I21" s="2">
        <v>1</v>
      </c>
    </row>
    <row r="22" spans="1:9">
      <c r="B22" t="s">
        <v>406</v>
      </c>
      <c r="C22">
        <v>10002633</v>
      </c>
      <c r="D22" t="s">
        <v>405</v>
      </c>
      <c r="E22" s="2"/>
      <c r="F22" s="2">
        <v>1</v>
      </c>
      <c r="G22" s="2">
        <v>2</v>
      </c>
      <c r="H22" s="2"/>
      <c r="I22" s="2">
        <v>1</v>
      </c>
    </row>
    <row r="23" spans="1:9">
      <c r="C23">
        <v>10021612</v>
      </c>
      <c r="D23" t="s">
        <v>407</v>
      </c>
      <c r="E23" s="2"/>
      <c r="F23" s="2"/>
      <c r="G23" s="2">
        <v>1</v>
      </c>
      <c r="H23" s="2"/>
      <c r="I23" s="2"/>
    </row>
    <row r="24" spans="1:9">
      <c r="A24" t="s">
        <v>259</v>
      </c>
      <c r="E24" s="2">
        <v>2</v>
      </c>
      <c r="F24" s="2">
        <v>3</v>
      </c>
      <c r="G24" s="2">
        <v>4</v>
      </c>
      <c r="H24" s="2">
        <v>2</v>
      </c>
      <c r="I24" s="2">
        <v>2</v>
      </c>
    </row>
    <row r="25" spans="1:9">
      <c r="A25" t="s">
        <v>38</v>
      </c>
      <c r="B25" t="s">
        <v>189</v>
      </c>
      <c r="C25">
        <v>10022626</v>
      </c>
      <c r="D25" t="s">
        <v>188</v>
      </c>
      <c r="E25" s="2"/>
      <c r="F25" s="2"/>
      <c r="G25" s="2"/>
      <c r="H25" s="2"/>
      <c r="I25" s="2">
        <v>1</v>
      </c>
    </row>
    <row r="26" spans="1:9">
      <c r="B26" t="s">
        <v>90</v>
      </c>
      <c r="C26">
        <v>10013781</v>
      </c>
      <c r="D26" t="s">
        <v>89</v>
      </c>
      <c r="E26" s="2">
        <v>4</v>
      </c>
      <c r="F26" s="2">
        <v>1</v>
      </c>
      <c r="G26" s="2"/>
      <c r="H26" s="2">
        <v>1</v>
      </c>
      <c r="I26" s="2"/>
    </row>
    <row r="27" spans="1:9">
      <c r="B27" t="s">
        <v>37</v>
      </c>
      <c r="C27">
        <v>10002641</v>
      </c>
      <c r="D27" t="s">
        <v>36</v>
      </c>
      <c r="E27" s="2">
        <v>2</v>
      </c>
      <c r="F27" s="2">
        <v>3</v>
      </c>
      <c r="G27" s="2">
        <v>1</v>
      </c>
      <c r="H27" s="2">
        <v>1</v>
      </c>
      <c r="I27" s="2"/>
    </row>
    <row r="28" spans="1:9">
      <c r="A28" t="s">
        <v>260</v>
      </c>
      <c r="E28" s="2">
        <v>6</v>
      </c>
      <c r="F28" s="2">
        <v>4</v>
      </c>
      <c r="G28" s="2">
        <v>1</v>
      </c>
      <c r="H28" s="2">
        <v>2</v>
      </c>
      <c r="I28" s="2">
        <v>1</v>
      </c>
    </row>
    <row r="29" spans="1:9">
      <c r="A29" t="s">
        <v>168</v>
      </c>
      <c r="B29" t="s">
        <v>167</v>
      </c>
      <c r="C29">
        <v>10021176</v>
      </c>
      <c r="D29" t="s">
        <v>166</v>
      </c>
      <c r="E29" s="2">
        <v>2</v>
      </c>
      <c r="F29" s="2"/>
      <c r="G29" s="2">
        <v>1</v>
      </c>
      <c r="H29" s="2"/>
      <c r="I29" s="2">
        <v>1</v>
      </c>
    </row>
    <row r="30" spans="1:9">
      <c r="A30" t="s">
        <v>261</v>
      </c>
      <c r="E30" s="2">
        <v>2</v>
      </c>
      <c r="F30" s="2"/>
      <c r="G30" s="2">
        <v>1</v>
      </c>
      <c r="H30" s="2"/>
      <c r="I30" s="2">
        <v>1</v>
      </c>
    </row>
    <row r="31" spans="1:9">
      <c r="A31" t="s">
        <v>43</v>
      </c>
      <c r="B31" t="s">
        <v>116</v>
      </c>
      <c r="C31">
        <v>10018143</v>
      </c>
      <c r="D31" t="s">
        <v>115</v>
      </c>
      <c r="E31" s="2">
        <v>1</v>
      </c>
      <c r="F31" s="2">
        <v>1</v>
      </c>
      <c r="G31" s="2">
        <v>1</v>
      </c>
      <c r="H31" s="2">
        <v>1</v>
      </c>
      <c r="I31" s="2"/>
    </row>
    <row r="32" spans="1:9">
      <c r="B32" t="s">
        <v>153</v>
      </c>
      <c r="C32">
        <v>10020646</v>
      </c>
      <c r="D32" t="s">
        <v>152</v>
      </c>
      <c r="E32" s="2">
        <v>1</v>
      </c>
      <c r="F32" s="2">
        <v>1</v>
      </c>
      <c r="G32" s="2">
        <v>1</v>
      </c>
      <c r="H32" s="2">
        <v>1</v>
      </c>
      <c r="I32" s="2"/>
    </row>
    <row r="33" spans="2:9">
      <c r="B33" t="s">
        <v>95</v>
      </c>
      <c r="C33">
        <v>10015043</v>
      </c>
      <c r="D33" t="s">
        <v>94</v>
      </c>
      <c r="E33" s="2"/>
      <c r="F33" s="2"/>
      <c r="G33" s="2"/>
      <c r="H33" s="2"/>
      <c r="I33" s="2">
        <v>1</v>
      </c>
    </row>
    <row r="34" spans="2:9">
      <c r="B34" t="s">
        <v>49</v>
      </c>
      <c r="C34">
        <v>10003623</v>
      </c>
      <c r="D34" t="s">
        <v>48</v>
      </c>
      <c r="E34" s="2"/>
      <c r="F34" s="2"/>
      <c r="G34" s="2"/>
      <c r="H34" s="2"/>
      <c r="I34" s="2">
        <v>1</v>
      </c>
    </row>
    <row r="35" spans="2:9">
      <c r="B35" t="s">
        <v>53</v>
      </c>
      <c r="C35">
        <v>10003734</v>
      </c>
      <c r="D35" t="s">
        <v>52</v>
      </c>
      <c r="E35" s="2"/>
      <c r="F35" s="2"/>
      <c r="G35" s="2"/>
      <c r="H35" s="2"/>
      <c r="I35" s="2">
        <v>1</v>
      </c>
    </row>
    <row r="36" spans="2:9">
      <c r="B36" t="s">
        <v>100</v>
      </c>
      <c r="C36">
        <v>10016947</v>
      </c>
      <c r="D36" t="s">
        <v>99</v>
      </c>
      <c r="E36" s="2">
        <v>1</v>
      </c>
      <c r="F36" s="2">
        <v>1</v>
      </c>
      <c r="G36" s="2">
        <v>1</v>
      </c>
      <c r="H36" s="2">
        <v>1</v>
      </c>
      <c r="I36" s="2"/>
    </row>
    <row r="37" spans="2:9">
      <c r="B37" t="s">
        <v>123</v>
      </c>
      <c r="C37">
        <v>10018687</v>
      </c>
      <c r="D37" t="s">
        <v>122</v>
      </c>
      <c r="E37" s="2"/>
      <c r="F37" s="2">
        <v>1</v>
      </c>
      <c r="G37" s="2"/>
      <c r="H37" s="2"/>
      <c r="I37" s="2">
        <v>1</v>
      </c>
    </row>
    <row r="38" spans="2:9">
      <c r="B38" t="s">
        <v>42</v>
      </c>
      <c r="C38">
        <v>10002657</v>
      </c>
      <c r="D38" t="s">
        <v>41</v>
      </c>
      <c r="E38" s="2">
        <v>1</v>
      </c>
      <c r="F38" s="2">
        <v>1</v>
      </c>
      <c r="G38" s="2"/>
      <c r="H38" s="2">
        <v>1</v>
      </c>
      <c r="I38" s="2"/>
    </row>
    <row r="39" spans="2:9">
      <c r="B39" t="s">
        <v>51</v>
      </c>
      <c r="C39">
        <v>10003624</v>
      </c>
      <c r="D39" t="s">
        <v>50</v>
      </c>
      <c r="E39" s="2">
        <v>2</v>
      </c>
      <c r="F39" s="2">
        <v>2</v>
      </c>
      <c r="G39" s="2">
        <v>1</v>
      </c>
      <c r="H39" s="2">
        <v>1</v>
      </c>
      <c r="I39" s="2"/>
    </row>
    <row r="40" spans="2:9">
      <c r="B40" t="s">
        <v>86</v>
      </c>
      <c r="C40">
        <v>10012158</v>
      </c>
      <c r="D40" t="s">
        <v>85</v>
      </c>
      <c r="E40" s="2">
        <v>1</v>
      </c>
      <c r="F40" s="2">
        <v>1</v>
      </c>
      <c r="G40" s="2">
        <v>1</v>
      </c>
      <c r="H40" s="2">
        <v>1</v>
      </c>
      <c r="I40" s="2"/>
    </row>
    <row r="41" spans="2:9">
      <c r="B41" t="s">
        <v>110</v>
      </c>
      <c r="C41">
        <v>10017703</v>
      </c>
      <c r="D41" t="s">
        <v>109</v>
      </c>
      <c r="E41" s="2">
        <v>1</v>
      </c>
      <c r="F41" s="2">
        <v>1</v>
      </c>
      <c r="G41" s="2">
        <v>1</v>
      </c>
      <c r="H41" s="2">
        <v>1</v>
      </c>
      <c r="I41" s="2"/>
    </row>
    <row r="42" spans="2:9">
      <c r="B42" t="s">
        <v>209</v>
      </c>
      <c r="C42">
        <v>10025286</v>
      </c>
      <c r="D42" t="s">
        <v>208</v>
      </c>
      <c r="E42" s="2">
        <v>3</v>
      </c>
      <c r="F42" s="2"/>
      <c r="G42" s="2"/>
      <c r="H42" s="2"/>
      <c r="I42" s="2">
        <v>1</v>
      </c>
    </row>
    <row r="43" spans="2:9">
      <c r="B43" t="s">
        <v>287</v>
      </c>
      <c r="C43">
        <v>10002651</v>
      </c>
      <c r="D43" t="s">
        <v>313</v>
      </c>
      <c r="E43" s="2">
        <v>1</v>
      </c>
      <c r="F43" s="2">
        <v>1</v>
      </c>
      <c r="G43" s="2">
        <v>2</v>
      </c>
      <c r="H43" s="2">
        <v>1</v>
      </c>
      <c r="I43" s="2"/>
    </row>
    <row r="44" spans="2:9">
      <c r="B44" t="s">
        <v>293</v>
      </c>
      <c r="C44">
        <v>10019574</v>
      </c>
      <c r="D44" t="s">
        <v>320</v>
      </c>
      <c r="E44" s="2">
        <v>1</v>
      </c>
      <c r="F44" s="2">
        <v>1</v>
      </c>
      <c r="G44" s="2">
        <v>2</v>
      </c>
      <c r="H44" s="2">
        <v>1</v>
      </c>
      <c r="I44" s="2"/>
    </row>
    <row r="45" spans="2:9">
      <c r="B45" t="s">
        <v>298</v>
      </c>
      <c r="C45">
        <v>10008580</v>
      </c>
      <c r="D45" t="s">
        <v>325</v>
      </c>
      <c r="E45" s="2">
        <v>2</v>
      </c>
      <c r="F45" s="2">
        <v>1</v>
      </c>
      <c r="G45" s="2">
        <v>2</v>
      </c>
      <c r="H45" s="2">
        <v>1</v>
      </c>
      <c r="I45" s="2"/>
    </row>
    <row r="46" spans="2:9">
      <c r="B46" t="s">
        <v>305</v>
      </c>
      <c r="C46">
        <v>10029738</v>
      </c>
      <c r="D46" t="s">
        <v>333</v>
      </c>
      <c r="E46" s="2"/>
      <c r="F46" s="2"/>
      <c r="G46" s="2"/>
      <c r="H46" s="2"/>
      <c r="I46" s="2">
        <v>1</v>
      </c>
    </row>
    <row r="47" spans="2:9">
      <c r="B47" t="s">
        <v>370</v>
      </c>
      <c r="C47">
        <v>10017048</v>
      </c>
      <c r="D47" t="s">
        <v>369</v>
      </c>
      <c r="E47" s="2">
        <v>1</v>
      </c>
      <c r="F47" s="2">
        <v>1</v>
      </c>
      <c r="G47" s="2">
        <v>1</v>
      </c>
      <c r="H47" s="2">
        <v>1</v>
      </c>
      <c r="I47" s="2"/>
    </row>
    <row r="48" spans="2:9">
      <c r="B48" t="s">
        <v>390</v>
      </c>
      <c r="C48">
        <v>10016399</v>
      </c>
      <c r="D48" t="s">
        <v>389</v>
      </c>
      <c r="E48" s="2">
        <v>1</v>
      </c>
      <c r="F48" s="2"/>
      <c r="G48" s="2">
        <v>1</v>
      </c>
      <c r="H48" s="2"/>
      <c r="I48" s="2">
        <v>1</v>
      </c>
    </row>
    <row r="49" spans="1:9">
      <c r="B49" t="s">
        <v>411</v>
      </c>
      <c r="C49">
        <v>10018870</v>
      </c>
      <c r="D49" t="s">
        <v>410</v>
      </c>
      <c r="E49" s="2">
        <v>1</v>
      </c>
      <c r="F49" s="2">
        <v>1</v>
      </c>
      <c r="G49" s="2">
        <v>1</v>
      </c>
      <c r="H49" s="2">
        <v>1</v>
      </c>
      <c r="I49" s="2"/>
    </row>
    <row r="50" spans="1:9">
      <c r="B50" t="s">
        <v>415</v>
      </c>
      <c r="C50">
        <v>10016059</v>
      </c>
      <c r="D50" t="s">
        <v>414</v>
      </c>
      <c r="E50" s="2">
        <v>2</v>
      </c>
      <c r="F50" s="2">
        <v>2</v>
      </c>
      <c r="G50" s="2">
        <v>1</v>
      </c>
      <c r="H50" s="2">
        <v>1</v>
      </c>
      <c r="I50" s="2"/>
    </row>
    <row r="51" spans="1:9">
      <c r="B51" t="s">
        <v>417</v>
      </c>
      <c r="C51">
        <v>10015734</v>
      </c>
      <c r="D51" t="s">
        <v>416</v>
      </c>
      <c r="E51" s="2">
        <v>3</v>
      </c>
      <c r="F51" s="2">
        <v>2</v>
      </c>
      <c r="G51" s="2">
        <v>2</v>
      </c>
      <c r="H51" s="2">
        <v>1</v>
      </c>
      <c r="I51" s="2"/>
    </row>
    <row r="52" spans="1:9">
      <c r="B52" t="s">
        <v>423</v>
      </c>
      <c r="C52">
        <v>10018137</v>
      </c>
      <c r="D52" t="s">
        <v>422</v>
      </c>
      <c r="E52" s="2">
        <v>2</v>
      </c>
      <c r="F52" s="2">
        <v>1</v>
      </c>
      <c r="G52" s="2">
        <v>1</v>
      </c>
      <c r="H52" s="2"/>
      <c r="I52" s="2"/>
    </row>
    <row r="53" spans="1:9">
      <c r="C53">
        <v>10006704</v>
      </c>
      <c r="D53" t="s">
        <v>424</v>
      </c>
      <c r="E53" s="2">
        <v>2</v>
      </c>
      <c r="F53" s="2">
        <v>1</v>
      </c>
      <c r="G53" s="2">
        <v>1</v>
      </c>
      <c r="H53" s="2">
        <v>1</v>
      </c>
      <c r="I53" s="2"/>
    </row>
    <row r="54" spans="1:9">
      <c r="B54" t="s">
        <v>426</v>
      </c>
      <c r="C54">
        <v>10011097</v>
      </c>
      <c r="D54" t="s">
        <v>425</v>
      </c>
      <c r="E54" s="2">
        <v>2</v>
      </c>
      <c r="F54" s="2">
        <v>2</v>
      </c>
      <c r="G54" s="2">
        <v>2</v>
      </c>
      <c r="H54" s="2">
        <v>1</v>
      </c>
      <c r="I54" s="2"/>
    </row>
    <row r="55" spans="1:9">
      <c r="B55" t="s">
        <v>428</v>
      </c>
      <c r="C55">
        <v>10011964</v>
      </c>
      <c r="D55" t="s">
        <v>427</v>
      </c>
      <c r="E55" s="2">
        <v>2</v>
      </c>
      <c r="F55" s="2">
        <v>2</v>
      </c>
      <c r="G55" s="2">
        <v>1</v>
      </c>
      <c r="H55" s="2">
        <v>1</v>
      </c>
      <c r="I55" s="2"/>
    </row>
    <row r="56" spans="1:9">
      <c r="A56" t="s">
        <v>262</v>
      </c>
      <c r="E56" s="2">
        <v>31</v>
      </c>
      <c r="F56" s="2">
        <v>24</v>
      </c>
      <c r="G56" s="2">
        <v>23</v>
      </c>
      <c r="H56" s="2">
        <v>17</v>
      </c>
      <c r="I56" s="2">
        <v>7</v>
      </c>
    </row>
    <row r="57" spans="1:9">
      <c r="A57" t="s">
        <v>35</v>
      </c>
      <c r="B57" t="s">
        <v>70</v>
      </c>
      <c r="C57">
        <v>10008091</v>
      </c>
      <c r="D57" t="s">
        <v>69</v>
      </c>
      <c r="E57" s="2">
        <v>3</v>
      </c>
      <c r="F57" s="2">
        <v>1</v>
      </c>
      <c r="G57" s="2">
        <v>2</v>
      </c>
      <c r="H57" s="2">
        <v>1</v>
      </c>
      <c r="I57" s="2"/>
    </row>
    <row r="58" spans="1:9">
      <c r="B58" t="s">
        <v>186</v>
      </c>
      <c r="C58">
        <v>10022437</v>
      </c>
      <c r="D58" t="s">
        <v>185</v>
      </c>
      <c r="E58" s="2">
        <v>1</v>
      </c>
      <c r="F58" s="2">
        <v>1</v>
      </c>
      <c r="G58" s="2">
        <v>1</v>
      </c>
      <c r="H58" s="2">
        <v>1</v>
      </c>
      <c r="I58" s="2"/>
    </row>
    <row r="59" spans="1:9">
      <c r="C59">
        <v>10031092</v>
      </c>
      <c r="D59" t="s">
        <v>246</v>
      </c>
      <c r="E59" s="2">
        <v>1</v>
      </c>
      <c r="F59" s="2">
        <v>1</v>
      </c>
      <c r="G59" s="2">
        <v>1</v>
      </c>
      <c r="H59" s="2"/>
      <c r="I59" s="2"/>
    </row>
    <row r="60" spans="1:9">
      <c r="B60" t="s">
        <v>61</v>
      </c>
      <c r="C60">
        <v>10005690</v>
      </c>
      <c r="D60" t="s">
        <v>60</v>
      </c>
      <c r="E60" s="2">
        <v>1</v>
      </c>
      <c r="F60" s="2">
        <v>1</v>
      </c>
      <c r="G60" s="2">
        <v>1</v>
      </c>
      <c r="H60" s="2">
        <v>1</v>
      </c>
      <c r="I60" s="2"/>
    </row>
    <row r="61" spans="1:9">
      <c r="B61" t="s">
        <v>72</v>
      </c>
      <c r="C61">
        <v>10011085</v>
      </c>
      <c r="D61" t="s">
        <v>71</v>
      </c>
      <c r="E61" s="2"/>
      <c r="F61" s="2"/>
      <c r="G61" s="2"/>
      <c r="H61" s="2"/>
      <c r="I61" s="2">
        <v>1</v>
      </c>
    </row>
    <row r="62" spans="1:9">
      <c r="B62" t="s">
        <v>34</v>
      </c>
      <c r="C62">
        <v>10014918</v>
      </c>
      <c r="D62" t="s">
        <v>93</v>
      </c>
      <c r="E62" s="2"/>
      <c r="F62" s="2"/>
      <c r="G62" s="2"/>
      <c r="H62" s="2"/>
      <c r="I62" s="2"/>
    </row>
    <row r="63" spans="1:9">
      <c r="C63">
        <v>10016190</v>
      </c>
      <c r="D63" t="s">
        <v>374</v>
      </c>
      <c r="E63" s="2">
        <v>1</v>
      </c>
      <c r="F63" s="2">
        <v>1</v>
      </c>
      <c r="G63" s="2"/>
      <c r="H63" s="2">
        <v>1</v>
      </c>
      <c r="I63" s="2"/>
    </row>
    <row r="64" spans="1:9">
      <c r="B64" t="s">
        <v>163</v>
      </c>
      <c r="C64">
        <v>10021071</v>
      </c>
      <c r="D64" t="s">
        <v>162</v>
      </c>
      <c r="E64" s="2">
        <v>2</v>
      </c>
      <c r="F64" s="2">
        <v>2</v>
      </c>
      <c r="G64" s="2">
        <v>1</v>
      </c>
      <c r="H64" s="2">
        <v>1</v>
      </c>
      <c r="I64" s="2"/>
    </row>
    <row r="65" spans="2:9">
      <c r="B65" t="s">
        <v>155</v>
      </c>
      <c r="C65">
        <v>10020806</v>
      </c>
      <c r="D65" t="s">
        <v>154</v>
      </c>
      <c r="E65" s="2">
        <v>2</v>
      </c>
      <c r="F65" s="2">
        <v>3</v>
      </c>
      <c r="G65" s="2">
        <v>1</v>
      </c>
      <c r="H65" s="2">
        <v>1</v>
      </c>
      <c r="I65" s="2"/>
    </row>
    <row r="66" spans="2:9">
      <c r="B66" t="s">
        <v>161</v>
      </c>
      <c r="C66">
        <v>10021016</v>
      </c>
      <c r="D66" t="s">
        <v>160</v>
      </c>
      <c r="E66" s="2">
        <v>1</v>
      </c>
      <c r="F66" s="2">
        <v>1</v>
      </c>
      <c r="G66" s="2">
        <v>1</v>
      </c>
      <c r="H66" s="2">
        <v>1</v>
      </c>
      <c r="I66" s="2"/>
    </row>
    <row r="67" spans="2:9">
      <c r="B67" t="s">
        <v>114</v>
      </c>
      <c r="C67">
        <v>10018142</v>
      </c>
      <c r="D67" t="s">
        <v>113</v>
      </c>
      <c r="E67" s="2">
        <v>1</v>
      </c>
      <c r="F67" s="2"/>
      <c r="G67" s="2">
        <v>1</v>
      </c>
      <c r="H67" s="2"/>
      <c r="I67" s="2">
        <v>1</v>
      </c>
    </row>
    <row r="68" spans="2:9">
      <c r="B68" t="s">
        <v>129</v>
      </c>
      <c r="C68">
        <v>10018951</v>
      </c>
      <c r="D68" t="s">
        <v>128</v>
      </c>
      <c r="E68" s="2"/>
      <c r="F68" s="2"/>
      <c r="G68" s="2"/>
      <c r="H68" s="2"/>
      <c r="I68" s="2">
        <v>1</v>
      </c>
    </row>
    <row r="69" spans="2:9">
      <c r="B69" t="s">
        <v>118</v>
      </c>
      <c r="C69">
        <v>10018552</v>
      </c>
      <c r="D69" t="s">
        <v>117</v>
      </c>
      <c r="E69" s="2">
        <v>2</v>
      </c>
      <c r="F69" s="2">
        <v>1</v>
      </c>
      <c r="G69" s="2">
        <v>1</v>
      </c>
      <c r="H69" s="2"/>
      <c r="I69" s="2"/>
    </row>
    <row r="70" spans="2:9">
      <c r="C70">
        <v>10022505</v>
      </c>
      <c r="D70" t="s">
        <v>187</v>
      </c>
      <c r="E70" s="2">
        <v>2</v>
      </c>
      <c r="F70" s="2">
        <v>1</v>
      </c>
      <c r="G70" s="2">
        <v>1</v>
      </c>
      <c r="H70" s="2">
        <v>1</v>
      </c>
      <c r="I70" s="2"/>
    </row>
    <row r="71" spans="2:9">
      <c r="B71" t="s">
        <v>211</v>
      </c>
      <c r="C71">
        <v>10025918</v>
      </c>
      <c r="D71" t="s">
        <v>210</v>
      </c>
      <c r="E71" s="2">
        <v>1</v>
      </c>
      <c r="F71" s="2"/>
      <c r="G71" s="2"/>
      <c r="H71" s="2"/>
      <c r="I71" s="2">
        <v>1</v>
      </c>
    </row>
    <row r="72" spans="2:9">
      <c r="B72" t="s">
        <v>282</v>
      </c>
      <c r="C72">
        <v>10022749</v>
      </c>
      <c r="D72" t="s">
        <v>307</v>
      </c>
      <c r="E72" s="2">
        <v>1</v>
      </c>
      <c r="F72" s="2">
        <v>1</v>
      </c>
      <c r="G72" s="2">
        <v>1</v>
      </c>
      <c r="H72" s="2">
        <v>1</v>
      </c>
      <c r="I72" s="2"/>
    </row>
    <row r="73" spans="2:9">
      <c r="B73" t="s">
        <v>294</v>
      </c>
      <c r="C73">
        <v>10022079</v>
      </c>
      <c r="D73" t="s">
        <v>321</v>
      </c>
      <c r="E73" s="2">
        <v>1</v>
      </c>
      <c r="F73" s="2">
        <v>1</v>
      </c>
      <c r="G73" s="2">
        <v>2</v>
      </c>
      <c r="H73" s="2">
        <v>1</v>
      </c>
      <c r="I73" s="2"/>
    </row>
    <row r="74" spans="2:9">
      <c r="B74" t="s">
        <v>303</v>
      </c>
      <c r="C74">
        <v>10017281</v>
      </c>
      <c r="D74" t="s">
        <v>331</v>
      </c>
      <c r="E74" s="2">
        <v>1</v>
      </c>
      <c r="F74" s="2">
        <v>1</v>
      </c>
      <c r="G74" s="2">
        <v>1</v>
      </c>
      <c r="H74" s="2">
        <v>1</v>
      </c>
      <c r="I74" s="2"/>
    </row>
    <row r="75" spans="2:9">
      <c r="B75" t="s">
        <v>360</v>
      </c>
      <c r="C75">
        <v>10017563</v>
      </c>
      <c r="D75" t="s">
        <v>359</v>
      </c>
      <c r="E75" s="2">
        <v>2</v>
      </c>
      <c r="F75" s="2">
        <v>2</v>
      </c>
      <c r="G75" s="2">
        <v>2</v>
      </c>
      <c r="H75" s="2">
        <v>1</v>
      </c>
      <c r="I75" s="2"/>
    </row>
    <row r="76" spans="2:9">
      <c r="B76" t="s">
        <v>362</v>
      </c>
      <c r="C76">
        <v>10013329</v>
      </c>
      <c r="D76" t="s">
        <v>361</v>
      </c>
      <c r="E76" s="2">
        <v>2</v>
      </c>
      <c r="F76" s="2">
        <v>1</v>
      </c>
      <c r="G76" s="2">
        <v>2</v>
      </c>
      <c r="H76" s="2">
        <v>1</v>
      </c>
      <c r="I76" s="2"/>
    </row>
    <row r="77" spans="2:9">
      <c r="B77" t="s">
        <v>364</v>
      </c>
      <c r="C77">
        <v>10017653</v>
      </c>
      <c r="D77" t="s">
        <v>363</v>
      </c>
      <c r="E77" s="2">
        <v>3</v>
      </c>
      <c r="F77" s="2">
        <v>1</v>
      </c>
      <c r="G77" s="2">
        <v>2</v>
      </c>
      <c r="H77" s="2">
        <v>1</v>
      </c>
      <c r="I77" s="2"/>
    </row>
    <row r="78" spans="2:9">
      <c r="B78" t="s">
        <v>366</v>
      </c>
      <c r="C78">
        <v>10028963</v>
      </c>
      <c r="D78" t="s">
        <v>365</v>
      </c>
      <c r="E78" s="2"/>
      <c r="F78" s="2"/>
      <c r="G78" s="2">
        <v>1</v>
      </c>
      <c r="H78" s="2"/>
      <c r="I78" s="2">
        <v>1</v>
      </c>
    </row>
    <row r="79" spans="2:9">
      <c r="B79" t="s">
        <v>368</v>
      </c>
      <c r="C79">
        <v>10008186</v>
      </c>
      <c r="D79" t="s">
        <v>367</v>
      </c>
      <c r="E79" s="2">
        <v>2</v>
      </c>
      <c r="F79" s="2">
        <v>1</v>
      </c>
      <c r="G79" s="2">
        <v>2</v>
      </c>
      <c r="H79" s="2">
        <v>1</v>
      </c>
      <c r="I79" s="2"/>
    </row>
    <row r="80" spans="2:9">
      <c r="B80" t="s">
        <v>378</v>
      </c>
      <c r="C80">
        <v>10025892</v>
      </c>
      <c r="D80" t="s">
        <v>377</v>
      </c>
      <c r="E80" s="2">
        <v>4</v>
      </c>
      <c r="F80" s="2">
        <v>1</v>
      </c>
      <c r="G80" s="2">
        <v>3</v>
      </c>
      <c r="H80" s="2">
        <v>1</v>
      </c>
      <c r="I80" s="2"/>
    </row>
    <row r="81" spans="1:9">
      <c r="B81" t="s">
        <v>382</v>
      </c>
      <c r="C81">
        <v>10020286</v>
      </c>
      <c r="D81" t="s">
        <v>381</v>
      </c>
      <c r="E81" s="2">
        <v>2</v>
      </c>
      <c r="F81" s="2">
        <v>1</v>
      </c>
      <c r="G81" s="2">
        <v>1</v>
      </c>
      <c r="H81" s="2">
        <v>1</v>
      </c>
      <c r="I81" s="2"/>
    </row>
    <row r="82" spans="1:9">
      <c r="B82" t="s">
        <v>394</v>
      </c>
      <c r="C82">
        <v>10019098</v>
      </c>
      <c r="D82" t="s">
        <v>393</v>
      </c>
      <c r="E82" s="2"/>
      <c r="F82" s="2"/>
      <c r="G82" s="2"/>
      <c r="H82" s="2"/>
      <c r="I82" s="2">
        <v>1</v>
      </c>
    </row>
    <row r="83" spans="1:9">
      <c r="B83" t="s">
        <v>404</v>
      </c>
      <c r="C83">
        <v>10024527</v>
      </c>
      <c r="D83" t="s">
        <v>403</v>
      </c>
      <c r="E83" s="2">
        <v>2</v>
      </c>
      <c r="F83" s="2">
        <v>2</v>
      </c>
      <c r="G83" s="2"/>
      <c r="H83" s="2">
        <v>1</v>
      </c>
      <c r="I83" s="2"/>
    </row>
    <row r="84" spans="1:9">
      <c r="B84" t="s">
        <v>413</v>
      </c>
      <c r="C84">
        <v>10025993</v>
      </c>
      <c r="D84" t="s">
        <v>412</v>
      </c>
      <c r="E84" s="2">
        <v>1</v>
      </c>
      <c r="F84" s="2">
        <v>1</v>
      </c>
      <c r="G84" s="2">
        <v>1</v>
      </c>
      <c r="H84" s="2">
        <v>1</v>
      </c>
      <c r="I84" s="2"/>
    </row>
    <row r="85" spans="1:9">
      <c r="B85" t="s">
        <v>419</v>
      </c>
      <c r="C85">
        <v>10016307</v>
      </c>
      <c r="D85" t="s">
        <v>418</v>
      </c>
      <c r="E85" s="2">
        <v>2</v>
      </c>
      <c r="F85" s="2">
        <v>2</v>
      </c>
      <c r="G85" s="2">
        <v>1</v>
      </c>
      <c r="H85" s="2">
        <v>1</v>
      </c>
      <c r="I85" s="2"/>
    </row>
    <row r="86" spans="1:9">
      <c r="B86" t="s">
        <v>599</v>
      </c>
      <c r="C86">
        <v>10011176</v>
      </c>
      <c r="D86" t="s">
        <v>598</v>
      </c>
      <c r="E86" s="2">
        <v>1</v>
      </c>
      <c r="F86" s="2">
        <v>1</v>
      </c>
      <c r="G86" s="2">
        <v>1</v>
      </c>
      <c r="H86" s="2">
        <v>1</v>
      </c>
      <c r="I86" s="2"/>
    </row>
    <row r="87" spans="1:9">
      <c r="A87" t="s">
        <v>263</v>
      </c>
      <c r="E87" s="2">
        <v>42</v>
      </c>
      <c r="F87" s="2">
        <v>29</v>
      </c>
      <c r="G87" s="2">
        <v>31</v>
      </c>
      <c r="H87" s="2">
        <v>21</v>
      </c>
      <c r="I87" s="2">
        <v>6</v>
      </c>
    </row>
    <row r="88" spans="1:9">
      <c r="A88" t="s">
        <v>138</v>
      </c>
      <c r="B88" t="s">
        <v>237</v>
      </c>
      <c r="C88">
        <v>10029998</v>
      </c>
      <c r="D88" t="s">
        <v>236</v>
      </c>
      <c r="E88" s="2">
        <v>1</v>
      </c>
      <c r="F88" s="2">
        <v>1</v>
      </c>
      <c r="G88" s="2">
        <v>2</v>
      </c>
      <c r="H88" s="2">
        <v>1</v>
      </c>
      <c r="I88" s="2"/>
    </row>
    <row r="89" spans="1:9">
      <c r="B89" t="s">
        <v>217</v>
      </c>
      <c r="C89">
        <v>10026043</v>
      </c>
      <c r="D89" t="s">
        <v>216</v>
      </c>
      <c r="E89" s="2"/>
      <c r="F89" s="2"/>
      <c r="G89" s="2"/>
      <c r="H89" s="2"/>
      <c r="I89" s="2">
        <v>1</v>
      </c>
    </row>
    <row r="90" spans="1:9">
      <c r="B90" t="s">
        <v>213</v>
      </c>
      <c r="C90">
        <v>10025953</v>
      </c>
      <c r="D90" t="s">
        <v>212</v>
      </c>
      <c r="E90" s="2"/>
      <c r="F90" s="2"/>
      <c r="G90" s="2"/>
      <c r="H90" s="2"/>
      <c r="I90" s="2">
        <v>1</v>
      </c>
    </row>
    <row r="91" spans="1:9">
      <c r="B91" t="s">
        <v>137</v>
      </c>
      <c r="C91">
        <v>10019263</v>
      </c>
      <c r="D91" t="s">
        <v>136</v>
      </c>
      <c r="E91" s="2">
        <v>2</v>
      </c>
      <c r="F91" s="2">
        <v>1</v>
      </c>
      <c r="G91" s="2">
        <v>2</v>
      </c>
      <c r="H91" s="2">
        <v>1</v>
      </c>
      <c r="I91" s="2"/>
    </row>
    <row r="92" spans="1:9">
      <c r="B92" t="s">
        <v>233</v>
      </c>
      <c r="C92">
        <v>10029619</v>
      </c>
      <c r="D92" t="s">
        <v>232</v>
      </c>
      <c r="E92" s="2"/>
      <c r="F92" s="2">
        <v>1</v>
      </c>
      <c r="G92" s="2"/>
      <c r="H92" s="2"/>
      <c r="I92" s="2">
        <v>1</v>
      </c>
    </row>
    <row r="93" spans="1:9">
      <c r="B93" t="s">
        <v>290</v>
      </c>
      <c r="C93">
        <v>10020637</v>
      </c>
      <c r="D93" t="s">
        <v>317</v>
      </c>
      <c r="E93" s="2">
        <v>1</v>
      </c>
      <c r="F93" s="2">
        <v>2</v>
      </c>
      <c r="G93" s="2"/>
      <c r="H93" s="2">
        <v>1</v>
      </c>
      <c r="I93" s="2"/>
    </row>
    <row r="94" spans="1:9">
      <c r="B94" t="s">
        <v>302</v>
      </c>
      <c r="C94">
        <v>10019250</v>
      </c>
      <c r="D94" t="s">
        <v>330</v>
      </c>
      <c r="E94" s="2"/>
      <c r="F94" s="2"/>
      <c r="G94" s="2"/>
      <c r="H94" s="2"/>
      <c r="I94" s="2">
        <v>1</v>
      </c>
    </row>
    <row r="95" spans="1:9">
      <c r="B95" t="s">
        <v>398</v>
      </c>
      <c r="C95">
        <v>10030568</v>
      </c>
      <c r="D95" t="s">
        <v>397</v>
      </c>
      <c r="E95" s="2">
        <v>1</v>
      </c>
      <c r="F95" s="2">
        <v>1</v>
      </c>
      <c r="G95" s="2">
        <v>1</v>
      </c>
      <c r="H95" s="2">
        <v>1</v>
      </c>
      <c r="I95" s="2"/>
    </row>
    <row r="96" spans="1:9">
      <c r="B96" t="s">
        <v>432</v>
      </c>
      <c r="C96">
        <v>10029992</v>
      </c>
      <c r="D96" t="s">
        <v>431</v>
      </c>
      <c r="E96" s="2">
        <v>1</v>
      </c>
      <c r="F96" s="2">
        <v>1</v>
      </c>
      <c r="G96" s="2">
        <v>2</v>
      </c>
      <c r="H96" s="2">
        <v>1</v>
      </c>
      <c r="I96" s="2"/>
    </row>
    <row r="97" spans="1:9">
      <c r="A97" t="s">
        <v>264</v>
      </c>
      <c r="E97" s="2">
        <v>6</v>
      </c>
      <c r="F97" s="2">
        <v>7</v>
      </c>
      <c r="G97" s="2">
        <v>7</v>
      </c>
      <c r="H97" s="2">
        <v>5</v>
      </c>
      <c r="I97" s="2">
        <v>4</v>
      </c>
    </row>
    <row r="98" spans="1:9">
      <c r="A98" t="s">
        <v>46</v>
      </c>
      <c r="B98" t="s">
        <v>112</v>
      </c>
      <c r="C98">
        <v>10018124</v>
      </c>
      <c r="D98" t="s">
        <v>111</v>
      </c>
      <c r="E98" s="2">
        <v>1</v>
      </c>
      <c r="F98" s="2">
        <v>1</v>
      </c>
      <c r="G98" s="2"/>
      <c r="H98" s="2">
        <v>1</v>
      </c>
      <c r="I98" s="2"/>
    </row>
    <row r="99" spans="1:9">
      <c r="B99" t="s">
        <v>45</v>
      </c>
      <c r="C99">
        <v>10003215</v>
      </c>
      <c r="D99" t="s">
        <v>44</v>
      </c>
      <c r="E99" s="2">
        <v>1</v>
      </c>
      <c r="F99" s="2">
        <v>1</v>
      </c>
      <c r="G99" s="2">
        <v>1</v>
      </c>
      <c r="H99" s="2">
        <v>1</v>
      </c>
      <c r="I99" s="2"/>
    </row>
    <row r="100" spans="1:9">
      <c r="B100" t="s">
        <v>80</v>
      </c>
      <c r="C100">
        <v>10011961</v>
      </c>
      <c r="D100" t="s">
        <v>79</v>
      </c>
      <c r="E100" s="2">
        <v>2</v>
      </c>
      <c r="F100" s="2"/>
      <c r="G100" s="2">
        <v>1</v>
      </c>
      <c r="H100" s="2"/>
      <c r="I100" s="2">
        <v>1</v>
      </c>
    </row>
    <row r="101" spans="1:9">
      <c r="B101" t="s">
        <v>146</v>
      </c>
      <c r="C101">
        <v>10019497</v>
      </c>
      <c r="D101" t="s">
        <v>145</v>
      </c>
      <c r="E101" s="2">
        <v>2</v>
      </c>
      <c r="F101" s="2">
        <v>2</v>
      </c>
      <c r="G101" s="2">
        <v>2</v>
      </c>
      <c r="H101" s="2">
        <v>1</v>
      </c>
      <c r="I101" s="2"/>
    </row>
    <row r="102" spans="1:9">
      <c r="B102" t="s">
        <v>372</v>
      </c>
      <c r="C102">
        <v>10006768</v>
      </c>
      <c r="D102" t="s">
        <v>371</v>
      </c>
      <c r="E102" s="2">
        <v>1</v>
      </c>
      <c r="F102" s="2">
        <v>1</v>
      </c>
      <c r="G102" s="2"/>
      <c r="H102" s="2">
        <v>1</v>
      </c>
      <c r="I102" s="2"/>
    </row>
    <row r="103" spans="1:9">
      <c r="C103">
        <v>10007516</v>
      </c>
      <c r="D103" t="s">
        <v>373</v>
      </c>
      <c r="E103" s="2">
        <v>1</v>
      </c>
      <c r="F103" s="2">
        <v>1</v>
      </c>
      <c r="G103" s="2"/>
      <c r="H103" s="2"/>
      <c r="I103" s="2"/>
    </row>
    <row r="104" spans="1:9">
      <c r="B104" t="s">
        <v>386</v>
      </c>
      <c r="C104">
        <v>10029172</v>
      </c>
      <c r="D104" t="s">
        <v>385</v>
      </c>
      <c r="E104" s="2">
        <v>2</v>
      </c>
      <c r="F104" s="2">
        <v>2</v>
      </c>
      <c r="G104" s="2">
        <v>2</v>
      </c>
      <c r="H104" s="2">
        <v>1</v>
      </c>
      <c r="I104" s="2"/>
    </row>
    <row r="105" spans="1:9">
      <c r="A105" t="s">
        <v>265</v>
      </c>
      <c r="E105" s="2">
        <v>10</v>
      </c>
      <c r="F105" s="2">
        <v>8</v>
      </c>
      <c r="G105" s="2">
        <v>6</v>
      </c>
      <c r="H105" s="2">
        <v>5</v>
      </c>
      <c r="I105" s="2">
        <v>1</v>
      </c>
    </row>
    <row r="106" spans="1:9">
      <c r="A106" t="s">
        <v>103</v>
      </c>
      <c r="B106" t="s">
        <v>102</v>
      </c>
      <c r="C106">
        <v>10017162</v>
      </c>
      <c r="D106" t="s">
        <v>101</v>
      </c>
      <c r="E106" s="2">
        <v>1</v>
      </c>
      <c r="F106" s="2">
        <v>2</v>
      </c>
      <c r="G106" s="2">
        <v>2</v>
      </c>
      <c r="H106" s="2">
        <v>1</v>
      </c>
      <c r="I106" s="2"/>
    </row>
    <row r="107" spans="1:9">
      <c r="B107" t="s">
        <v>380</v>
      </c>
      <c r="C107">
        <v>10002652</v>
      </c>
      <c r="D107" t="s">
        <v>379</v>
      </c>
      <c r="E107" s="2">
        <v>1</v>
      </c>
      <c r="F107" s="2"/>
      <c r="G107" s="2">
        <v>1</v>
      </c>
      <c r="H107" s="2"/>
      <c r="I107" s="2">
        <v>1</v>
      </c>
    </row>
    <row r="108" spans="1:9">
      <c r="A108" t="s">
        <v>266</v>
      </c>
      <c r="E108" s="2">
        <v>2</v>
      </c>
      <c r="F108" s="2">
        <v>2</v>
      </c>
      <c r="G108" s="2">
        <v>3</v>
      </c>
      <c r="H108" s="2">
        <v>1</v>
      </c>
      <c r="I108" s="2">
        <v>1</v>
      </c>
    </row>
    <row r="109" spans="1:9">
      <c r="A109" t="s">
        <v>175</v>
      </c>
      <c r="B109" t="s">
        <v>174</v>
      </c>
      <c r="C109">
        <v>10021546</v>
      </c>
      <c r="D109" t="s">
        <v>173</v>
      </c>
      <c r="E109" s="2">
        <v>2</v>
      </c>
      <c r="F109" s="2">
        <v>2</v>
      </c>
      <c r="G109" s="2">
        <v>1</v>
      </c>
      <c r="H109" s="2">
        <v>1</v>
      </c>
      <c r="I109" s="2"/>
    </row>
    <row r="110" spans="1:9">
      <c r="A110" t="s">
        <v>267</v>
      </c>
      <c r="E110" s="2">
        <v>2</v>
      </c>
      <c r="F110" s="2">
        <v>2</v>
      </c>
      <c r="G110" s="2">
        <v>1</v>
      </c>
      <c r="H110" s="2">
        <v>1</v>
      </c>
      <c r="I110" s="2"/>
    </row>
    <row r="111" spans="1:9">
      <c r="A111" t="s">
        <v>654</v>
      </c>
      <c r="B111" t="s">
        <v>63</v>
      </c>
      <c r="C111">
        <v>10006819</v>
      </c>
      <c r="D111" t="s">
        <v>62</v>
      </c>
      <c r="E111" s="2">
        <v>1</v>
      </c>
      <c r="F111" s="2">
        <v>1</v>
      </c>
      <c r="G111" s="2">
        <v>1</v>
      </c>
      <c r="H111" s="2">
        <v>1</v>
      </c>
      <c r="I111" s="2"/>
    </row>
    <row r="112" spans="1:9">
      <c r="B112" t="s">
        <v>24</v>
      </c>
      <c r="C112">
        <v>10003305</v>
      </c>
      <c r="D112" t="s">
        <v>47</v>
      </c>
      <c r="E112" s="2">
        <v>1</v>
      </c>
      <c r="F112" s="2"/>
      <c r="G112" s="2"/>
      <c r="H112" s="2"/>
      <c r="I112" s="2"/>
    </row>
    <row r="113" spans="2:9">
      <c r="B113" t="s">
        <v>477</v>
      </c>
      <c r="C113">
        <v>10024777</v>
      </c>
      <c r="D113" t="s">
        <v>476</v>
      </c>
      <c r="E113" s="2"/>
      <c r="F113" s="2"/>
      <c r="G113" s="2"/>
      <c r="H113" s="2"/>
      <c r="I113" s="2"/>
    </row>
    <row r="114" spans="2:9">
      <c r="B114" t="s">
        <v>481</v>
      </c>
      <c r="C114">
        <v>10023045</v>
      </c>
      <c r="D114" t="s">
        <v>480</v>
      </c>
      <c r="E114" s="2"/>
      <c r="F114" s="2"/>
      <c r="G114" s="2"/>
      <c r="H114" s="2"/>
      <c r="I114" s="2"/>
    </row>
    <row r="115" spans="2:9">
      <c r="B115" t="s">
        <v>485</v>
      </c>
      <c r="C115">
        <v>10016689</v>
      </c>
      <c r="D115" t="s">
        <v>486</v>
      </c>
      <c r="E115" s="2"/>
      <c r="F115" s="2"/>
      <c r="G115" s="2"/>
      <c r="H115" s="2"/>
      <c r="I115" s="2"/>
    </row>
    <row r="116" spans="2:9">
      <c r="B116" t="s">
        <v>488</v>
      </c>
      <c r="C116">
        <v>10029549</v>
      </c>
      <c r="D116" t="s">
        <v>487</v>
      </c>
      <c r="E116" s="2"/>
      <c r="F116" s="2"/>
      <c r="G116" s="2"/>
      <c r="H116" s="2"/>
      <c r="I116" s="2">
        <v>1</v>
      </c>
    </row>
    <row r="117" spans="2:9">
      <c r="B117" t="s">
        <v>492</v>
      </c>
      <c r="C117">
        <v>10023057</v>
      </c>
      <c r="D117" t="s">
        <v>491</v>
      </c>
      <c r="E117" s="2"/>
      <c r="F117" s="2"/>
      <c r="G117" s="2"/>
      <c r="H117" s="2"/>
      <c r="I117" s="2">
        <v>1</v>
      </c>
    </row>
    <row r="118" spans="2:9">
      <c r="B118" t="s">
        <v>159</v>
      </c>
      <c r="C118">
        <v>10020853</v>
      </c>
      <c r="D118" t="s">
        <v>158</v>
      </c>
      <c r="E118" s="2">
        <v>1</v>
      </c>
      <c r="F118" s="2">
        <v>1</v>
      </c>
      <c r="G118" s="2">
        <v>1</v>
      </c>
      <c r="H118" s="2">
        <v>1</v>
      </c>
      <c r="I118" s="2"/>
    </row>
    <row r="119" spans="2:9">
      <c r="B119" t="s">
        <v>502</v>
      </c>
      <c r="C119">
        <v>10023113</v>
      </c>
      <c r="D119" t="s">
        <v>501</v>
      </c>
      <c r="E119" s="2"/>
      <c r="F119" s="2"/>
      <c r="G119" s="2"/>
      <c r="H119" s="2"/>
      <c r="I119" s="2">
        <v>1</v>
      </c>
    </row>
    <row r="120" spans="2:9">
      <c r="B120" t="s">
        <v>504</v>
      </c>
      <c r="C120">
        <v>10023831</v>
      </c>
      <c r="D120" t="s">
        <v>503</v>
      </c>
      <c r="E120" s="2"/>
      <c r="F120" s="2"/>
      <c r="G120" s="2"/>
      <c r="H120" s="2"/>
      <c r="I120" s="2">
        <v>1</v>
      </c>
    </row>
    <row r="121" spans="2:9">
      <c r="B121" t="s">
        <v>78</v>
      </c>
      <c r="C121">
        <v>10011954</v>
      </c>
      <c r="D121" t="s">
        <v>77</v>
      </c>
      <c r="E121" s="2">
        <v>1</v>
      </c>
      <c r="F121" s="2"/>
      <c r="G121" s="2"/>
      <c r="H121" s="2"/>
      <c r="I121" s="2">
        <v>1</v>
      </c>
    </row>
    <row r="122" spans="2:9">
      <c r="B122" t="s">
        <v>84</v>
      </c>
      <c r="C122">
        <v>10012062</v>
      </c>
      <c r="D122" t="s">
        <v>83</v>
      </c>
      <c r="E122" s="2">
        <v>1</v>
      </c>
      <c r="F122" s="2"/>
      <c r="G122" s="2"/>
      <c r="H122" s="2"/>
      <c r="I122" s="2">
        <v>1</v>
      </c>
    </row>
    <row r="123" spans="2:9">
      <c r="B123" t="s">
        <v>510</v>
      </c>
      <c r="C123">
        <v>10024205</v>
      </c>
      <c r="D123" t="s">
        <v>509</v>
      </c>
      <c r="E123" s="2"/>
      <c r="F123" s="2"/>
      <c r="G123" s="2"/>
      <c r="H123" s="2"/>
      <c r="I123" s="2">
        <v>1</v>
      </c>
    </row>
    <row r="124" spans="2:9">
      <c r="B124" t="s">
        <v>32</v>
      </c>
      <c r="C124">
        <v>10002622</v>
      </c>
      <c r="D124" t="s">
        <v>31</v>
      </c>
      <c r="E124" s="2">
        <v>1</v>
      </c>
      <c r="F124" s="2">
        <v>1</v>
      </c>
      <c r="G124" s="2">
        <v>1</v>
      </c>
      <c r="H124" s="2">
        <v>1</v>
      </c>
      <c r="I124" s="2"/>
    </row>
    <row r="125" spans="2:9">
      <c r="B125" t="s">
        <v>135</v>
      </c>
      <c r="C125">
        <v>10019117</v>
      </c>
      <c r="D125" t="s">
        <v>134</v>
      </c>
      <c r="E125" s="2">
        <v>1</v>
      </c>
      <c r="F125" s="2">
        <v>1</v>
      </c>
      <c r="G125" s="2">
        <v>1</v>
      </c>
      <c r="H125" s="2">
        <v>1</v>
      </c>
      <c r="I125" s="2"/>
    </row>
    <row r="126" spans="2:9">
      <c r="B126" t="s">
        <v>534</v>
      </c>
      <c r="C126">
        <v>10025233</v>
      </c>
      <c r="D126" t="s">
        <v>533</v>
      </c>
      <c r="E126" s="2"/>
      <c r="F126" s="2"/>
      <c r="G126" s="2"/>
      <c r="H126" s="2"/>
      <c r="I126" s="2">
        <v>1</v>
      </c>
    </row>
    <row r="127" spans="2:9">
      <c r="B127" t="s">
        <v>21</v>
      </c>
      <c r="C127">
        <v>10002254</v>
      </c>
      <c r="D127" t="s">
        <v>20</v>
      </c>
      <c r="E127" s="2">
        <v>2</v>
      </c>
      <c r="F127" s="2">
        <v>3</v>
      </c>
      <c r="G127" s="2">
        <v>2</v>
      </c>
      <c r="H127" s="2">
        <v>1</v>
      </c>
      <c r="I127" s="2"/>
    </row>
    <row r="128" spans="2:9">
      <c r="B128" t="s">
        <v>544</v>
      </c>
      <c r="C128">
        <v>10023202</v>
      </c>
      <c r="D128" t="s">
        <v>543</v>
      </c>
      <c r="E128" s="2"/>
      <c r="F128" s="2"/>
      <c r="G128" s="2"/>
      <c r="H128" s="2"/>
      <c r="I128" s="2">
        <v>1</v>
      </c>
    </row>
    <row r="129" spans="2:9">
      <c r="B129" t="s">
        <v>552</v>
      </c>
      <c r="C129">
        <v>10021116</v>
      </c>
      <c r="D129" t="s">
        <v>551</v>
      </c>
      <c r="E129" s="2"/>
      <c r="F129" s="2"/>
      <c r="G129" s="2"/>
      <c r="H129" s="2"/>
      <c r="I129" s="2">
        <v>1</v>
      </c>
    </row>
    <row r="130" spans="2:9">
      <c r="B130" t="s">
        <v>554</v>
      </c>
      <c r="C130">
        <v>10030490</v>
      </c>
      <c r="D130" t="s">
        <v>553</v>
      </c>
      <c r="E130" s="2"/>
      <c r="F130" s="2"/>
      <c r="G130" s="2"/>
      <c r="H130" s="2"/>
      <c r="I130" s="2">
        <v>1</v>
      </c>
    </row>
    <row r="131" spans="2:9">
      <c r="B131" t="s">
        <v>13</v>
      </c>
      <c r="C131">
        <v>10002059</v>
      </c>
      <c r="D131" t="s">
        <v>12</v>
      </c>
      <c r="E131" s="2">
        <v>1</v>
      </c>
      <c r="F131" s="2"/>
      <c r="G131" s="2">
        <v>1</v>
      </c>
      <c r="H131" s="2"/>
      <c r="I131" s="2">
        <v>1</v>
      </c>
    </row>
    <row r="132" spans="2:9">
      <c r="B132" t="s">
        <v>558</v>
      </c>
      <c r="C132">
        <v>10029461</v>
      </c>
      <c r="D132" t="s">
        <v>557</v>
      </c>
      <c r="E132" s="2"/>
      <c r="F132" s="2"/>
      <c r="G132" s="2"/>
      <c r="H132" s="2"/>
      <c r="I132" s="2">
        <v>1</v>
      </c>
    </row>
    <row r="133" spans="2:9">
      <c r="B133" t="s">
        <v>564</v>
      </c>
      <c r="C133">
        <v>10025413</v>
      </c>
      <c r="D133" t="s">
        <v>563</v>
      </c>
      <c r="E133" s="2"/>
      <c r="F133" s="2"/>
      <c r="G133" s="2"/>
      <c r="H133" s="2"/>
      <c r="I133" s="2">
        <v>1</v>
      </c>
    </row>
    <row r="134" spans="2:9">
      <c r="B134" t="s">
        <v>577</v>
      </c>
      <c r="C134">
        <v>10029924</v>
      </c>
      <c r="D134" t="s">
        <v>576</v>
      </c>
      <c r="E134" s="2"/>
      <c r="F134" s="2"/>
      <c r="G134" s="2"/>
      <c r="H134" s="2"/>
      <c r="I134" s="2">
        <v>1</v>
      </c>
    </row>
    <row r="135" spans="2:9">
      <c r="B135" t="s">
        <v>227</v>
      </c>
      <c r="C135">
        <v>10029408</v>
      </c>
      <c r="D135" t="s">
        <v>226</v>
      </c>
      <c r="E135" s="2"/>
      <c r="F135" s="2">
        <v>1</v>
      </c>
      <c r="G135" s="2"/>
      <c r="H135" s="2"/>
      <c r="I135" s="2">
        <v>1</v>
      </c>
    </row>
    <row r="136" spans="2:9">
      <c r="B136" t="s">
        <v>585</v>
      </c>
      <c r="C136">
        <v>10013918</v>
      </c>
      <c r="D136" t="s">
        <v>584</v>
      </c>
      <c r="E136" s="2"/>
      <c r="F136" s="2"/>
      <c r="G136" s="2"/>
      <c r="H136" s="2"/>
      <c r="I136" s="2">
        <v>1</v>
      </c>
    </row>
    <row r="137" spans="2:9">
      <c r="B137" t="s">
        <v>593</v>
      </c>
      <c r="C137">
        <v>10003736</v>
      </c>
      <c r="D137" t="s">
        <v>592</v>
      </c>
      <c r="E137" s="2"/>
      <c r="F137" s="2"/>
      <c r="G137" s="2"/>
      <c r="H137" s="2"/>
      <c r="I137" s="2">
        <v>1</v>
      </c>
    </row>
    <row r="138" spans="2:9">
      <c r="B138" t="s">
        <v>92</v>
      </c>
      <c r="C138">
        <v>10013982</v>
      </c>
      <c r="D138" t="s">
        <v>91</v>
      </c>
      <c r="E138" s="2">
        <v>2</v>
      </c>
      <c r="F138" s="2">
        <v>1</v>
      </c>
      <c r="G138" s="2">
        <v>1</v>
      </c>
      <c r="H138" s="2">
        <v>1</v>
      </c>
      <c r="I138" s="2"/>
    </row>
    <row r="139" spans="2:9">
      <c r="B139" t="s">
        <v>58</v>
      </c>
      <c r="C139">
        <v>10005402</v>
      </c>
      <c r="D139" t="s">
        <v>57</v>
      </c>
      <c r="E139" s="2">
        <v>1</v>
      </c>
      <c r="F139" s="2"/>
      <c r="G139" s="2"/>
      <c r="H139" s="2"/>
      <c r="I139" s="2">
        <v>1</v>
      </c>
    </row>
    <row r="140" spans="2:9">
      <c r="B140" t="s">
        <v>601</v>
      </c>
      <c r="C140">
        <v>10030832</v>
      </c>
      <c r="D140" t="s">
        <v>600</v>
      </c>
      <c r="E140" s="2"/>
      <c r="F140" s="2"/>
      <c r="G140" s="2"/>
      <c r="H140" s="2"/>
      <c r="I140" s="2">
        <v>1</v>
      </c>
    </row>
    <row r="141" spans="2:9">
      <c r="B141" t="s">
        <v>205</v>
      </c>
      <c r="C141">
        <v>10023684</v>
      </c>
      <c r="D141" t="s">
        <v>204</v>
      </c>
      <c r="E141" s="2"/>
      <c r="F141" s="2">
        <v>1</v>
      </c>
      <c r="G141" s="2"/>
      <c r="H141" s="2"/>
      <c r="I141" s="2">
        <v>1</v>
      </c>
    </row>
    <row r="142" spans="2:9">
      <c r="B142" t="s">
        <v>133</v>
      </c>
      <c r="C142">
        <v>10019114</v>
      </c>
      <c r="D142" t="s">
        <v>132</v>
      </c>
      <c r="E142" s="2">
        <v>1</v>
      </c>
      <c r="F142" s="2">
        <v>1</v>
      </c>
      <c r="G142" s="2">
        <v>1</v>
      </c>
      <c r="H142" s="2">
        <v>1</v>
      </c>
      <c r="I142" s="2"/>
    </row>
    <row r="143" spans="2:9">
      <c r="B143" t="s">
        <v>241</v>
      </c>
      <c r="C143">
        <v>10030244</v>
      </c>
      <c r="D143" t="s">
        <v>240</v>
      </c>
      <c r="E143" s="2">
        <v>1</v>
      </c>
      <c r="F143" s="2">
        <v>2</v>
      </c>
      <c r="G143" s="2">
        <v>3</v>
      </c>
      <c r="H143" s="2">
        <v>1</v>
      </c>
      <c r="I143" s="2"/>
    </row>
    <row r="144" spans="2:9">
      <c r="B144" t="s">
        <v>611</v>
      </c>
      <c r="C144">
        <v>10023509</v>
      </c>
      <c r="D144" t="s">
        <v>610</v>
      </c>
      <c r="E144" s="2"/>
      <c r="F144" s="2"/>
      <c r="G144" s="2"/>
      <c r="H144" s="2"/>
      <c r="I144" s="2">
        <v>1</v>
      </c>
    </row>
    <row r="145" spans="2:9">
      <c r="B145" t="s">
        <v>494</v>
      </c>
      <c r="C145">
        <v>10017159</v>
      </c>
      <c r="D145" t="s">
        <v>493</v>
      </c>
      <c r="E145" s="2"/>
      <c r="F145" s="2"/>
      <c r="G145" s="2"/>
      <c r="H145" s="2"/>
      <c r="I145" s="2">
        <v>1</v>
      </c>
    </row>
    <row r="146" spans="2:9">
      <c r="B146" t="s">
        <v>284</v>
      </c>
      <c r="C146">
        <v>10029777</v>
      </c>
      <c r="D146" t="s">
        <v>309</v>
      </c>
      <c r="E146" s="2"/>
      <c r="F146" s="2"/>
      <c r="G146" s="2">
        <v>1</v>
      </c>
      <c r="H146" s="2"/>
      <c r="I146" s="2">
        <v>1</v>
      </c>
    </row>
    <row r="147" spans="2:9">
      <c r="B147" t="s">
        <v>500</v>
      </c>
      <c r="C147">
        <v>10030407</v>
      </c>
      <c r="D147" t="s">
        <v>499</v>
      </c>
      <c r="E147" s="2"/>
      <c r="F147" s="2"/>
      <c r="G147" s="2"/>
      <c r="H147" s="2"/>
      <c r="I147" s="2">
        <v>1</v>
      </c>
    </row>
    <row r="148" spans="2:9">
      <c r="B148" t="s">
        <v>506</v>
      </c>
      <c r="C148">
        <v>10026046</v>
      </c>
      <c r="D148" t="s">
        <v>505</v>
      </c>
      <c r="E148" s="2"/>
      <c r="F148" s="2"/>
      <c r="G148" s="2"/>
      <c r="H148" s="2"/>
      <c r="I148" s="2">
        <v>1</v>
      </c>
    </row>
    <row r="149" spans="2:9">
      <c r="B149" t="s">
        <v>520</v>
      </c>
      <c r="C149">
        <v>10004820</v>
      </c>
      <c r="D149" t="s">
        <v>519</v>
      </c>
      <c r="E149" s="2"/>
      <c r="F149" s="2"/>
      <c r="G149" s="2"/>
      <c r="H149" s="2"/>
      <c r="I149" s="2">
        <v>1</v>
      </c>
    </row>
    <row r="150" spans="2:9">
      <c r="B150" t="s">
        <v>526</v>
      </c>
      <c r="C150">
        <v>10024688</v>
      </c>
      <c r="D150" t="s">
        <v>525</v>
      </c>
      <c r="E150" s="2"/>
      <c r="F150" s="2"/>
      <c r="G150" s="2"/>
      <c r="H150" s="2"/>
      <c r="I150" s="2">
        <v>1</v>
      </c>
    </row>
    <row r="151" spans="2:9">
      <c r="B151" t="s">
        <v>292</v>
      </c>
      <c r="C151">
        <v>10016624</v>
      </c>
      <c r="D151" t="s">
        <v>319</v>
      </c>
      <c r="E151" s="2">
        <v>2</v>
      </c>
      <c r="F151" s="2">
        <v>2</v>
      </c>
      <c r="G151" s="2">
        <v>1</v>
      </c>
      <c r="H151" s="2">
        <v>1</v>
      </c>
      <c r="I151" s="2"/>
    </row>
    <row r="152" spans="2:9">
      <c r="B152" t="s">
        <v>538</v>
      </c>
      <c r="C152">
        <v>10002632</v>
      </c>
      <c r="D152" t="s">
        <v>537</v>
      </c>
      <c r="E152" s="2"/>
      <c r="F152" s="2"/>
      <c r="G152" s="2"/>
      <c r="H152" s="2"/>
      <c r="I152" s="2">
        <v>1</v>
      </c>
    </row>
    <row r="153" spans="2:9">
      <c r="B153" t="s">
        <v>296</v>
      </c>
      <c r="C153">
        <v>10018146</v>
      </c>
      <c r="D153" t="s">
        <v>323</v>
      </c>
      <c r="E153" s="2">
        <v>1</v>
      </c>
      <c r="F153" s="2">
        <v>1</v>
      </c>
      <c r="G153" s="2">
        <v>1</v>
      </c>
      <c r="H153" s="2">
        <v>1</v>
      </c>
      <c r="I153" s="2"/>
    </row>
    <row r="154" spans="2:9">
      <c r="B154" t="s">
        <v>583</v>
      </c>
      <c r="C154">
        <v>10025843</v>
      </c>
      <c r="D154" t="s">
        <v>582</v>
      </c>
      <c r="E154" s="2"/>
      <c r="F154" s="2"/>
      <c r="G154" s="2"/>
      <c r="H154" s="2"/>
      <c r="I154" s="2">
        <v>1</v>
      </c>
    </row>
    <row r="155" spans="2:9">
      <c r="B155" t="s">
        <v>603</v>
      </c>
      <c r="C155">
        <v>10016485</v>
      </c>
      <c r="D155" t="s">
        <v>602</v>
      </c>
      <c r="E155" s="2"/>
      <c r="F155" s="2"/>
      <c r="G155" s="2"/>
      <c r="H155" s="2"/>
      <c r="I155" s="2">
        <v>1</v>
      </c>
    </row>
    <row r="156" spans="2:9">
      <c r="B156" t="s">
        <v>498</v>
      </c>
      <c r="C156">
        <v>10014207</v>
      </c>
      <c r="D156" t="s">
        <v>497</v>
      </c>
      <c r="E156" s="2"/>
      <c r="F156" s="2"/>
      <c r="G156" s="2"/>
      <c r="H156" s="2"/>
      <c r="I156" s="2">
        <v>1</v>
      </c>
    </row>
    <row r="157" spans="2:9">
      <c r="B157" t="s">
        <v>376</v>
      </c>
      <c r="C157">
        <v>10022381</v>
      </c>
      <c r="D157" t="s">
        <v>375</v>
      </c>
      <c r="E157" s="2">
        <v>1</v>
      </c>
      <c r="F157" s="2">
        <v>1</v>
      </c>
      <c r="G157" s="2">
        <v>1</v>
      </c>
      <c r="H157" s="2">
        <v>1</v>
      </c>
      <c r="I157" s="2"/>
    </row>
    <row r="158" spans="2:9">
      <c r="B158" t="s">
        <v>516</v>
      </c>
      <c r="C158">
        <v>10022226</v>
      </c>
      <c r="D158" t="s">
        <v>515</v>
      </c>
      <c r="E158" s="2"/>
      <c r="F158" s="2"/>
      <c r="G158" s="2"/>
      <c r="H158" s="2"/>
      <c r="I158" s="2">
        <v>1</v>
      </c>
    </row>
    <row r="159" spans="2:9">
      <c r="B159" t="s">
        <v>518</v>
      </c>
      <c r="C159">
        <v>10018756</v>
      </c>
      <c r="D159" t="s">
        <v>517</v>
      </c>
      <c r="E159" s="2"/>
      <c r="F159" s="2"/>
      <c r="G159" s="2"/>
      <c r="H159" s="2"/>
      <c r="I159" s="2">
        <v>1</v>
      </c>
    </row>
    <row r="160" spans="2:9">
      <c r="B160" t="s">
        <v>528</v>
      </c>
      <c r="C160">
        <v>10022448</v>
      </c>
      <c r="D160" t="s">
        <v>527</v>
      </c>
      <c r="E160" s="2"/>
      <c r="F160" s="2"/>
      <c r="G160" s="2"/>
      <c r="H160" s="2"/>
      <c r="I160" s="2">
        <v>1</v>
      </c>
    </row>
    <row r="161" spans="2:9">
      <c r="B161" t="s">
        <v>384</v>
      </c>
      <c r="C161">
        <v>10014421</v>
      </c>
      <c r="D161" t="s">
        <v>383</v>
      </c>
      <c r="E161" s="2"/>
      <c r="F161" s="2">
        <v>1</v>
      </c>
      <c r="G161" s="2"/>
      <c r="H161" s="2"/>
      <c r="I161" s="2">
        <v>1</v>
      </c>
    </row>
    <row r="162" spans="2:9">
      <c r="B162" t="s">
        <v>388</v>
      </c>
      <c r="C162">
        <v>10017330</v>
      </c>
      <c r="D162" t="s">
        <v>387</v>
      </c>
      <c r="E162" s="2">
        <v>2</v>
      </c>
      <c r="F162" s="2">
        <v>1</v>
      </c>
      <c r="G162" s="2">
        <v>1</v>
      </c>
      <c r="H162" s="2">
        <v>1</v>
      </c>
      <c r="I162" s="2"/>
    </row>
    <row r="163" spans="2:9">
      <c r="B163" t="s">
        <v>392</v>
      </c>
      <c r="C163">
        <v>10030364</v>
      </c>
      <c r="D163" t="s">
        <v>391</v>
      </c>
      <c r="E163" s="2">
        <v>2</v>
      </c>
      <c r="F163" s="2">
        <v>2</v>
      </c>
      <c r="G163" s="2">
        <v>4</v>
      </c>
      <c r="H163" s="2">
        <v>1</v>
      </c>
      <c r="I163" s="2"/>
    </row>
    <row r="164" spans="2:9">
      <c r="B164" t="s">
        <v>532</v>
      </c>
      <c r="C164">
        <v>10024234</v>
      </c>
      <c r="D164" t="s">
        <v>531</v>
      </c>
      <c r="E164" s="2"/>
      <c r="F164" s="2"/>
      <c r="G164" s="2"/>
      <c r="H164" s="2"/>
      <c r="I164" s="2">
        <v>1</v>
      </c>
    </row>
    <row r="165" spans="2:9">
      <c r="B165" t="s">
        <v>536</v>
      </c>
      <c r="C165">
        <v>10020680</v>
      </c>
      <c r="D165" t="s">
        <v>535</v>
      </c>
      <c r="E165" s="2"/>
      <c r="F165" s="2"/>
      <c r="G165" s="2"/>
      <c r="H165" s="2"/>
      <c r="I165" s="2">
        <v>1</v>
      </c>
    </row>
    <row r="166" spans="2:9">
      <c r="B166" t="s">
        <v>542</v>
      </c>
      <c r="C166">
        <v>10003735</v>
      </c>
      <c r="D166" t="s">
        <v>541</v>
      </c>
      <c r="E166" s="2"/>
      <c r="F166" s="2"/>
      <c r="G166" s="2"/>
      <c r="H166" s="2"/>
      <c r="I166" s="2">
        <v>1</v>
      </c>
    </row>
    <row r="167" spans="2:9">
      <c r="B167" t="s">
        <v>400</v>
      </c>
      <c r="C167">
        <v>10020182</v>
      </c>
      <c r="D167" t="s">
        <v>399</v>
      </c>
      <c r="E167" s="2">
        <v>1</v>
      </c>
      <c r="F167" s="2"/>
      <c r="G167" s="2">
        <v>1</v>
      </c>
      <c r="H167" s="2"/>
      <c r="I167" s="2">
        <v>1</v>
      </c>
    </row>
    <row r="168" spans="2:9">
      <c r="B168" t="s">
        <v>402</v>
      </c>
      <c r="C168">
        <v>10016243</v>
      </c>
      <c r="D168" t="s">
        <v>401</v>
      </c>
      <c r="E168" s="2"/>
      <c r="F168" s="2"/>
      <c r="G168" s="2">
        <v>1</v>
      </c>
      <c r="H168" s="2"/>
      <c r="I168" s="2">
        <v>1</v>
      </c>
    </row>
    <row r="169" spans="2:9">
      <c r="B169" t="s">
        <v>560</v>
      </c>
      <c r="C169">
        <v>10012240</v>
      </c>
      <c r="D169" t="s">
        <v>559</v>
      </c>
      <c r="E169" s="2"/>
      <c r="F169" s="2"/>
      <c r="G169" s="2"/>
      <c r="H169" s="2"/>
      <c r="I169" s="2">
        <v>1</v>
      </c>
    </row>
    <row r="170" spans="2:9">
      <c r="B170" t="s">
        <v>409</v>
      </c>
      <c r="C170">
        <v>10018846</v>
      </c>
      <c r="D170" t="s">
        <v>408</v>
      </c>
      <c r="E170" s="2"/>
      <c r="F170" s="2"/>
      <c r="G170" s="2">
        <v>1</v>
      </c>
      <c r="H170" s="2"/>
      <c r="I170" s="2">
        <v>1</v>
      </c>
    </row>
    <row r="171" spans="2:9">
      <c r="B171" t="s">
        <v>571</v>
      </c>
      <c r="C171">
        <v>10016078</v>
      </c>
      <c r="D171" t="s">
        <v>570</v>
      </c>
      <c r="E171" s="2"/>
      <c r="F171" s="2"/>
      <c r="G171" s="2"/>
      <c r="H171" s="2"/>
      <c r="I171" s="2">
        <v>1</v>
      </c>
    </row>
    <row r="172" spans="2:9">
      <c r="B172" t="s">
        <v>575</v>
      </c>
      <c r="C172">
        <v>10031009</v>
      </c>
      <c r="D172" t="s">
        <v>574</v>
      </c>
      <c r="E172" s="2"/>
      <c r="F172" s="2"/>
      <c r="G172" s="2"/>
      <c r="H172" s="2"/>
      <c r="I172" s="2">
        <v>1</v>
      </c>
    </row>
    <row r="173" spans="2:9">
      <c r="B173" t="s">
        <v>581</v>
      </c>
      <c r="C173">
        <v>10030374</v>
      </c>
      <c r="D173" t="s">
        <v>580</v>
      </c>
      <c r="E173" s="2"/>
      <c r="F173" s="2"/>
      <c r="G173" s="2"/>
      <c r="H173" s="2"/>
      <c r="I173" s="2">
        <v>1</v>
      </c>
    </row>
    <row r="174" spans="2:9">
      <c r="B174" t="s">
        <v>587</v>
      </c>
      <c r="C174">
        <v>10011099</v>
      </c>
      <c r="D174" t="s">
        <v>586</v>
      </c>
      <c r="E174" s="2"/>
      <c r="F174" s="2"/>
      <c r="G174" s="2"/>
      <c r="H174" s="2"/>
      <c r="I174" s="2">
        <v>1</v>
      </c>
    </row>
    <row r="175" spans="2:9">
      <c r="B175" t="s">
        <v>605</v>
      </c>
      <c r="C175">
        <v>10016953</v>
      </c>
      <c r="D175" t="s">
        <v>604</v>
      </c>
      <c r="E175" s="2"/>
      <c r="F175" s="2"/>
      <c r="G175" s="2"/>
      <c r="H175" s="2"/>
      <c r="I175" s="2">
        <v>1</v>
      </c>
    </row>
    <row r="176" spans="2:9">
      <c r="B176" t="s">
        <v>607</v>
      </c>
      <c r="C176">
        <v>10030596</v>
      </c>
      <c r="D176" t="s">
        <v>606</v>
      </c>
      <c r="E176" s="2"/>
      <c r="F176" s="2"/>
      <c r="G176" s="2"/>
      <c r="H176" s="2"/>
      <c r="I176" s="2">
        <v>1</v>
      </c>
    </row>
    <row r="177" spans="1:9">
      <c r="B177" t="s">
        <v>609</v>
      </c>
      <c r="C177">
        <v>10008227</v>
      </c>
      <c r="D177" t="s">
        <v>608</v>
      </c>
      <c r="E177" s="2"/>
      <c r="F177" s="2"/>
      <c r="G177" s="2"/>
      <c r="H177" s="2"/>
      <c r="I177" s="2">
        <v>1</v>
      </c>
    </row>
    <row r="178" spans="1:9">
      <c r="B178" t="s">
        <v>430</v>
      </c>
      <c r="C178">
        <v>10025348</v>
      </c>
      <c r="D178" t="s">
        <v>429</v>
      </c>
      <c r="E178" s="2"/>
      <c r="F178" s="2"/>
      <c r="G178" s="2">
        <v>1</v>
      </c>
      <c r="H178" s="2"/>
      <c r="I178" s="2">
        <v>1</v>
      </c>
    </row>
    <row r="179" spans="1:9">
      <c r="B179" t="s">
        <v>434</v>
      </c>
      <c r="C179">
        <v>10029134</v>
      </c>
      <c r="D179" t="s">
        <v>433</v>
      </c>
      <c r="E179" s="2"/>
      <c r="F179" s="2">
        <v>1</v>
      </c>
      <c r="G179" s="2"/>
      <c r="H179" s="2"/>
      <c r="I179" s="2">
        <v>1</v>
      </c>
    </row>
    <row r="180" spans="1:9">
      <c r="B180" t="s">
        <v>512</v>
      </c>
      <c r="C180">
        <v>10001970</v>
      </c>
      <c r="D180" t="s">
        <v>511</v>
      </c>
      <c r="E180" s="2"/>
      <c r="F180" s="2"/>
      <c r="G180" s="2"/>
      <c r="H180" s="2"/>
      <c r="I180" s="2">
        <v>1</v>
      </c>
    </row>
    <row r="181" spans="1:9">
      <c r="B181" t="s">
        <v>524</v>
      </c>
      <c r="C181">
        <v>10020397</v>
      </c>
      <c r="D181" t="s">
        <v>523</v>
      </c>
      <c r="E181" s="2"/>
      <c r="F181" s="2"/>
      <c r="G181" s="2"/>
      <c r="H181" s="2"/>
      <c r="I181" s="2">
        <v>1</v>
      </c>
    </row>
    <row r="182" spans="1:9">
      <c r="B182" t="s">
        <v>550</v>
      </c>
      <c r="C182">
        <v>10011867</v>
      </c>
      <c r="D182" t="s">
        <v>549</v>
      </c>
      <c r="E182" s="2">
        <v>1</v>
      </c>
      <c r="F182" s="2">
        <v>1</v>
      </c>
      <c r="G182" s="2">
        <v>1</v>
      </c>
      <c r="H182" s="2">
        <v>1</v>
      </c>
      <c r="I182" s="2"/>
    </row>
    <row r="183" spans="1:9">
      <c r="B183" t="s">
        <v>618</v>
      </c>
      <c r="C183">
        <v>10017880</v>
      </c>
      <c r="D183" t="s">
        <v>617</v>
      </c>
      <c r="E183" s="2">
        <v>1</v>
      </c>
      <c r="F183" s="2">
        <v>1</v>
      </c>
      <c r="G183" s="2">
        <v>1</v>
      </c>
      <c r="H183" s="2">
        <v>1</v>
      </c>
      <c r="I183" s="2"/>
    </row>
    <row r="184" spans="1:9">
      <c r="B184" t="s">
        <v>620</v>
      </c>
      <c r="C184">
        <v>10020846</v>
      </c>
      <c r="D184" t="s">
        <v>619</v>
      </c>
      <c r="E184" s="2"/>
      <c r="F184" s="2"/>
      <c r="G184" s="2"/>
      <c r="H184" s="2"/>
      <c r="I184" s="2">
        <v>1</v>
      </c>
    </row>
    <row r="185" spans="1:9">
      <c r="B185" t="s">
        <v>626</v>
      </c>
      <c r="C185">
        <v>10022890</v>
      </c>
      <c r="D185" t="s">
        <v>625</v>
      </c>
      <c r="E185" s="2">
        <v>2</v>
      </c>
      <c r="F185" s="2">
        <v>1</v>
      </c>
      <c r="G185" s="2">
        <v>1</v>
      </c>
      <c r="H185" s="2">
        <v>1</v>
      </c>
      <c r="I185" s="2"/>
    </row>
    <row r="186" spans="1:9">
      <c r="B186" t="s">
        <v>631</v>
      </c>
      <c r="C186">
        <v>10029672</v>
      </c>
      <c r="D186" t="s">
        <v>630</v>
      </c>
      <c r="E186" s="2">
        <v>2</v>
      </c>
      <c r="F186" s="2">
        <v>2</v>
      </c>
      <c r="G186" s="2">
        <v>2</v>
      </c>
      <c r="H186" s="2">
        <v>1</v>
      </c>
      <c r="I186" s="2"/>
    </row>
    <row r="187" spans="1:9">
      <c r="B187" t="s">
        <v>639</v>
      </c>
      <c r="C187">
        <v>10020590</v>
      </c>
      <c r="D187" t="s">
        <v>638</v>
      </c>
      <c r="E187" s="2">
        <v>2</v>
      </c>
      <c r="F187" s="2"/>
      <c r="G187" s="2"/>
      <c r="H187" s="2"/>
      <c r="I187" s="2">
        <v>1</v>
      </c>
    </row>
    <row r="188" spans="1:9">
      <c r="B188" t="s">
        <v>641</v>
      </c>
      <c r="C188">
        <v>10011087</v>
      </c>
      <c r="D188" t="s">
        <v>640</v>
      </c>
      <c r="E188" s="2">
        <v>1</v>
      </c>
      <c r="F188" s="2"/>
      <c r="G188" s="2"/>
      <c r="H188" s="2"/>
      <c r="I188" s="2">
        <v>1</v>
      </c>
    </row>
    <row r="189" spans="1:9">
      <c r="B189" t="s">
        <v>647</v>
      </c>
      <c r="C189">
        <v>10023371</v>
      </c>
      <c r="D189" t="s">
        <v>646</v>
      </c>
      <c r="E189" s="2">
        <v>2</v>
      </c>
      <c r="F189" s="2">
        <v>1</v>
      </c>
      <c r="G189" s="2">
        <v>1</v>
      </c>
      <c r="H189" s="2">
        <v>1</v>
      </c>
      <c r="I189" s="2"/>
    </row>
    <row r="190" spans="1:9">
      <c r="B190" t="s">
        <v>651</v>
      </c>
      <c r="C190">
        <v>10014732</v>
      </c>
      <c r="D190" t="s">
        <v>650</v>
      </c>
      <c r="E190" s="2">
        <v>2</v>
      </c>
      <c r="F190" s="2">
        <v>1</v>
      </c>
      <c r="G190" s="2">
        <v>1</v>
      </c>
      <c r="H190" s="2">
        <v>1</v>
      </c>
      <c r="I190" s="2"/>
    </row>
    <row r="191" spans="1:9">
      <c r="A191" t="s">
        <v>655</v>
      </c>
      <c r="E191" s="2">
        <v>37</v>
      </c>
      <c r="F191" s="2">
        <v>29</v>
      </c>
      <c r="G191" s="2">
        <v>32</v>
      </c>
      <c r="H191" s="2">
        <v>19</v>
      </c>
      <c r="I191" s="2">
        <v>57</v>
      </c>
    </row>
    <row r="192" spans="1:9">
      <c r="A192" t="s">
        <v>254</v>
      </c>
      <c r="E192" s="2">
        <v>147</v>
      </c>
      <c r="F192" s="2">
        <v>114</v>
      </c>
      <c r="G192" s="2">
        <v>114</v>
      </c>
      <c r="H192" s="2">
        <v>77</v>
      </c>
      <c r="I192" s="2">
        <v>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5" tint="0.59999389629810485"/>
  </sheetPr>
  <dimension ref="A1:E254"/>
  <sheetViews>
    <sheetView workbookViewId="0">
      <selection activeCell="C8" sqref="C8"/>
    </sheetView>
  </sheetViews>
  <sheetFormatPr defaultRowHeight="15"/>
  <cols>
    <col min="1" max="1" width="26.42578125" bestFit="1" customWidth="1"/>
    <col min="2" max="3" width="40.7109375" customWidth="1"/>
    <col min="4" max="4" width="16.85546875" customWidth="1"/>
    <col min="5" max="5" width="57.85546875" customWidth="1"/>
    <col min="6" max="6" width="5.42578125" customWidth="1"/>
    <col min="7" max="9" width="21.140625" customWidth="1"/>
    <col min="10" max="10" width="25" bestFit="1" customWidth="1"/>
    <col min="11" max="11" width="22.5703125" bestFit="1" customWidth="1"/>
  </cols>
  <sheetData>
    <row r="1" spans="1:5">
      <c r="A1" s="4" t="s">
        <v>277</v>
      </c>
    </row>
    <row r="3" spans="1:5">
      <c r="A3" s="1" t="s">
        <v>470</v>
      </c>
      <c r="B3" t="s">
        <v>253</v>
      </c>
    </row>
    <row r="4" spans="1:5">
      <c r="A4" s="1" t="s">
        <v>249</v>
      </c>
      <c r="B4" t="s">
        <v>253</v>
      </c>
    </row>
    <row r="5" spans="1:5">
      <c r="A5" s="1" t="s">
        <v>251</v>
      </c>
      <c r="B5" t="s">
        <v>253</v>
      </c>
    </row>
    <row r="6" spans="1:5">
      <c r="A6" s="1" t="s">
        <v>471</v>
      </c>
      <c r="B6" t="s">
        <v>253</v>
      </c>
    </row>
    <row r="7" spans="1:5">
      <c r="A7" s="1" t="s">
        <v>436</v>
      </c>
      <c r="B7" t="s">
        <v>253</v>
      </c>
    </row>
    <row r="8" spans="1:5">
      <c r="A8" s="1" t="s">
        <v>662</v>
      </c>
      <c r="B8" t="s">
        <v>253</v>
      </c>
    </row>
    <row r="11" spans="1:5">
      <c r="A11" s="1" t="s">
        <v>2</v>
      </c>
      <c r="B11" s="1" t="s">
        <v>0</v>
      </c>
      <c r="C11" s="1" t="s">
        <v>1</v>
      </c>
      <c r="D11" s="1" t="s">
        <v>4</v>
      </c>
      <c r="E11" s="1" t="s">
        <v>6</v>
      </c>
    </row>
    <row r="12" spans="1:5">
      <c r="A12" t="s">
        <v>116</v>
      </c>
      <c r="B12">
        <v>10018143</v>
      </c>
      <c r="C12" t="s">
        <v>115</v>
      </c>
      <c r="D12" s="26">
        <v>39566</v>
      </c>
      <c r="E12" t="s">
        <v>18</v>
      </c>
    </row>
    <row r="13" spans="1:5">
      <c r="A13" t="s">
        <v>112</v>
      </c>
      <c r="B13">
        <v>10018124</v>
      </c>
      <c r="C13" t="s">
        <v>111</v>
      </c>
      <c r="D13" s="26">
        <v>39678</v>
      </c>
      <c r="E13" t="s">
        <v>30</v>
      </c>
    </row>
    <row r="14" spans="1:5">
      <c r="A14" t="s">
        <v>248</v>
      </c>
      <c r="B14">
        <v>10031660</v>
      </c>
      <c r="C14" t="s">
        <v>247</v>
      </c>
      <c r="D14" s="26">
        <v>41656</v>
      </c>
      <c r="E14" t="s">
        <v>15</v>
      </c>
    </row>
    <row r="15" spans="1:5">
      <c r="A15" t="s">
        <v>63</v>
      </c>
      <c r="B15">
        <v>10006819</v>
      </c>
      <c r="C15" t="s">
        <v>62</v>
      </c>
      <c r="D15" s="26">
        <v>40998</v>
      </c>
      <c r="E15" t="s">
        <v>22</v>
      </c>
    </row>
    <row r="16" spans="1:5">
      <c r="A16" t="s">
        <v>96</v>
      </c>
      <c r="B16">
        <v>10016787</v>
      </c>
      <c r="C16" t="s">
        <v>96</v>
      </c>
      <c r="D16" s="26">
        <v>40013</v>
      </c>
      <c r="E16" t="s">
        <v>56</v>
      </c>
    </row>
    <row r="17" spans="1:5">
      <c r="A17" t="s">
        <v>24</v>
      </c>
      <c r="B17">
        <v>10002393</v>
      </c>
      <c r="C17" t="s">
        <v>23</v>
      </c>
      <c r="D17" s="26">
        <v>41019</v>
      </c>
      <c r="E17" t="s">
        <v>22</v>
      </c>
    </row>
    <row r="18" spans="1:5">
      <c r="B18">
        <v>10003305</v>
      </c>
      <c r="C18" t="s">
        <v>47</v>
      </c>
      <c r="D18" s="26">
        <v>41019</v>
      </c>
      <c r="E18" t="s">
        <v>22</v>
      </c>
    </row>
    <row r="19" spans="1:5">
      <c r="B19">
        <v>10022928</v>
      </c>
      <c r="C19" t="s">
        <v>192</v>
      </c>
      <c r="D19" s="26">
        <v>41019</v>
      </c>
      <c r="E19" t="s">
        <v>22</v>
      </c>
    </row>
    <row r="20" spans="1:5">
      <c r="A20" t="s">
        <v>153</v>
      </c>
      <c r="B20">
        <v>10020646</v>
      </c>
      <c r="C20" t="s">
        <v>152</v>
      </c>
      <c r="D20" s="26">
        <v>39822</v>
      </c>
      <c r="E20" t="s">
        <v>22</v>
      </c>
    </row>
    <row r="21" spans="1:5">
      <c r="A21" t="s">
        <v>70</v>
      </c>
      <c r="B21">
        <v>10008091</v>
      </c>
      <c r="C21" t="s">
        <v>69</v>
      </c>
      <c r="D21" s="26">
        <v>41091</v>
      </c>
      <c r="E21" t="s">
        <v>30</v>
      </c>
    </row>
    <row r="22" spans="1:5">
      <c r="D22" s="26">
        <v>41176</v>
      </c>
      <c r="E22" t="s">
        <v>30</v>
      </c>
    </row>
    <row r="23" spans="1:5">
      <c r="D23" s="26">
        <v>41592</v>
      </c>
      <c r="E23" t="s">
        <v>18</v>
      </c>
    </row>
    <row r="24" spans="1:5">
      <c r="A24" t="s">
        <v>177</v>
      </c>
      <c r="B24">
        <v>10021632</v>
      </c>
      <c r="C24" t="s">
        <v>176</v>
      </c>
      <c r="D24" s="26">
        <v>41190</v>
      </c>
      <c r="E24" t="s">
        <v>27</v>
      </c>
    </row>
    <row r="25" spans="1:5">
      <c r="A25" t="s">
        <v>186</v>
      </c>
      <c r="B25">
        <v>10022437</v>
      </c>
      <c r="C25" t="s">
        <v>185</v>
      </c>
      <c r="D25" s="26">
        <v>41022</v>
      </c>
      <c r="E25" t="s">
        <v>22</v>
      </c>
    </row>
    <row r="26" spans="1:5">
      <c r="B26">
        <v>10031092</v>
      </c>
      <c r="C26" t="s">
        <v>246</v>
      </c>
      <c r="D26" s="26">
        <v>41424</v>
      </c>
      <c r="E26" t="s">
        <v>22</v>
      </c>
    </row>
    <row r="27" spans="1:5">
      <c r="A27" t="s">
        <v>131</v>
      </c>
      <c r="B27">
        <v>10019089</v>
      </c>
      <c r="C27" t="s">
        <v>130</v>
      </c>
      <c r="D27" s="26">
        <v>41095</v>
      </c>
      <c r="E27" t="s">
        <v>33</v>
      </c>
    </row>
    <row r="28" spans="1:5">
      <c r="A28" t="s">
        <v>61</v>
      </c>
      <c r="B28">
        <v>10005690</v>
      </c>
      <c r="C28" t="s">
        <v>60</v>
      </c>
      <c r="D28" s="26">
        <v>40920</v>
      </c>
      <c r="E28" t="s">
        <v>22</v>
      </c>
    </row>
    <row r="29" spans="1:5">
      <c r="A29" t="s">
        <v>159</v>
      </c>
      <c r="B29">
        <v>10020853</v>
      </c>
      <c r="C29" t="s">
        <v>158</v>
      </c>
      <c r="D29" s="26">
        <v>41096</v>
      </c>
      <c r="E29" t="s">
        <v>33</v>
      </c>
    </row>
    <row r="30" spans="1:5">
      <c r="A30" t="s">
        <v>26</v>
      </c>
      <c r="B30">
        <v>10002616</v>
      </c>
      <c r="C30" t="s">
        <v>25</v>
      </c>
      <c r="D30" s="26">
        <v>41036</v>
      </c>
      <c r="E30" t="s">
        <v>27</v>
      </c>
    </row>
    <row r="31" spans="1:5">
      <c r="A31" t="s">
        <v>235</v>
      </c>
      <c r="B31">
        <v>10029742</v>
      </c>
      <c r="C31" t="s">
        <v>234</v>
      </c>
      <c r="D31" s="26">
        <v>41156</v>
      </c>
      <c r="E31" t="s">
        <v>33</v>
      </c>
    </row>
    <row r="32" spans="1:5">
      <c r="A32" t="s">
        <v>148</v>
      </c>
      <c r="B32">
        <v>10019610</v>
      </c>
      <c r="C32" t="s">
        <v>147</v>
      </c>
      <c r="D32" s="26">
        <v>41005</v>
      </c>
      <c r="E32" t="s">
        <v>22</v>
      </c>
    </row>
    <row r="33" spans="1:5">
      <c r="A33" t="s">
        <v>237</v>
      </c>
      <c r="B33">
        <v>10029998</v>
      </c>
      <c r="C33" t="s">
        <v>236</v>
      </c>
      <c r="D33" s="26">
        <v>41177</v>
      </c>
      <c r="E33" t="s">
        <v>15</v>
      </c>
    </row>
    <row r="34" spans="1:5">
      <c r="A34" t="s">
        <v>34</v>
      </c>
      <c r="B34">
        <v>10016190</v>
      </c>
      <c r="C34" t="s">
        <v>374</v>
      </c>
      <c r="D34" s="26">
        <v>41241</v>
      </c>
      <c r="E34" t="s">
        <v>22</v>
      </c>
    </row>
    <row r="35" spans="1:5">
      <c r="A35" t="s">
        <v>45</v>
      </c>
      <c r="B35">
        <v>10003215</v>
      </c>
      <c r="C35" t="s">
        <v>44</v>
      </c>
      <c r="D35" s="26">
        <v>41309</v>
      </c>
      <c r="E35" t="s">
        <v>22</v>
      </c>
    </row>
    <row r="36" spans="1:5">
      <c r="A36" t="s">
        <v>165</v>
      </c>
      <c r="B36">
        <v>10021084</v>
      </c>
      <c r="C36" t="s">
        <v>164</v>
      </c>
      <c r="D36" s="26">
        <v>41292</v>
      </c>
      <c r="E36" t="s">
        <v>15</v>
      </c>
    </row>
    <row r="37" spans="1:5">
      <c r="B37">
        <v>10030282</v>
      </c>
      <c r="C37" t="s">
        <v>614</v>
      </c>
      <c r="D37" s="26">
        <v>41292</v>
      </c>
      <c r="E37" t="s">
        <v>15</v>
      </c>
    </row>
    <row r="38" spans="1:5">
      <c r="A38" t="s">
        <v>150</v>
      </c>
      <c r="B38">
        <v>10019667</v>
      </c>
      <c r="C38" t="s">
        <v>149</v>
      </c>
      <c r="D38" s="26">
        <v>39582</v>
      </c>
      <c r="E38" t="s">
        <v>18</v>
      </c>
    </row>
    <row r="39" spans="1:5">
      <c r="D39" s="26">
        <v>41025</v>
      </c>
      <c r="E39" t="s">
        <v>22</v>
      </c>
    </row>
    <row r="40" spans="1:5">
      <c r="A40" t="s">
        <v>29</v>
      </c>
      <c r="B40">
        <v>10002618</v>
      </c>
      <c r="C40" t="s">
        <v>28</v>
      </c>
      <c r="D40" s="26">
        <v>41439</v>
      </c>
      <c r="E40" t="s">
        <v>30</v>
      </c>
    </row>
    <row r="41" spans="1:5">
      <c r="A41" t="s">
        <v>78</v>
      </c>
      <c r="B41">
        <v>10011954</v>
      </c>
      <c r="C41" t="s">
        <v>77</v>
      </c>
      <c r="D41" s="26">
        <v>39741</v>
      </c>
      <c r="E41" t="s">
        <v>22</v>
      </c>
    </row>
    <row r="42" spans="1:5">
      <c r="A42" t="s">
        <v>127</v>
      </c>
      <c r="B42">
        <v>10018856</v>
      </c>
      <c r="C42" t="s">
        <v>126</v>
      </c>
      <c r="D42" s="26">
        <v>39490</v>
      </c>
      <c r="E42" t="s">
        <v>22</v>
      </c>
    </row>
    <row r="43" spans="1:5">
      <c r="A43" t="s">
        <v>157</v>
      </c>
      <c r="B43">
        <v>10020848</v>
      </c>
      <c r="C43" t="s">
        <v>156</v>
      </c>
      <c r="D43" s="26">
        <v>40955</v>
      </c>
      <c r="E43" t="s">
        <v>22</v>
      </c>
    </row>
    <row r="44" spans="1:5">
      <c r="A44" t="s">
        <v>84</v>
      </c>
      <c r="B44">
        <v>10012062</v>
      </c>
      <c r="C44" t="s">
        <v>83</v>
      </c>
      <c r="D44" s="26">
        <v>39356</v>
      </c>
      <c r="E44" t="s">
        <v>18</v>
      </c>
    </row>
    <row r="45" spans="1:5">
      <c r="A45" t="s">
        <v>98</v>
      </c>
      <c r="B45">
        <v>10016908</v>
      </c>
      <c r="C45" t="s">
        <v>97</v>
      </c>
      <c r="D45" s="26">
        <v>39850</v>
      </c>
      <c r="E45" t="s">
        <v>22</v>
      </c>
    </row>
    <row r="46" spans="1:5">
      <c r="A46" t="s">
        <v>121</v>
      </c>
      <c r="B46">
        <v>10018597</v>
      </c>
      <c r="C46" t="s">
        <v>120</v>
      </c>
      <c r="D46" s="26">
        <v>39419</v>
      </c>
      <c r="E46" t="s">
        <v>68</v>
      </c>
    </row>
    <row r="47" spans="1:5">
      <c r="A47" t="s">
        <v>163</v>
      </c>
      <c r="B47">
        <v>10021071</v>
      </c>
      <c r="C47" t="s">
        <v>162</v>
      </c>
      <c r="D47" s="26">
        <v>39904</v>
      </c>
      <c r="E47" t="s">
        <v>33</v>
      </c>
    </row>
    <row r="48" spans="1:5">
      <c r="D48" s="26">
        <v>41074</v>
      </c>
      <c r="E48" t="s">
        <v>22</v>
      </c>
    </row>
    <row r="49" spans="1:5">
      <c r="A49" t="s">
        <v>125</v>
      </c>
      <c r="B49">
        <v>10018808</v>
      </c>
      <c r="C49" t="s">
        <v>124</v>
      </c>
      <c r="D49" s="26">
        <v>39954</v>
      </c>
      <c r="E49" t="s">
        <v>22</v>
      </c>
    </row>
    <row r="50" spans="1:5">
      <c r="D50" s="26">
        <v>40941</v>
      </c>
      <c r="E50" t="s">
        <v>22</v>
      </c>
    </row>
    <row r="51" spans="1:5">
      <c r="D51" s="26">
        <v>41025</v>
      </c>
      <c r="E51" t="s">
        <v>22</v>
      </c>
    </row>
    <row r="52" spans="1:5">
      <c r="B52">
        <v>10023490</v>
      </c>
      <c r="C52" t="s">
        <v>201</v>
      </c>
      <c r="D52" s="26">
        <v>39954</v>
      </c>
      <c r="E52" t="s">
        <v>22</v>
      </c>
    </row>
    <row r="53" spans="1:5">
      <c r="D53" s="26">
        <v>40941</v>
      </c>
      <c r="E53" t="s">
        <v>22</v>
      </c>
    </row>
    <row r="54" spans="1:5">
      <c r="D54" s="26">
        <v>41019</v>
      </c>
      <c r="E54" t="s">
        <v>22</v>
      </c>
    </row>
    <row r="55" spans="1:5">
      <c r="A55" t="s">
        <v>223</v>
      </c>
      <c r="B55">
        <v>10029175</v>
      </c>
      <c r="C55" t="s">
        <v>222</v>
      </c>
      <c r="D55" s="26">
        <v>40905</v>
      </c>
      <c r="E55" t="s">
        <v>15</v>
      </c>
    </row>
    <row r="56" spans="1:5">
      <c r="A56" t="s">
        <v>102</v>
      </c>
      <c r="B56">
        <v>10017162</v>
      </c>
      <c r="C56" t="s">
        <v>101</v>
      </c>
      <c r="D56" s="26">
        <v>41299</v>
      </c>
      <c r="E56" t="s">
        <v>22</v>
      </c>
    </row>
    <row r="57" spans="1:5">
      <c r="A57" t="s">
        <v>243</v>
      </c>
      <c r="B57">
        <v>10030431</v>
      </c>
      <c r="C57" t="s">
        <v>242</v>
      </c>
      <c r="D57" s="26">
        <v>41260</v>
      </c>
      <c r="E57" t="s">
        <v>30</v>
      </c>
    </row>
    <row r="58" spans="1:5">
      <c r="A58" t="s">
        <v>155</v>
      </c>
      <c r="B58">
        <v>10020806</v>
      </c>
      <c r="C58" t="s">
        <v>154</v>
      </c>
      <c r="D58" s="26">
        <v>39845</v>
      </c>
      <c r="E58" t="s">
        <v>33</v>
      </c>
    </row>
    <row r="59" spans="1:5">
      <c r="D59" s="26">
        <v>41129</v>
      </c>
      <c r="E59" t="s">
        <v>22</v>
      </c>
    </row>
    <row r="60" spans="1:5">
      <c r="A60" t="s">
        <v>142</v>
      </c>
      <c r="B60">
        <v>10019408</v>
      </c>
      <c r="C60" t="s">
        <v>141</v>
      </c>
      <c r="D60" s="26">
        <v>41050</v>
      </c>
      <c r="E60" t="s">
        <v>22</v>
      </c>
    </row>
    <row r="61" spans="1:5">
      <c r="A61" t="s">
        <v>32</v>
      </c>
      <c r="B61">
        <v>10002622</v>
      </c>
      <c r="C61" t="s">
        <v>31</v>
      </c>
      <c r="D61" s="26">
        <v>41095</v>
      </c>
      <c r="E61" t="s">
        <v>33</v>
      </c>
    </row>
    <row r="62" spans="1:5">
      <c r="A62" t="s">
        <v>105</v>
      </c>
      <c r="B62">
        <v>10017541</v>
      </c>
      <c r="C62" t="s">
        <v>104</v>
      </c>
      <c r="D62" s="26">
        <v>41289</v>
      </c>
      <c r="E62" t="s">
        <v>106</v>
      </c>
    </row>
    <row r="63" spans="1:5">
      <c r="A63" t="s">
        <v>194</v>
      </c>
      <c r="B63">
        <v>10023008</v>
      </c>
      <c r="C63" t="s">
        <v>193</v>
      </c>
      <c r="D63" s="26">
        <v>39653</v>
      </c>
      <c r="E63" t="s">
        <v>22</v>
      </c>
    </row>
    <row r="64" spans="1:5">
      <c r="A64" t="s">
        <v>135</v>
      </c>
      <c r="B64">
        <v>10019117</v>
      </c>
      <c r="C64" t="s">
        <v>134</v>
      </c>
      <c r="D64" s="26">
        <v>41062</v>
      </c>
      <c r="E64" t="s">
        <v>33</v>
      </c>
    </row>
    <row r="65" spans="1:5">
      <c r="A65" t="s">
        <v>167</v>
      </c>
      <c r="B65">
        <v>10021176</v>
      </c>
      <c r="C65" t="s">
        <v>166</v>
      </c>
      <c r="D65" s="26">
        <v>39814</v>
      </c>
      <c r="E65" t="s">
        <v>33</v>
      </c>
    </row>
    <row r="66" spans="1:5">
      <c r="D66" s="26">
        <v>41276</v>
      </c>
      <c r="E66" t="s">
        <v>22</v>
      </c>
    </row>
    <row r="67" spans="1:5">
      <c r="A67" t="s">
        <v>198</v>
      </c>
      <c r="B67">
        <v>10023342</v>
      </c>
      <c r="C67" t="s">
        <v>197</v>
      </c>
      <c r="D67" s="26">
        <v>41068</v>
      </c>
      <c r="E67" t="s">
        <v>15</v>
      </c>
    </row>
    <row r="68" spans="1:5">
      <c r="A68" t="s">
        <v>55</v>
      </c>
      <c r="B68">
        <v>10003775</v>
      </c>
      <c r="C68" t="s">
        <v>54</v>
      </c>
      <c r="D68" s="26">
        <v>40875</v>
      </c>
      <c r="E68" t="s">
        <v>56</v>
      </c>
    </row>
    <row r="69" spans="1:5">
      <c r="A69" t="s">
        <v>21</v>
      </c>
      <c r="B69">
        <v>10002254</v>
      </c>
      <c r="C69" t="s">
        <v>20</v>
      </c>
      <c r="D69" s="26">
        <v>39653</v>
      </c>
      <c r="E69" t="s">
        <v>22</v>
      </c>
    </row>
    <row r="70" spans="1:5">
      <c r="D70" s="26">
        <v>40123</v>
      </c>
      <c r="E70" t="s">
        <v>22</v>
      </c>
    </row>
    <row r="71" spans="1:5">
      <c r="A71" t="s">
        <v>80</v>
      </c>
      <c r="B71">
        <v>10011961</v>
      </c>
      <c r="C71" t="s">
        <v>79</v>
      </c>
      <c r="D71" s="26">
        <v>39819</v>
      </c>
      <c r="E71" t="s">
        <v>33</v>
      </c>
    </row>
    <row r="72" spans="1:5">
      <c r="D72" s="26">
        <v>41261</v>
      </c>
      <c r="E72" t="s">
        <v>33</v>
      </c>
    </row>
    <row r="73" spans="1:5">
      <c r="A73" t="s">
        <v>108</v>
      </c>
      <c r="B73">
        <v>10017609</v>
      </c>
      <c r="C73" t="s">
        <v>107</v>
      </c>
      <c r="D73" s="26">
        <v>40861</v>
      </c>
      <c r="E73" t="s">
        <v>15</v>
      </c>
    </row>
    <row r="74" spans="1:5">
      <c r="A74" t="s">
        <v>146</v>
      </c>
      <c r="B74">
        <v>10019497</v>
      </c>
      <c r="C74" t="s">
        <v>145</v>
      </c>
      <c r="D74" s="26">
        <v>39631</v>
      </c>
      <c r="E74" t="s">
        <v>33</v>
      </c>
    </row>
    <row r="75" spans="1:5">
      <c r="D75" s="26">
        <v>40963</v>
      </c>
      <c r="E75" t="s">
        <v>33</v>
      </c>
    </row>
    <row r="76" spans="1:5">
      <c r="A76" t="s">
        <v>74</v>
      </c>
      <c r="B76">
        <v>10011086</v>
      </c>
      <c r="C76" t="s">
        <v>73</v>
      </c>
      <c r="D76" s="26">
        <v>41088</v>
      </c>
      <c r="E76" t="s">
        <v>22</v>
      </c>
    </row>
    <row r="77" spans="1:5">
      <c r="A77" t="s">
        <v>182</v>
      </c>
      <c r="B77">
        <v>10022134</v>
      </c>
      <c r="C77" t="s">
        <v>181</v>
      </c>
      <c r="D77" s="26">
        <v>41127</v>
      </c>
      <c r="E77" t="s">
        <v>15</v>
      </c>
    </row>
    <row r="78" spans="1:5">
      <c r="A78" t="s">
        <v>137</v>
      </c>
      <c r="B78">
        <v>10019263</v>
      </c>
      <c r="C78" t="s">
        <v>136</v>
      </c>
      <c r="D78" s="26">
        <v>39845</v>
      </c>
      <c r="E78" t="s">
        <v>33</v>
      </c>
    </row>
    <row r="79" spans="1:5">
      <c r="D79" s="26">
        <v>41136</v>
      </c>
      <c r="E79" t="s">
        <v>22</v>
      </c>
    </row>
    <row r="80" spans="1:5">
      <c r="A80" t="s">
        <v>76</v>
      </c>
      <c r="B80">
        <v>10011884</v>
      </c>
      <c r="C80" t="s">
        <v>75</v>
      </c>
      <c r="D80" s="26">
        <v>41019</v>
      </c>
      <c r="E80" t="s">
        <v>27</v>
      </c>
    </row>
    <row r="81" spans="1:5">
      <c r="B81">
        <v>10012145</v>
      </c>
      <c r="C81" t="s">
        <v>629</v>
      </c>
      <c r="D81" s="26">
        <v>41019</v>
      </c>
      <c r="E81" t="s">
        <v>27</v>
      </c>
    </row>
    <row r="82" spans="1:5">
      <c r="A82" t="s">
        <v>196</v>
      </c>
      <c r="B82">
        <v>10023135</v>
      </c>
      <c r="C82" t="s">
        <v>195</v>
      </c>
      <c r="D82" s="26">
        <v>39895</v>
      </c>
      <c r="E82" t="s">
        <v>22</v>
      </c>
    </row>
    <row r="83" spans="1:5">
      <c r="A83" t="s">
        <v>100</v>
      </c>
      <c r="B83">
        <v>10016947</v>
      </c>
      <c r="C83" t="s">
        <v>99</v>
      </c>
      <c r="D83" s="26">
        <v>40875</v>
      </c>
      <c r="E83" t="s">
        <v>22</v>
      </c>
    </row>
    <row r="84" spans="1:5">
      <c r="A84" t="s">
        <v>225</v>
      </c>
      <c r="B84">
        <v>10029232</v>
      </c>
      <c r="C84" t="s">
        <v>224</v>
      </c>
      <c r="D84" s="26">
        <v>41043</v>
      </c>
      <c r="E84" t="s">
        <v>22</v>
      </c>
    </row>
    <row r="85" spans="1:5">
      <c r="A85" t="s">
        <v>13</v>
      </c>
      <c r="B85">
        <v>10002059</v>
      </c>
      <c r="C85" t="s">
        <v>12</v>
      </c>
      <c r="D85" s="26">
        <v>41212</v>
      </c>
      <c r="E85" t="s">
        <v>15</v>
      </c>
    </row>
    <row r="86" spans="1:5">
      <c r="A86" t="s">
        <v>200</v>
      </c>
      <c r="B86">
        <v>10023343</v>
      </c>
      <c r="C86" t="s">
        <v>199</v>
      </c>
      <c r="D86" s="26">
        <v>40970</v>
      </c>
      <c r="E86" t="s">
        <v>22</v>
      </c>
    </row>
    <row r="87" spans="1:5">
      <c r="A87" t="s">
        <v>161</v>
      </c>
      <c r="B87">
        <v>10021016</v>
      </c>
      <c r="C87" t="s">
        <v>160</v>
      </c>
      <c r="D87" s="26">
        <v>41066</v>
      </c>
      <c r="E87" t="s">
        <v>22</v>
      </c>
    </row>
    <row r="88" spans="1:5">
      <c r="A88" t="s">
        <v>191</v>
      </c>
      <c r="B88">
        <v>10022803</v>
      </c>
      <c r="C88" t="s">
        <v>190</v>
      </c>
      <c r="D88" s="26">
        <v>39823</v>
      </c>
      <c r="E88" t="s">
        <v>30</v>
      </c>
    </row>
    <row r="89" spans="1:5">
      <c r="A89" t="s">
        <v>67</v>
      </c>
      <c r="B89">
        <v>10007542</v>
      </c>
      <c r="C89" t="s">
        <v>66</v>
      </c>
      <c r="D89" s="26">
        <v>39396</v>
      </c>
      <c r="E89" t="s">
        <v>68</v>
      </c>
    </row>
    <row r="90" spans="1:5">
      <c r="D90" s="26">
        <v>41057</v>
      </c>
      <c r="E90" t="s">
        <v>22</v>
      </c>
    </row>
    <row r="91" spans="1:5">
      <c r="A91" t="s">
        <v>90</v>
      </c>
      <c r="B91">
        <v>10013781</v>
      </c>
      <c r="C91" t="s">
        <v>89</v>
      </c>
      <c r="D91" s="26">
        <v>39855</v>
      </c>
      <c r="E91" t="s">
        <v>18</v>
      </c>
    </row>
    <row r="92" spans="1:5">
      <c r="D92" s="26">
        <v>40288</v>
      </c>
      <c r="E92" t="s">
        <v>33</v>
      </c>
    </row>
    <row r="93" spans="1:5">
      <c r="D93" s="26">
        <v>41145</v>
      </c>
      <c r="E93" t="s">
        <v>22</v>
      </c>
    </row>
    <row r="94" spans="1:5">
      <c r="D94" s="26">
        <v>41199</v>
      </c>
      <c r="E94" t="s">
        <v>22</v>
      </c>
    </row>
    <row r="95" spans="1:5">
      <c r="A95" t="s">
        <v>245</v>
      </c>
      <c r="B95">
        <v>10030888</v>
      </c>
      <c r="C95" t="s">
        <v>244</v>
      </c>
      <c r="D95" s="26">
        <v>41485</v>
      </c>
      <c r="E95" t="s">
        <v>15</v>
      </c>
    </row>
    <row r="96" spans="1:5">
      <c r="D96" s="26">
        <v>41534</v>
      </c>
      <c r="E96" t="s">
        <v>15</v>
      </c>
    </row>
    <row r="97" spans="1:5">
      <c r="A97" t="s">
        <v>114</v>
      </c>
      <c r="B97">
        <v>10018142</v>
      </c>
      <c r="C97" t="s">
        <v>113</v>
      </c>
      <c r="D97" s="26">
        <v>41569</v>
      </c>
      <c r="E97" t="s">
        <v>22</v>
      </c>
    </row>
    <row r="98" spans="1:5">
      <c r="A98" t="s">
        <v>172</v>
      </c>
      <c r="B98">
        <v>10021534</v>
      </c>
      <c r="C98" t="s">
        <v>171</v>
      </c>
      <c r="D98" s="26">
        <v>39641</v>
      </c>
      <c r="E98" t="s">
        <v>22</v>
      </c>
    </row>
    <row r="99" spans="1:5">
      <c r="D99" s="26">
        <v>41050</v>
      </c>
      <c r="E99" t="s">
        <v>68</v>
      </c>
    </row>
    <row r="100" spans="1:5">
      <c r="A100" t="s">
        <v>184</v>
      </c>
      <c r="B100">
        <v>10022317</v>
      </c>
      <c r="C100" t="s">
        <v>183</v>
      </c>
      <c r="D100" s="26">
        <v>39622</v>
      </c>
      <c r="E100" t="s">
        <v>22</v>
      </c>
    </row>
    <row r="101" spans="1:5">
      <c r="D101" s="26">
        <v>41170</v>
      </c>
      <c r="E101" t="s">
        <v>22</v>
      </c>
    </row>
    <row r="102" spans="1:5">
      <c r="A102" t="s">
        <v>140</v>
      </c>
      <c r="B102">
        <v>10019336</v>
      </c>
      <c r="C102" t="s">
        <v>139</v>
      </c>
      <c r="D102" s="26">
        <v>39833</v>
      </c>
      <c r="E102" t="s">
        <v>18</v>
      </c>
    </row>
    <row r="103" spans="1:5">
      <c r="D103" s="26">
        <v>41248</v>
      </c>
      <c r="E103" t="s">
        <v>30</v>
      </c>
    </row>
    <row r="104" spans="1:5">
      <c r="A104" t="s">
        <v>174</v>
      </c>
      <c r="B104">
        <v>10021546</v>
      </c>
      <c r="C104" t="s">
        <v>173</v>
      </c>
      <c r="D104" s="26">
        <v>40025</v>
      </c>
      <c r="E104" t="s">
        <v>56</v>
      </c>
    </row>
    <row r="105" spans="1:5">
      <c r="D105" s="26">
        <v>40914</v>
      </c>
      <c r="E105" t="s">
        <v>22</v>
      </c>
    </row>
    <row r="106" spans="1:5">
      <c r="A106" t="s">
        <v>118</v>
      </c>
      <c r="B106">
        <v>10018552</v>
      </c>
      <c r="C106" t="s">
        <v>117</v>
      </c>
      <c r="D106" s="26">
        <v>39757</v>
      </c>
      <c r="E106" t="s">
        <v>68</v>
      </c>
    </row>
    <row r="107" spans="1:5">
      <c r="D107" s="26">
        <v>41036</v>
      </c>
      <c r="E107" t="s">
        <v>22</v>
      </c>
    </row>
    <row r="108" spans="1:5">
      <c r="B108">
        <v>10022505</v>
      </c>
      <c r="C108" t="s">
        <v>187</v>
      </c>
      <c r="D108" s="26">
        <v>39757</v>
      </c>
      <c r="E108" t="s">
        <v>68</v>
      </c>
    </row>
    <row r="109" spans="1:5">
      <c r="D109" s="26">
        <v>41036</v>
      </c>
      <c r="E109" t="s">
        <v>22</v>
      </c>
    </row>
    <row r="110" spans="1:5">
      <c r="A110" t="s">
        <v>17</v>
      </c>
      <c r="B110">
        <v>10002063</v>
      </c>
      <c r="C110" t="s">
        <v>16</v>
      </c>
      <c r="D110" s="26">
        <v>39951</v>
      </c>
      <c r="E110" t="s">
        <v>18</v>
      </c>
    </row>
    <row r="111" spans="1:5">
      <c r="A111" t="s">
        <v>180</v>
      </c>
      <c r="B111">
        <v>10021905</v>
      </c>
      <c r="C111" t="s">
        <v>179</v>
      </c>
      <c r="D111" s="26">
        <v>41172</v>
      </c>
      <c r="E111" t="s">
        <v>22</v>
      </c>
    </row>
    <row r="112" spans="1:5">
      <c r="A112" t="s">
        <v>42</v>
      </c>
      <c r="B112">
        <v>10002657</v>
      </c>
      <c r="C112" t="s">
        <v>41</v>
      </c>
      <c r="D112" s="26">
        <v>39675</v>
      </c>
      <c r="E112" t="s">
        <v>33</v>
      </c>
    </row>
    <row r="113" spans="1:5">
      <c r="A113" t="s">
        <v>215</v>
      </c>
      <c r="B113">
        <v>10025994</v>
      </c>
      <c r="C113" t="s">
        <v>214</v>
      </c>
      <c r="D113" s="26">
        <v>41215</v>
      </c>
      <c r="E113" t="s">
        <v>56</v>
      </c>
    </row>
    <row r="114" spans="1:5">
      <c r="A114" t="s">
        <v>51</v>
      </c>
      <c r="B114">
        <v>10003624</v>
      </c>
      <c r="C114" t="s">
        <v>50</v>
      </c>
      <c r="D114" s="26">
        <v>39716</v>
      </c>
      <c r="E114" t="s">
        <v>33</v>
      </c>
    </row>
    <row r="115" spans="1:5">
      <c r="D115" s="26">
        <v>40988</v>
      </c>
      <c r="E115" t="s">
        <v>22</v>
      </c>
    </row>
    <row r="116" spans="1:5">
      <c r="A116" t="s">
        <v>144</v>
      </c>
      <c r="B116">
        <v>10019410</v>
      </c>
      <c r="C116" t="s">
        <v>143</v>
      </c>
      <c r="D116" s="26">
        <v>40997</v>
      </c>
      <c r="E116" t="s">
        <v>22</v>
      </c>
    </row>
    <row r="117" spans="1:5">
      <c r="A117" t="s">
        <v>86</v>
      </c>
      <c r="B117">
        <v>10012158</v>
      </c>
      <c r="C117" t="s">
        <v>85</v>
      </c>
      <c r="D117" s="26">
        <v>41060</v>
      </c>
      <c r="E117" t="s">
        <v>33</v>
      </c>
    </row>
    <row r="118" spans="1:5">
      <c r="A118" t="s">
        <v>170</v>
      </c>
      <c r="B118">
        <v>10021528</v>
      </c>
      <c r="C118" t="s">
        <v>169</v>
      </c>
      <c r="D118" s="26">
        <v>41151</v>
      </c>
      <c r="E118" t="s">
        <v>22</v>
      </c>
    </row>
    <row r="119" spans="1:5">
      <c r="A119" t="s">
        <v>37</v>
      </c>
      <c r="B119">
        <v>10002641</v>
      </c>
      <c r="C119" t="s">
        <v>36</v>
      </c>
      <c r="D119" s="26">
        <v>40065</v>
      </c>
      <c r="E119" t="s">
        <v>30</v>
      </c>
    </row>
    <row r="120" spans="1:5">
      <c r="D120" s="26">
        <v>41517</v>
      </c>
      <c r="E120" t="s">
        <v>15</v>
      </c>
    </row>
    <row r="121" spans="1:5">
      <c r="A121" t="s">
        <v>110</v>
      </c>
      <c r="B121">
        <v>10017703</v>
      </c>
      <c r="C121" t="s">
        <v>109</v>
      </c>
      <c r="D121" s="26">
        <v>41061</v>
      </c>
      <c r="E121" t="s">
        <v>33</v>
      </c>
    </row>
    <row r="122" spans="1:5">
      <c r="A122" t="s">
        <v>221</v>
      </c>
      <c r="B122">
        <v>10028602</v>
      </c>
      <c r="C122" t="s">
        <v>220</v>
      </c>
      <c r="D122" s="26">
        <v>41145</v>
      </c>
      <c r="E122" t="s">
        <v>22</v>
      </c>
    </row>
    <row r="123" spans="1:5">
      <c r="A123" t="s">
        <v>239</v>
      </c>
      <c r="B123">
        <v>10030220</v>
      </c>
      <c r="C123" t="s">
        <v>238</v>
      </c>
      <c r="D123" s="26">
        <v>41305</v>
      </c>
      <c r="E123" t="s">
        <v>30</v>
      </c>
    </row>
    <row r="124" spans="1:5">
      <c r="A124" t="s">
        <v>92</v>
      </c>
      <c r="B124">
        <v>10013982</v>
      </c>
      <c r="C124" t="s">
        <v>91</v>
      </c>
      <c r="D124" s="26">
        <v>39923</v>
      </c>
      <c r="E124" t="s">
        <v>33</v>
      </c>
    </row>
    <row r="125" spans="1:5">
      <c r="D125" s="26">
        <v>41288</v>
      </c>
      <c r="E125" t="s">
        <v>33</v>
      </c>
    </row>
    <row r="126" spans="1:5">
      <c r="A126" t="s">
        <v>58</v>
      </c>
      <c r="B126">
        <v>10005402</v>
      </c>
      <c r="C126" t="s">
        <v>57</v>
      </c>
      <c r="D126" s="26">
        <v>41113</v>
      </c>
      <c r="E126" t="s">
        <v>27</v>
      </c>
    </row>
    <row r="127" spans="1:5">
      <c r="A127" t="s">
        <v>209</v>
      </c>
      <c r="B127">
        <v>10025286</v>
      </c>
      <c r="C127" t="s">
        <v>208</v>
      </c>
      <c r="D127" s="26">
        <v>41127</v>
      </c>
      <c r="E127" t="s">
        <v>33</v>
      </c>
    </row>
    <row r="128" spans="1:5">
      <c r="D128" s="26">
        <v>41180</v>
      </c>
      <c r="E128" t="s">
        <v>33</v>
      </c>
    </row>
    <row r="129" spans="1:5">
      <c r="A129" t="s">
        <v>229</v>
      </c>
      <c r="B129">
        <v>10029413</v>
      </c>
      <c r="C129" t="s">
        <v>228</v>
      </c>
      <c r="D129" s="26">
        <v>40967</v>
      </c>
      <c r="E129" t="s">
        <v>15</v>
      </c>
    </row>
    <row r="130" spans="1:5">
      <c r="A130" t="s">
        <v>40</v>
      </c>
      <c r="B130">
        <v>10002644</v>
      </c>
      <c r="C130" t="s">
        <v>39</v>
      </c>
      <c r="D130" s="26">
        <v>39944</v>
      </c>
      <c r="E130" t="s">
        <v>18</v>
      </c>
    </row>
    <row r="131" spans="1:5">
      <c r="A131" t="s">
        <v>133</v>
      </c>
      <c r="B131">
        <v>10019114</v>
      </c>
      <c r="C131" t="s">
        <v>132</v>
      </c>
      <c r="D131" s="26">
        <v>40905</v>
      </c>
      <c r="E131" t="s">
        <v>15</v>
      </c>
    </row>
    <row r="132" spans="1:5">
      <c r="A132" t="s">
        <v>88</v>
      </c>
      <c r="B132">
        <v>10012238</v>
      </c>
      <c r="C132" t="s">
        <v>87</v>
      </c>
      <c r="D132" s="26">
        <v>40108</v>
      </c>
      <c r="E132" t="s">
        <v>22</v>
      </c>
    </row>
    <row r="133" spans="1:5">
      <c r="D133" s="26">
        <v>40235</v>
      </c>
      <c r="E133" t="s">
        <v>22</v>
      </c>
    </row>
    <row r="134" spans="1:5">
      <c r="A134" t="s">
        <v>65</v>
      </c>
      <c r="B134">
        <v>10007071</v>
      </c>
      <c r="C134" t="s">
        <v>64</v>
      </c>
      <c r="D134" s="26">
        <v>41152</v>
      </c>
      <c r="E134" t="s">
        <v>15</v>
      </c>
    </row>
    <row r="135" spans="1:5">
      <c r="A135" t="s">
        <v>241</v>
      </c>
      <c r="B135">
        <v>10030244</v>
      </c>
      <c r="C135" t="s">
        <v>240</v>
      </c>
      <c r="D135" s="26">
        <v>41214</v>
      </c>
      <c r="E135" t="s">
        <v>15</v>
      </c>
    </row>
    <row r="136" spans="1:5">
      <c r="A136" t="s">
        <v>211</v>
      </c>
      <c r="B136">
        <v>10025918</v>
      </c>
      <c r="C136" t="s">
        <v>210</v>
      </c>
      <c r="D136" s="26">
        <v>39958</v>
      </c>
      <c r="E136" t="s">
        <v>33</v>
      </c>
    </row>
    <row r="137" spans="1:5">
      <c r="A137" t="s">
        <v>82</v>
      </c>
      <c r="B137">
        <v>10011965</v>
      </c>
      <c r="C137" t="s">
        <v>81</v>
      </c>
      <c r="D137" s="26">
        <v>39496</v>
      </c>
      <c r="E137" t="s">
        <v>22</v>
      </c>
    </row>
    <row r="138" spans="1:5">
      <c r="A138" t="s">
        <v>231</v>
      </c>
      <c r="B138">
        <v>10029414</v>
      </c>
      <c r="C138" t="s">
        <v>230</v>
      </c>
      <c r="D138" s="26">
        <v>41033</v>
      </c>
      <c r="E138" t="s">
        <v>22</v>
      </c>
    </row>
    <row r="139" spans="1:5">
      <c r="A139" t="s">
        <v>207</v>
      </c>
      <c r="B139">
        <v>10024482</v>
      </c>
      <c r="C139" t="s">
        <v>206</v>
      </c>
      <c r="D139" s="26">
        <v>40365</v>
      </c>
      <c r="E139" t="s">
        <v>22</v>
      </c>
    </row>
    <row r="140" spans="1:5">
      <c r="A140" t="s">
        <v>282</v>
      </c>
      <c r="B140">
        <v>10022749</v>
      </c>
      <c r="C140" t="s">
        <v>307</v>
      </c>
      <c r="D140" s="26">
        <v>40994</v>
      </c>
      <c r="E140" t="s">
        <v>22</v>
      </c>
    </row>
    <row r="141" spans="1:5">
      <c r="A141" t="s">
        <v>283</v>
      </c>
      <c r="B141">
        <v>10002342</v>
      </c>
      <c r="C141" t="s">
        <v>308</v>
      </c>
      <c r="D141" s="26">
        <v>39464</v>
      </c>
      <c r="E141" t="s">
        <v>22</v>
      </c>
    </row>
    <row r="142" spans="1:5">
      <c r="D142" s="26">
        <v>40382</v>
      </c>
      <c r="E142" t="s">
        <v>22</v>
      </c>
    </row>
    <row r="143" spans="1:5">
      <c r="D143" s="26">
        <v>41125</v>
      </c>
      <c r="E143" t="s">
        <v>22</v>
      </c>
    </row>
    <row r="144" spans="1:5">
      <c r="A144" t="s">
        <v>285</v>
      </c>
      <c r="B144">
        <v>10031135</v>
      </c>
      <c r="C144" t="s">
        <v>310</v>
      </c>
      <c r="D144" s="26">
        <v>41425</v>
      </c>
      <c r="E144" t="s">
        <v>15</v>
      </c>
    </row>
    <row r="145" spans="1:5">
      <c r="A145" t="s">
        <v>286</v>
      </c>
      <c r="B145">
        <v>10011953</v>
      </c>
      <c r="C145" t="s">
        <v>311</v>
      </c>
      <c r="D145" s="26">
        <v>38100</v>
      </c>
      <c r="E145" t="s">
        <v>312</v>
      </c>
    </row>
    <row r="146" spans="1:5">
      <c r="D146" s="26">
        <v>38718</v>
      </c>
      <c r="E146" t="s">
        <v>312</v>
      </c>
    </row>
    <row r="147" spans="1:5">
      <c r="D147" s="26">
        <v>38907</v>
      </c>
      <c r="E147" t="s">
        <v>312</v>
      </c>
    </row>
    <row r="148" spans="1:5">
      <c r="D148" s="26">
        <v>39871</v>
      </c>
      <c r="E148" t="s">
        <v>18</v>
      </c>
    </row>
    <row r="149" spans="1:5">
      <c r="A149" t="s">
        <v>287</v>
      </c>
      <c r="B149">
        <v>10002651</v>
      </c>
      <c r="C149" t="s">
        <v>313</v>
      </c>
      <c r="D149" s="26">
        <v>40977</v>
      </c>
      <c r="E149" t="s">
        <v>18</v>
      </c>
    </row>
    <row r="150" spans="1:5">
      <c r="A150" t="s">
        <v>288</v>
      </c>
      <c r="B150">
        <v>10022502</v>
      </c>
      <c r="C150" t="s">
        <v>314</v>
      </c>
      <c r="D150" s="26">
        <v>41212</v>
      </c>
      <c r="E150" t="s">
        <v>106</v>
      </c>
    </row>
    <row r="151" spans="1:5">
      <c r="D151" s="26">
        <v>41428</v>
      </c>
      <c r="E151" t="s">
        <v>315</v>
      </c>
    </row>
    <row r="152" spans="1:5">
      <c r="A152" t="s">
        <v>289</v>
      </c>
      <c r="B152">
        <v>10016744</v>
      </c>
      <c r="C152" t="s">
        <v>316</v>
      </c>
      <c r="D152" s="26">
        <v>39496</v>
      </c>
      <c r="E152" t="s">
        <v>22</v>
      </c>
    </row>
    <row r="153" spans="1:5">
      <c r="A153" t="s">
        <v>290</v>
      </c>
      <c r="B153">
        <v>10020637</v>
      </c>
      <c r="C153" t="s">
        <v>317</v>
      </c>
      <c r="D153" s="26">
        <v>41022</v>
      </c>
      <c r="E153" t="s">
        <v>22</v>
      </c>
    </row>
    <row r="154" spans="1:5">
      <c r="A154" t="s">
        <v>291</v>
      </c>
      <c r="B154">
        <v>10029303</v>
      </c>
      <c r="C154" t="s">
        <v>318</v>
      </c>
      <c r="D154" s="26">
        <v>40985</v>
      </c>
      <c r="E154" t="s">
        <v>22</v>
      </c>
    </row>
    <row r="155" spans="1:5">
      <c r="A155" t="s">
        <v>292</v>
      </c>
      <c r="B155">
        <v>10016624</v>
      </c>
      <c r="C155" t="s">
        <v>319</v>
      </c>
      <c r="D155" s="26">
        <v>39788</v>
      </c>
      <c r="E155" t="s">
        <v>22</v>
      </c>
    </row>
    <row r="156" spans="1:5">
      <c r="D156" s="26">
        <v>41000</v>
      </c>
      <c r="E156" t="s">
        <v>106</v>
      </c>
    </row>
    <row r="157" spans="1:5">
      <c r="A157" t="s">
        <v>293</v>
      </c>
      <c r="B157">
        <v>10019574</v>
      </c>
      <c r="C157" t="s">
        <v>320</v>
      </c>
      <c r="D157" s="26">
        <v>40955</v>
      </c>
      <c r="E157" t="s">
        <v>22</v>
      </c>
    </row>
    <row r="158" spans="1:5">
      <c r="A158" t="s">
        <v>294</v>
      </c>
      <c r="B158">
        <v>10022079</v>
      </c>
      <c r="C158" t="s">
        <v>321</v>
      </c>
      <c r="D158" s="26">
        <v>41228</v>
      </c>
      <c r="E158" t="s">
        <v>22</v>
      </c>
    </row>
    <row r="159" spans="1:5">
      <c r="A159" t="s">
        <v>295</v>
      </c>
      <c r="B159">
        <v>10016946</v>
      </c>
      <c r="C159" t="s">
        <v>322</v>
      </c>
      <c r="D159" s="26">
        <v>39884</v>
      </c>
      <c r="E159" t="s">
        <v>22</v>
      </c>
    </row>
    <row r="160" spans="1:5">
      <c r="D160" s="26">
        <v>40974</v>
      </c>
      <c r="E160" t="s">
        <v>22</v>
      </c>
    </row>
    <row r="161" spans="1:5">
      <c r="A161" t="s">
        <v>296</v>
      </c>
      <c r="B161">
        <v>10018146</v>
      </c>
      <c r="C161" t="s">
        <v>323</v>
      </c>
      <c r="D161" s="26">
        <v>41017</v>
      </c>
      <c r="E161" t="s">
        <v>22</v>
      </c>
    </row>
    <row r="162" spans="1:5">
      <c r="A162" t="s">
        <v>297</v>
      </c>
      <c r="B162">
        <v>10023289</v>
      </c>
      <c r="C162" t="s">
        <v>324</v>
      </c>
      <c r="D162" s="26">
        <v>40149</v>
      </c>
      <c r="E162" t="s">
        <v>22</v>
      </c>
    </row>
    <row r="163" spans="1:5">
      <c r="A163" t="s">
        <v>298</v>
      </c>
      <c r="B163">
        <v>10008580</v>
      </c>
      <c r="C163" t="s">
        <v>325</v>
      </c>
      <c r="D163" s="26">
        <v>41015</v>
      </c>
      <c r="E163" t="s">
        <v>15</v>
      </c>
    </row>
    <row r="164" spans="1:5">
      <c r="D164" s="26">
        <v>41153</v>
      </c>
      <c r="E164" t="s">
        <v>15</v>
      </c>
    </row>
    <row r="165" spans="1:5">
      <c r="A165" t="s">
        <v>300</v>
      </c>
      <c r="B165">
        <v>10031100</v>
      </c>
      <c r="C165" t="s">
        <v>327</v>
      </c>
      <c r="D165" s="26">
        <v>41552</v>
      </c>
      <c r="E165" t="s">
        <v>328</v>
      </c>
    </row>
    <row r="166" spans="1:5">
      <c r="A166" t="s">
        <v>301</v>
      </c>
      <c r="B166">
        <v>10018762</v>
      </c>
      <c r="C166" t="s">
        <v>329</v>
      </c>
      <c r="D166" s="26">
        <v>40120</v>
      </c>
      <c r="E166" t="s">
        <v>22</v>
      </c>
    </row>
    <row r="167" spans="1:5">
      <c r="A167" t="s">
        <v>303</v>
      </c>
      <c r="B167">
        <v>10017281</v>
      </c>
      <c r="C167" t="s">
        <v>331</v>
      </c>
      <c r="D167" s="26">
        <v>40999</v>
      </c>
      <c r="E167" t="s">
        <v>22</v>
      </c>
    </row>
    <row r="168" spans="1:5">
      <c r="A168" t="s">
        <v>304</v>
      </c>
      <c r="B168">
        <v>10029658</v>
      </c>
      <c r="C168" t="s">
        <v>332</v>
      </c>
      <c r="D168" s="26">
        <v>41137</v>
      </c>
      <c r="E168" t="s">
        <v>22</v>
      </c>
    </row>
    <row r="169" spans="1:5">
      <c r="D169" s="26">
        <v>41655</v>
      </c>
      <c r="E169" t="s">
        <v>22</v>
      </c>
    </row>
    <row r="170" spans="1:5">
      <c r="A170" t="s">
        <v>306</v>
      </c>
      <c r="B170">
        <v>10016441</v>
      </c>
      <c r="C170" t="s">
        <v>334</v>
      </c>
      <c r="D170" s="26">
        <v>39458</v>
      </c>
      <c r="E170" t="s">
        <v>22</v>
      </c>
    </row>
    <row r="171" spans="1:5">
      <c r="A171" t="s">
        <v>360</v>
      </c>
      <c r="B171">
        <v>10017563</v>
      </c>
      <c r="C171" t="s">
        <v>359</v>
      </c>
      <c r="D171" s="26">
        <v>39791</v>
      </c>
      <c r="E171" t="s">
        <v>22</v>
      </c>
    </row>
    <row r="172" spans="1:5">
      <c r="D172" s="26">
        <v>40939</v>
      </c>
      <c r="E172" t="s">
        <v>15</v>
      </c>
    </row>
    <row r="173" spans="1:5">
      <c r="A173" t="s">
        <v>362</v>
      </c>
      <c r="B173">
        <v>10013329</v>
      </c>
      <c r="C173" t="s">
        <v>361</v>
      </c>
      <c r="D173" s="26">
        <v>41153</v>
      </c>
      <c r="E173" t="s">
        <v>15</v>
      </c>
    </row>
    <row r="174" spans="1:5">
      <c r="D174" s="26">
        <v>41676</v>
      </c>
      <c r="E174" t="s">
        <v>15</v>
      </c>
    </row>
    <row r="175" spans="1:5">
      <c r="A175" t="s">
        <v>364</v>
      </c>
      <c r="B175">
        <v>10017653</v>
      </c>
      <c r="C175" t="s">
        <v>363</v>
      </c>
      <c r="D175" s="26">
        <v>40981</v>
      </c>
      <c r="E175" t="s">
        <v>22</v>
      </c>
    </row>
    <row r="176" spans="1:5">
      <c r="D176" s="26">
        <v>41153</v>
      </c>
      <c r="E176" t="s">
        <v>22</v>
      </c>
    </row>
    <row r="177" spans="1:5">
      <c r="D177" s="26">
        <v>41288</v>
      </c>
      <c r="E177" t="s">
        <v>15</v>
      </c>
    </row>
    <row r="178" spans="1:5">
      <c r="A178" t="s">
        <v>368</v>
      </c>
      <c r="B178">
        <v>10008186</v>
      </c>
      <c r="C178" t="s">
        <v>367</v>
      </c>
      <c r="D178" s="26">
        <v>41017</v>
      </c>
      <c r="E178" t="s">
        <v>15</v>
      </c>
    </row>
    <row r="179" spans="1:5">
      <c r="D179" s="26">
        <v>41196</v>
      </c>
      <c r="E179" t="s">
        <v>15</v>
      </c>
    </row>
    <row r="180" spans="1:5">
      <c r="A180" t="s">
        <v>370</v>
      </c>
      <c r="B180">
        <v>10017048</v>
      </c>
      <c r="C180" t="s">
        <v>369</v>
      </c>
      <c r="D180" s="26">
        <v>40911</v>
      </c>
      <c r="E180" t="s">
        <v>15</v>
      </c>
    </row>
    <row r="181" spans="1:5">
      <c r="A181" t="s">
        <v>372</v>
      </c>
      <c r="B181">
        <v>10006768</v>
      </c>
      <c r="C181" t="s">
        <v>371</v>
      </c>
      <c r="D181" s="26">
        <v>39661</v>
      </c>
      <c r="E181" t="s">
        <v>56</v>
      </c>
    </row>
    <row r="182" spans="1:5">
      <c r="B182">
        <v>10007516</v>
      </c>
      <c r="C182" t="s">
        <v>373</v>
      </c>
      <c r="D182" s="26">
        <v>39661</v>
      </c>
      <c r="E182" t="s">
        <v>56</v>
      </c>
    </row>
    <row r="183" spans="1:5">
      <c r="A183" t="s">
        <v>376</v>
      </c>
      <c r="B183">
        <v>10022381</v>
      </c>
      <c r="C183" t="s">
        <v>375</v>
      </c>
      <c r="D183" s="26">
        <v>41600</v>
      </c>
      <c r="E183" t="s">
        <v>15</v>
      </c>
    </row>
    <row r="184" spans="1:5">
      <c r="A184" t="s">
        <v>378</v>
      </c>
      <c r="B184">
        <v>10025892</v>
      </c>
      <c r="C184" t="s">
        <v>377</v>
      </c>
      <c r="D184" s="26">
        <v>41039</v>
      </c>
      <c r="E184" t="s">
        <v>15</v>
      </c>
    </row>
    <row r="185" spans="1:5">
      <c r="D185" s="26">
        <v>41153</v>
      </c>
      <c r="E185" t="s">
        <v>15</v>
      </c>
    </row>
    <row r="186" spans="1:5">
      <c r="D186" s="26">
        <v>41502</v>
      </c>
      <c r="E186" t="s">
        <v>15</v>
      </c>
    </row>
    <row r="187" spans="1:5">
      <c r="D187" s="26">
        <v>41593</v>
      </c>
      <c r="E187" t="s">
        <v>15</v>
      </c>
    </row>
    <row r="188" spans="1:5">
      <c r="A188" t="s">
        <v>380</v>
      </c>
      <c r="B188">
        <v>10002652</v>
      </c>
      <c r="C188" t="s">
        <v>379</v>
      </c>
      <c r="D188" s="26">
        <v>39786</v>
      </c>
      <c r="E188" t="s">
        <v>68</v>
      </c>
    </row>
    <row r="189" spans="1:5">
      <c r="A189" t="s">
        <v>382</v>
      </c>
      <c r="B189">
        <v>10020286</v>
      </c>
      <c r="C189" t="s">
        <v>381</v>
      </c>
      <c r="D189" s="26">
        <v>41122</v>
      </c>
      <c r="E189" t="s">
        <v>22</v>
      </c>
    </row>
    <row r="190" spans="1:5">
      <c r="D190" s="26">
        <v>41153</v>
      </c>
      <c r="E190" t="s">
        <v>22</v>
      </c>
    </row>
    <row r="191" spans="1:5">
      <c r="A191" t="s">
        <v>386</v>
      </c>
      <c r="B191">
        <v>10029172</v>
      </c>
      <c r="C191" t="s">
        <v>385</v>
      </c>
      <c r="D191" s="26">
        <v>39643</v>
      </c>
      <c r="E191" t="s">
        <v>18</v>
      </c>
    </row>
    <row r="192" spans="1:5">
      <c r="D192" s="26">
        <v>41103</v>
      </c>
      <c r="E192" t="s">
        <v>68</v>
      </c>
    </row>
    <row r="193" spans="1:5">
      <c r="A193" t="s">
        <v>388</v>
      </c>
      <c r="B193">
        <v>10017330</v>
      </c>
      <c r="C193" t="s">
        <v>387</v>
      </c>
      <c r="D193" s="26">
        <v>39805</v>
      </c>
      <c r="E193" t="s">
        <v>22</v>
      </c>
    </row>
    <row r="194" spans="1:5">
      <c r="D194" s="26">
        <v>41000</v>
      </c>
      <c r="E194" t="s">
        <v>15</v>
      </c>
    </row>
    <row r="195" spans="1:5">
      <c r="A195" t="s">
        <v>390</v>
      </c>
      <c r="B195">
        <v>10016399</v>
      </c>
      <c r="C195" t="s">
        <v>389</v>
      </c>
      <c r="D195" s="26">
        <v>39987</v>
      </c>
      <c r="E195" t="s">
        <v>22</v>
      </c>
    </row>
    <row r="196" spans="1:5">
      <c r="A196" t="s">
        <v>392</v>
      </c>
      <c r="B196">
        <v>10030364</v>
      </c>
      <c r="C196" t="s">
        <v>391</v>
      </c>
      <c r="D196" s="26">
        <v>41351</v>
      </c>
      <c r="E196" t="s">
        <v>15</v>
      </c>
    </row>
    <row r="197" spans="1:5">
      <c r="D197" s="26">
        <v>41595</v>
      </c>
      <c r="E197" t="s">
        <v>15</v>
      </c>
    </row>
    <row r="198" spans="1:5">
      <c r="A198" t="s">
        <v>398</v>
      </c>
      <c r="B198">
        <v>10030568</v>
      </c>
      <c r="C198" t="s">
        <v>397</v>
      </c>
      <c r="D198" s="26">
        <v>41576</v>
      </c>
      <c r="E198" t="s">
        <v>15</v>
      </c>
    </row>
    <row r="199" spans="1:5">
      <c r="A199" t="s">
        <v>400</v>
      </c>
      <c r="B199">
        <v>10020182</v>
      </c>
      <c r="C199" t="s">
        <v>399</v>
      </c>
      <c r="D199" s="26">
        <v>41593</v>
      </c>
      <c r="E199" t="s">
        <v>15</v>
      </c>
    </row>
    <row r="200" spans="1:5">
      <c r="A200" t="s">
        <v>404</v>
      </c>
      <c r="B200">
        <v>10024527</v>
      </c>
      <c r="C200" t="s">
        <v>403</v>
      </c>
      <c r="D200" s="26">
        <v>40634</v>
      </c>
      <c r="E200" t="s">
        <v>22</v>
      </c>
    </row>
    <row r="201" spans="1:5">
      <c r="D201" s="26">
        <v>41661</v>
      </c>
      <c r="E201" t="s">
        <v>22</v>
      </c>
    </row>
    <row r="202" spans="1:5">
      <c r="A202" t="s">
        <v>406</v>
      </c>
      <c r="B202">
        <v>10002633</v>
      </c>
      <c r="C202" t="s">
        <v>405</v>
      </c>
      <c r="D202" s="26">
        <v>41711</v>
      </c>
      <c r="E202" t="s">
        <v>15</v>
      </c>
    </row>
    <row r="203" spans="1:5">
      <c r="A203" t="s">
        <v>411</v>
      </c>
      <c r="B203">
        <v>10018870</v>
      </c>
      <c r="C203" t="s">
        <v>410</v>
      </c>
      <c r="D203" s="26">
        <v>40898</v>
      </c>
      <c r="E203" t="s">
        <v>22</v>
      </c>
    </row>
    <row r="204" spans="1:5">
      <c r="A204" t="s">
        <v>413</v>
      </c>
      <c r="B204">
        <v>10025993</v>
      </c>
      <c r="C204" t="s">
        <v>412</v>
      </c>
      <c r="D204" s="26">
        <v>41355</v>
      </c>
      <c r="E204" t="s">
        <v>22</v>
      </c>
    </row>
    <row r="205" spans="1:5">
      <c r="A205" t="s">
        <v>415</v>
      </c>
      <c r="B205">
        <v>10016059</v>
      </c>
      <c r="C205" t="s">
        <v>414</v>
      </c>
      <c r="D205" s="26">
        <v>39797</v>
      </c>
      <c r="E205" t="s">
        <v>18</v>
      </c>
    </row>
    <row r="206" spans="1:5">
      <c r="D206" s="26">
        <v>40969</v>
      </c>
      <c r="E206" t="s">
        <v>15</v>
      </c>
    </row>
    <row r="207" spans="1:5">
      <c r="A207" t="s">
        <v>417</v>
      </c>
      <c r="B207">
        <v>10015734</v>
      </c>
      <c r="C207" t="s">
        <v>416</v>
      </c>
      <c r="D207" s="26">
        <v>39631</v>
      </c>
      <c r="E207" t="s">
        <v>22</v>
      </c>
    </row>
    <row r="208" spans="1:5">
      <c r="D208" s="26">
        <v>40945</v>
      </c>
      <c r="E208" t="s">
        <v>106</v>
      </c>
    </row>
    <row r="209" spans="1:5">
      <c r="D209" s="26">
        <v>41161</v>
      </c>
      <c r="E209" t="s">
        <v>106</v>
      </c>
    </row>
    <row r="210" spans="1:5">
      <c r="A210" t="s">
        <v>419</v>
      </c>
      <c r="B210">
        <v>10016307</v>
      </c>
      <c r="C210" t="s">
        <v>418</v>
      </c>
      <c r="D210" s="26">
        <v>39786</v>
      </c>
      <c r="E210" t="s">
        <v>33</v>
      </c>
    </row>
    <row r="211" spans="1:5">
      <c r="D211" s="26">
        <v>40927</v>
      </c>
      <c r="E211" t="s">
        <v>27</v>
      </c>
    </row>
    <row r="212" spans="1:5">
      <c r="A212" t="s">
        <v>421</v>
      </c>
      <c r="B212">
        <v>10018295</v>
      </c>
      <c r="C212" t="s">
        <v>420</v>
      </c>
      <c r="D212" s="26">
        <v>39787</v>
      </c>
      <c r="E212" t="s">
        <v>22</v>
      </c>
    </row>
    <row r="213" spans="1:5">
      <c r="D213" s="26">
        <v>41622</v>
      </c>
      <c r="E213" t="s">
        <v>15</v>
      </c>
    </row>
    <row r="214" spans="1:5">
      <c r="A214" t="s">
        <v>423</v>
      </c>
      <c r="B214">
        <v>10018137</v>
      </c>
      <c r="C214" t="s">
        <v>422</v>
      </c>
      <c r="D214" s="26">
        <v>40973</v>
      </c>
      <c r="E214" t="s">
        <v>15</v>
      </c>
    </row>
    <row r="215" spans="1:5">
      <c r="D215" s="26">
        <v>41153</v>
      </c>
      <c r="E215" t="s">
        <v>15</v>
      </c>
    </row>
    <row r="216" spans="1:5">
      <c r="B216">
        <v>10006704</v>
      </c>
      <c r="C216" t="s">
        <v>424</v>
      </c>
      <c r="D216" s="26">
        <v>40973</v>
      </c>
      <c r="E216" t="s">
        <v>15</v>
      </c>
    </row>
    <row r="217" spans="1:5">
      <c r="D217" s="26">
        <v>41153</v>
      </c>
      <c r="E217" t="s">
        <v>15</v>
      </c>
    </row>
    <row r="218" spans="1:5">
      <c r="A218" t="s">
        <v>426</v>
      </c>
      <c r="B218">
        <v>10011097</v>
      </c>
      <c r="C218" t="s">
        <v>425</v>
      </c>
      <c r="D218" s="26">
        <v>39577</v>
      </c>
      <c r="E218" t="s">
        <v>33</v>
      </c>
    </row>
    <row r="219" spans="1:5">
      <c r="D219" s="26">
        <v>40984</v>
      </c>
      <c r="E219" t="s">
        <v>15</v>
      </c>
    </row>
    <row r="220" spans="1:5">
      <c r="A220" t="s">
        <v>428</v>
      </c>
      <c r="B220">
        <v>10011964</v>
      </c>
      <c r="C220" t="s">
        <v>427</v>
      </c>
      <c r="D220" s="26">
        <v>39596</v>
      </c>
      <c r="E220" t="s">
        <v>33</v>
      </c>
    </row>
    <row r="221" spans="1:5">
      <c r="D221" s="26">
        <v>41000</v>
      </c>
      <c r="E221" t="s">
        <v>106</v>
      </c>
    </row>
    <row r="222" spans="1:5">
      <c r="A222" t="s">
        <v>432</v>
      </c>
      <c r="B222">
        <v>10029992</v>
      </c>
      <c r="C222" t="s">
        <v>431</v>
      </c>
      <c r="D222" s="26">
        <v>41283</v>
      </c>
      <c r="E222" t="s">
        <v>22</v>
      </c>
    </row>
    <row r="223" spans="1:5">
      <c r="A223" t="s">
        <v>508</v>
      </c>
      <c r="B223">
        <v>10018727</v>
      </c>
      <c r="C223" t="s">
        <v>507</v>
      </c>
      <c r="D223" s="26">
        <v>41031</v>
      </c>
      <c r="E223" t="s">
        <v>22</v>
      </c>
    </row>
    <row r="224" spans="1:5">
      <c r="A224" t="s">
        <v>514</v>
      </c>
      <c r="B224">
        <v>10020651</v>
      </c>
      <c r="C224" t="s">
        <v>513</v>
      </c>
      <c r="D224" s="26">
        <v>40063</v>
      </c>
      <c r="E224" t="s">
        <v>22</v>
      </c>
    </row>
    <row r="225" spans="1:5">
      <c r="A225" t="s">
        <v>548</v>
      </c>
      <c r="B225">
        <v>10018644</v>
      </c>
      <c r="C225" t="s">
        <v>547</v>
      </c>
      <c r="D225" s="26">
        <v>38960</v>
      </c>
      <c r="E225" t="s">
        <v>33</v>
      </c>
    </row>
    <row r="226" spans="1:5">
      <c r="D226" s="26">
        <v>40275</v>
      </c>
      <c r="E226" t="s">
        <v>22</v>
      </c>
    </row>
    <row r="227" spans="1:5">
      <c r="A227" t="s">
        <v>550</v>
      </c>
      <c r="B227">
        <v>10011867</v>
      </c>
      <c r="C227" t="s">
        <v>549</v>
      </c>
      <c r="D227" s="26">
        <v>41661</v>
      </c>
      <c r="E227" t="s">
        <v>33</v>
      </c>
    </row>
    <row r="228" spans="1:5">
      <c r="A228" t="s">
        <v>568</v>
      </c>
      <c r="B228">
        <v>10002410</v>
      </c>
      <c r="C228" t="s">
        <v>567</v>
      </c>
      <c r="D228" s="26">
        <v>39685</v>
      </c>
      <c r="E228" t="s">
        <v>68</v>
      </c>
    </row>
    <row r="229" spans="1:5">
      <c r="B229">
        <v>10029538</v>
      </c>
      <c r="C229" t="s">
        <v>569</v>
      </c>
      <c r="D229" s="26">
        <v>39685</v>
      </c>
      <c r="E229" t="s">
        <v>68</v>
      </c>
    </row>
    <row r="230" spans="1:5">
      <c r="A230" t="s">
        <v>599</v>
      </c>
      <c r="B230">
        <v>10011176</v>
      </c>
      <c r="C230" t="s">
        <v>598</v>
      </c>
      <c r="D230" s="26">
        <v>41020</v>
      </c>
      <c r="E230" t="s">
        <v>22</v>
      </c>
    </row>
    <row r="231" spans="1:5">
      <c r="A231" t="s">
        <v>613</v>
      </c>
      <c r="B231">
        <v>10008043</v>
      </c>
      <c r="C231" t="s">
        <v>612</v>
      </c>
      <c r="D231" s="26">
        <v>39507</v>
      </c>
      <c r="E231" t="s">
        <v>22</v>
      </c>
    </row>
    <row r="232" spans="1:5">
      <c r="D232" s="26">
        <v>41283</v>
      </c>
      <c r="E232" t="s">
        <v>15</v>
      </c>
    </row>
    <row r="233" spans="1:5">
      <c r="A233" t="s">
        <v>616</v>
      </c>
      <c r="B233">
        <v>10029677</v>
      </c>
      <c r="C233" t="s">
        <v>615</v>
      </c>
      <c r="D233" s="26">
        <v>41092</v>
      </c>
      <c r="E233" t="s">
        <v>33</v>
      </c>
    </row>
    <row r="234" spans="1:5">
      <c r="A234" t="s">
        <v>618</v>
      </c>
      <c r="B234">
        <v>10017880</v>
      </c>
      <c r="C234" t="s">
        <v>617</v>
      </c>
      <c r="D234" s="26">
        <v>40879</v>
      </c>
      <c r="E234" t="s">
        <v>22</v>
      </c>
    </row>
    <row r="235" spans="1:5">
      <c r="A235" t="s">
        <v>622</v>
      </c>
      <c r="B235">
        <v>10021150</v>
      </c>
      <c r="C235" t="s">
        <v>621</v>
      </c>
      <c r="D235" s="26">
        <v>41068</v>
      </c>
      <c r="E235" t="s">
        <v>22</v>
      </c>
    </row>
    <row r="236" spans="1:5">
      <c r="A236" t="s">
        <v>624</v>
      </c>
      <c r="B236">
        <v>10029788</v>
      </c>
      <c r="C236" t="s">
        <v>623</v>
      </c>
      <c r="D236" s="26">
        <v>41068</v>
      </c>
      <c r="E236" t="s">
        <v>22</v>
      </c>
    </row>
    <row r="237" spans="1:5">
      <c r="A237" t="s">
        <v>626</v>
      </c>
      <c r="B237">
        <v>10022890</v>
      </c>
      <c r="C237" t="s">
        <v>625</v>
      </c>
      <c r="D237" s="26">
        <v>39813</v>
      </c>
      <c r="E237" t="s">
        <v>22</v>
      </c>
    </row>
    <row r="238" spans="1:5">
      <c r="D238" s="26">
        <v>40758</v>
      </c>
      <c r="E238" t="s">
        <v>22</v>
      </c>
    </row>
    <row r="239" spans="1:5">
      <c r="A239" t="s">
        <v>631</v>
      </c>
      <c r="B239">
        <v>10029672</v>
      </c>
      <c r="C239" t="s">
        <v>630</v>
      </c>
      <c r="D239" s="26">
        <v>41145</v>
      </c>
      <c r="E239" t="s">
        <v>22</v>
      </c>
    </row>
    <row r="240" spans="1:5">
      <c r="D240" s="26">
        <v>41171</v>
      </c>
      <c r="E240" t="s">
        <v>22</v>
      </c>
    </row>
    <row r="241" spans="1:5">
      <c r="A241" t="s">
        <v>633</v>
      </c>
      <c r="B241">
        <v>10023158</v>
      </c>
      <c r="C241" t="s">
        <v>632</v>
      </c>
      <c r="D241" s="26">
        <v>39884</v>
      </c>
      <c r="E241" t="s">
        <v>18</v>
      </c>
    </row>
    <row r="242" spans="1:5">
      <c r="D242" s="26">
        <v>41057</v>
      </c>
      <c r="E242" t="s">
        <v>18</v>
      </c>
    </row>
    <row r="243" spans="1:5">
      <c r="A243" t="s">
        <v>635</v>
      </c>
      <c r="B243">
        <v>10029930</v>
      </c>
      <c r="C243" t="s">
        <v>634</v>
      </c>
      <c r="D243" s="26">
        <v>41159</v>
      </c>
      <c r="E243" t="s">
        <v>22</v>
      </c>
    </row>
    <row r="244" spans="1:5">
      <c r="A244" t="s">
        <v>637</v>
      </c>
      <c r="B244">
        <v>10030978</v>
      </c>
      <c r="C244" t="s">
        <v>636</v>
      </c>
      <c r="D244" s="26">
        <v>41501</v>
      </c>
      <c r="E244" t="s">
        <v>15</v>
      </c>
    </row>
    <row r="245" spans="1:5">
      <c r="A245" t="s">
        <v>639</v>
      </c>
      <c r="B245">
        <v>10020590</v>
      </c>
      <c r="C245" t="s">
        <v>638</v>
      </c>
      <c r="D245" s="26">
        <v>40367</v>
      </c>
      <c r="E245" t="s">
        <v>18</v>
      </c>
    </row>
    <row r="246" spans="1:5">
      <c r="E246" t="s">
        <v>22</v>
      </c>
    </row>
    <row r="247" spans="1:5">
      <c r="A247" t="s">
        <v>641</v>
      </c>
      <c r="B247">
        <v>10011087</v>
      </c>
      <c r="C247" t="s">
        <v>640</v>
      </c>
      <c r="D247" s="26">
        <v>39741</v>
      </c>
      <c r="E247" t="s">
        <v>22</v>
      </c>
    </row>
    <row r="248" spans="1:5">
      <c r="A248" t="s">
        <v>645</v>
      </c>
      <c r="B248">
        <v>10017348</v>
      </c>
      <c r="C248" t="s">
        <v>644</v>
      </c>
      <c r="D248" s="26">
        <v>39827</v>
      </c>
      <c r="E248" t="s">
        <v>18</v>
      </c>
    </row>
    <row r="249" spans="1:5">
      <c r="A249" t="s">
        <v>647</v>
      </c>
      <c r="B249">
        <v>10023371</v>
      </c>
      <c r="C249" t="s">
        <v>646</v>
      </c>
      <c r="D249" s="26">
        <v>39962</v>
      </c>
      <c r="E249" t="s">
        <v>22</v>
      </c>
    </row>
    <row r="250" spans="1:5">
      <c r="D250" s="26">
        <v>41057</v>
      </c>
      <c r="E250" t="s">
        <v>22</v>
      </c>
    </row>
    <row r="251" spans="1:5">
      <c r="A251" t="s">
        <v>651</v>
      </c>
      <c r="B251">
        <v>10014732</v>
      </c>
      <c r="C251" t="s">
        <v>650</v>
      </c>
      <c r="D251" s="26">
        <v>39860</v>
      </c>
      <c r="E251" t="s">
        <v>22</v>
      </c>
    </row>
    <row r="252" spans="1:5">
      <c r="D252" s="26">
        <v>40886</v>
      </c>
      <c r="E252" t="s">
        <v>22</v>
      </c>
    </row>
    <row r="253" spans="1:5">
      <c r="A253" t="s">
        <v>653</v>
      </c>
      <c r="B253">
        <v>10026044</v>
      </c>
      <c r="C253" t="s">
        <v>652</v>
      </c>
      <c r="D253" s="26">
        <v>40666</v>
      </c>
      <c r="E253" t="s">
        <v>18</v>
      </c>
    </row>
    <row r="254" spans="1:5">
      <c r="A254" t="s">
        <v>254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theme="5" tint="0.59999389629810485"/>
  </sheetPr>
  <dimension ref="A1:E187"/>
  <sheetViews>
    <sheetView workbookViewId="0">
      <selection activeCell="A2" sqref="A2:XFD3"/>
    </sheetView>
  </sheetViews>
  <sheetFormatPr defaultRowHeight="15"/>
  <cols>
    <col min="1" max="1" width="26.42578125" bestFit="1" customWidth="1"/>
    <col min="2" max="3" width="40.7109375" customWidth="1"/>
    <col min="4" max="4" width="14" customWidth="1"/>
    <col min="5" max="5" width="7.5703125" customWidth="1"/>
    <col min="6" max="6" width="5.42578125" customWidth="1"/>
    <col min="7" max="9" width="21.140625" customWidth="1"/>
    <col min="10" max="10" width="25" bestFit="1" customWidth="1"/>
    <col min="11" max="11" width="22.5703125" bestFit="1" customWidth="1"/>
  </cols>
  <sheetData>
    <row r="1" spans="1:5">
      <c r="A1" s="4" t="s">
        <v>278</v>
      </c>
    </row>
    <row r="3" spans="1:5">
      <c r="A3" s="1" t="s">
        <v>470</v>
      </c>
      <c r="B3" t="s">
        <v>253</v>
      </c>
    </row>
    <row r="4" spans="1:5">
      <c r="A4" s="1" t="s">
        <v>249</v>
      </c>
      <c r="B4" t="s">
        <v>253</v>
      </c>
    </row>
    <row r="5" spans="1:5">
      <c r="A5" s="1" t="s">
        <v>251</v>
      </c>
      <c r="B5" t="s">
        <v>253</v>
      </c>
    </row>
    <row r="6" spans="1:5">
      <c r="A6" s="1" t="s">
        <v>436</v>
      </c>
      <c r="B6" t="s">
        <v>253</v>
      </c>
    </row>
    <row r="7" spans="1:5">
      <c r="A7" s="1" t="s">
        <v>471</v>
      </c>
      <c r="B7" t="s">
        <v>253</v>
      </c>
    </row>
    <row r="8" spans="1:5">
      <c r="A8" s="1" t="s">
        <v>662</v>
      </c>
      <c r="B8" t="s">
        <v>253</v>
      </c>
    </row>
    <row r="11" spans="1:5">
      <c r="A11" s="1" t="s">
        <v>2</v>
      </c>
      <c r="B11" s="1" t="s">
        <v>0</v>
      </c>
      <c r="C11" s="1" t="s">
        <v>1</v>
      </c>
      <c r="D11" s="1" t="s">
        <v>4</v>
      </c>
      <c r="E11" s="1" t="s">
        <v>9</v>
      </c>
    </row>
    <row r="12" spans="1:5">
      <c r="A12" t="s">
        <v>116</v>
      </c>
      <c r="B12">
        <v>10018143</v>
      </c>
      <c r="C12" t="s">
        <v>115</v>
      </c>
      <c r="D12" s="26">
        <v>40908</v>
      </c>
      <c r="E12">
        <v>10000</v>
      </c>
    </row>
    <row r="13" spans="1:5">
      <c r="A13" t="s">
        <v>112</v>
      </c>
      <c r="B13">
        <v>10018124</v>
      </c>
      <c r="C13" t="s">
        <v>111</v>
      </c>
      <c r="D13" s="26">
        <v>41052</v>
      </c>
      <c r="E13">
        <v>1000</v>
      </c>
    </row>
    <row r="14" spans="1:5">
      <c r="A14" t="s">
        <v>248</v>
      </c>
      <c r="B14">
        <v>10031660</v>
      </c>
      <c r="C14" t="s">
        <v>247</v>
      </c>
      <c r="D14" s="26">
        <v>41656</v>
      </c>
      <c r="E14">
        <v>2000</v>
      </c>
    </row>
    <row r="15" spans="1:5">
      <c r="A15" t="s">
        <v>63</v>
      </c>
      <c r="B15">
        <v>10006819</v>
      </c>
      <c r="C15" t="s">
        <v>62</v>
      </c>
      <c r="D15" s="26">
        <v>41145</v>
      </c>
      <c r="E15">
        <v>2000</v>
      </c>
    </row>
    <row r="16" spans="1:5">
      <c r="A16" t="s">
        <v>153</v>
      </c>
      <c r="B16">
        <v>10020646</v>
      </c>
      <c r="C16" t="s">
        <v>152</v>
      </c>
      <c r="D16" s="26">
        <v>39830</v>
      </c>
      <c r="E16">
        <v>0</v>
      </c>
    </row>
    <row r="17" spans="1:5">
      <c r="A17" t="s">
        <v>70</v>
      </c>
      <c r="B17">
        <v>10008091</v>
      </c>
      <c r="C17" t="s">
        <v>69</v>
      </c>
      <c r="D17" s="26">
        <v>41592</v>
      </c>
      <c r="E17">
        <v>1000</v>
      </c>
    </row>
    <row r="18" spans="1:5">
      <c r="A18" t="s">
        <v>177</v>
      </c>
      <c r="B18">
        <v>10021632</v>
      </c>
      <c r="C18" t="s">
        <v>176</v>
      </c>
      <c r="D18" s="26">
        <v>41288</v>
      </c>
      <c r="E18">
        <v>1000</v>
      </c>
    </row>
    <row r="19" spans="1:5">
      <c r="A19" t="s">
        <v>186</v>
      </c>
      <c r="B19">
        <v>10022437</v>
      </c>
      <c r="C19" t="s">
        <v>185</v>
      </c>
      <c r="D19" s="26">
        <v>41022</v>
      </c>
      <c r="E19">
        <v>1000</v>
      </c>
    </row>
    <row r="20" spans="1:5">
      <c r="B20">
        <v>10031092</v>
      </c>
      <c r="C20" t="s">
        <v>246</v>
      </c>
      <c r="D20" s="26">
        <v>41586</v>
      </c>
      <c r="E20">
        <v>1000</v>
      </c>
    </row>
    <row r="21" spans="1:5">
      <c r="A21" t="s">
        <v>131</v>
      </c>
      <c r="B21">
        <v>10019089</v>
      </c>
      <c r="C21" t="s">
        <v>130</v>
      </c>
      <c r="D21" s="26">
        <v>41095</v>
      </c>
      <c r="E21">
        <v>20000</v>
      </c>
    </row>
    <row r="22" spans="1:5">
      <c r="A22" t="s">
        <v>61</v>
      </c>
      <c r="B22">
        <v>10005690</v>
      </c>
      <c r="C22" t="s">
        <v>60</v>
      </c>
      <c r="D22" s="26">
        <v>41009</v>
      </c>
      <c r="E22">
        <v>10000</v>
      </c>
    </row>
    <row r="23" spans="1:5">
      <c r="A23" t="s">
        <v>159</v>
      </c>
      <c r="B23">
        <v>10020853</v>
      </c>
      <c r="C23" t="s">
        <v>158</v>
      </c>
      <c r="D23" s="26">
        <v>41152</v>
      </c>
      <c r="E23">
        <v>10000</v>
      </c>
    </row>
    <row r="24" spans="1:5">
      <c r="A24" t="s">
        <v>26</v>
      </c>
      <c r="B24">
        <v>10002616</v>
      </c>
      <c r="C24" t="s">
        <v>25</v>
      </c>
      <c r="D24" s="26">
        <v>41036</v>
      </c>
      <c r="E24">
        <v>2000</v>
      </c>
    </row>
    <row r="25" spans="1:5">
      <c r="A25" t="s">
        <v>235</v>
      </c>
      <c r="B25">
        <v>10029742</v>
      </c>
      <c r="C25" t="s">
        <v>234</v>
      </c>
      <c r="D25" s="26">
        <v>41156</v>
      </c>
      <c r="E25">
        <v>2000</v>
      </c>
    </row>
    <row r="26" spans="1:5">
      <c r="A26" t="s">
        <v>148</v>
      </c>
      <c r="B26">
        <v>10019610</v>
      </c>
      <c r="C26" t="s">
        <v>147</v>
      </c>
      <c r="D26" s="26">
        <v>41038</v>
      </c>
      <c r="E26">
        <v>2000</v>
      </c>
    </row>
    <row r="27" spans="1:5">
      <c r="A27" t="s">
        <v>237</v>
      </c>
      <c r="B27">
        <v>10029998</v>
      </c>
      <c r="C27" t="s">
        <v>236</v>
      </c>
      <c r="D27" s="26">
        <v>41288</v>
      </c>
      <c r="E27">
        <v>1000</v>
      </c>
    </row>
    <row r="28" spans="1:5">
      <c r="A28" t="s">
        <v>34</v>
      </c>
      <c r="B28">
        <v>10016190</v>
      </c>
      <c r="C28" t="s">
        <v>374</v>
      </c>
      <c r="D28" s="26">
        <v>41261</v>
      </c>
      <c r="E28">
        <v>10000</v>
      </c>
    </row>
    <row r="29" spans="1:5">
      <c r="A29" t="s">
        <v>45</v>
      </c>
      <c r="B29">
        <v>10003215</v>
      </c>
      <c r="C29" t="s">
        <v>44</v>
      </c>
      <c r="D29" s="26">
        <v>41330</v>
      </c>
      <c r="E29">
        <v>1000</v>
      </c>
    </row>
    <row r="30" spans="1:5">
      <c r="A30" t="s">
        <v>165</v>
      </c>
      <c r="B30">
        <v>10021084</v>
      </c>
      <c r="C30" t="s">
        <v>164</v>
      </c>
      <c r="D30" s="26">
        <v>41290</v>
      </c>
      <c r="E30">
        <v>2000</v>
      </c>
    </row>
    <row r="31" spans="1:5">
      <c r="B31">
        <v>10030282</v>
      </c>
      <c r="C31" t="s">
        <v>614</v>
      </c>
      <c r="D31" s="26">
        <v>41290</v>
      </c>
      <c r="E31">
        <v>2000</v>
      </c>
    </row>
    <row r="32" spans="1:5">
      <c r="A32" t="s">
        <v>150</v>
      </c>
      <c r="B32">
        <v>10019667</v>
      </c>
      <c r="C32" t="s">
        <v>149</v>
      </c>
      <c r="D32" s="26">
        <v>39582</v>
      </c>
      <c r="E32">
        <v>0</v>
      </c>
    </row>
    <row r="33" spans="1:5">
      <c r="D33" s="26">
        <v>41053</v>
      </c>
      <c r="E33">
        <v>0</v>
      </c>
    </row>
    <row r="34" spans="1:5">
      <c r="A34" t="s">
        <v>29</v>
      </c>
      <c r="B34">
        <v>10002618</v>
      </c>
      <c r="C34" t="s">
        <v>28</v>
      </c>
      <c r="D34" s="26">
        <v>41439</v>
      </c>
      <c r="E34">
        <v>10000</v>
      </c>
    </row>
    <row r="35" spans="1:5">
      <c r="A35" t="s">
        <v>157</v>
      </c>
      <c r="B35">
        <v>10020848</v>
      </c>
      <c r="C35" t="s">
        <v>156</v>
      </c>
      <c r="D35" s="26">
        <v>40955</v>
      </c>
      <c r="E35">
        <v>2000</v>
      </c>
    </row>
    <row r="36" spans="1:5">
      <c r="A36" t="s">
        <v>163</v>
      </c>
      <c r="B36">
        <v>10021071</v>
      </c>
      <c r="C36" t="s">
        <v>162</v>
      </c>
      <c r="D36" s="26">
        <v>39904</v>
      </c>
      <c r="E36">
        <v>0</v>
      </c>
    </row>
    <row r="37" spans="1:5">
      <c r="D37" s="26">
        <v>41114</v>
      </c>
      <c r="E37">
        <v>1000</v>
      </c>
    </row>
    <row r="38" spans="1:5">
      <c r="A38" t="s">
        <v>125</v>
      </c>
      <c r="B38">
        <v>10018808</v>
      </c>
      <c r="C38" t="s">
        <v>124</v>
      </c>
      <c r="D38" s="26">
        <v>40960</v>
      </c>
      <c r="E38">
        <v>2000</v>
      </c>
    </row>
    <row r="39" spans="1:5">
      <c r="D39" s="26">
        <v>41025</v>
      </c>
      <c r="E39">
        <v>20000</v>
      </c>
    </row>
    <row r="40" spans="1:5">
      <c r="B40">
        <v>10023490</v>
      </c>
      <c r="C40" t="s">
        <v>201</v>
      </c>
      <c r="D40" s="26">
        <v>40960</v>
      </c>
      <c r="E40">
        <v>2000</v>
      </c>
    </row>
    <row r="41" spans="1:5">
      <c r="D41" s="26">
        <v>41019</v>
      </c>
      <c r="E41">
        <v>20000</v>
      </c>
    </row>
    <row r="42" spans="1:5">
      <c r="A42" t="s">
        <v>223</v>
      </c>
      <c r="B42">
        <v>10029175</v>
      </c>
      <c r="C42" t="s">
        <v>222</v>
      </c>
      <c r="D42" s="26">
        <v>41138</v>
      </c>
      <c r="E42">
        <v>2000</v>
      </c>
    </row>
    <row r="43" spans="1:5">
      <c r="A43" t="s">
        <v>102</v>
      </c>
      <c r="B43">
        <v>10017162</v>
      </c>
      <c r="C43" t="s">
        <v>101</v>
      </c>
      <c r="D43" s="26">
        <v>41299</v>
      </c>
      <c r="E43">
        <v>1000</v>
      </c>
    </row>
    <row r="44" spans="1:5">
      <c r="D44" s="26">
        <v>41383</v>
      </c>
      <c r="E44">
        <v>1000</v>
      </c>
    </row>
    <row r="45" spans="1:5">
      <c r="A45" t="s">
        <v>243</v>
      </c>
      <c r="B45">
        <v>10030431</v>
      </c>
      <c r="C45" t="s">
        <v>242</v>
      </c>
      <c r="D45" s="26">
        <v>41260</v>
      </c>
      <c r="E45">
        <v>20000</v>
      </c>
    </row>
    <row r="46" spans="1:5">
      <c r="A46" t="s">
        <v>155</v>
      </c>
      <c r="B46">
        <v>10020806</v>
      </c>
      <c r="C46" t="s">
        <v>154</v>
      </c>
      <c r="D46" s="26">
        <v>39846</v>
      </c>
      <c r="E46">
        <v>0</v>
      </c>
    </row>
    <row r="47" spans="1:5">
      <c r="D47" s="26">
        <v>41154</v>
      </c>
      <c r="E47">
        <v>1000</v>
      </c>
    </row>
    <row r="48" spans="1:5">
      <c r="D48" s="26">
        <v>41155</v>
      </c>
      <c r="E48">
        <v>1000</v>
      </c>
    </row>
    <row r="49" spans="1:5">
      <c r="A49" t="s">
        <v>142</v>
      </c>
      <c r="B49">
        <v>10019408</v>
      </c>
      <c r="C49" t="s">
        <v>141</v>
      </c>
      <c r="D49" s="26">
        <v>40919</v>
      </c>
      <c r="E49">
        <v>2000</v>
      </c>
    </row>
    <row r="50" spans="1:5">
      <c r="A50" t="s">
        <v>32</v>
      </c>
      <c r="B50">
        <v>10002622</v>
      </c>
      <c r="C50" t="s">
        <v>31</v>
      </c>
      <c r="D50" s="26">
        <v>41152</v>
      </c>
      <c r="E50">
        <v>1000</v>
      </c>
    </row>
    <row r="51" spans="1:5">
      <c r="A51" t="s">
        <v>105</v>
      </c>
      <c r="B51">
        <v>10017541</v>
      </c>
      <c r="C51" t="s">
        <v>104</v>
      </c>
      <c r="D51" s="26">
        <v>41274</v>
      </c>
      <c r="E51">
        <v>1500</v>
      </c>
    </row>
    <row r="52" spans="1:5">
      <c r="A52" t="s">
        <v>135</v>
      </c>
      <c r="B52">
        <v>10019117</v>
      </c>
      <c r="C52" t="s">
        <v>134</v>
      </c>
      <c r="D52" s="26">
        <v>41066</v>
      </c>
      <c r="E52">
        <v>1000</v>
      </c>
    </row>
    <row r="53" spans="1:5">
      <c r="A53" t="s">
        <v>198</v>
      </c>
      <c r="B53">
        <v>10023342</v>
      </c>
      <c r="C53" t="s">
        <v>197</v>
      </c>
      <c r="D53" s="26">
        <v>41068</v>
      </c>
      <c r="E53">
        <v>2000</v>
      </c>
    </row>
    <row r="54" spans="1:5">
      <c r="A54" t="s">
        <v>55</v>
      </c>
      <c r="B54">
        <v>10003775</v>
      </c>
      <c r="C54" t="s">
        <v>54</v>
      </c>
      <c r="D54" s="26">
        <v>40905</v>
      </c>
      <c r="E54">
        <v>2000</v>
      </c>
    </row>
    <row r="55" spans="1:5">
      <c r="A55" t="s">
        <v>21</v>
      </c>
      <c r="B55">
        <v>10002254</v>
      </c>
      <c r="C55" t="s">
        <v>20</v>
      </c>
      <c r="D55" s="26">
        <v>39653</v>
      </c>
      <c r="E55">
        <v>1000</v>
      </c>
    </row>
    <row r="56" spans="1:5">
      <c r="D56" s="26">
        <v>40123</v>
      </c>
      <c r="E56">
        <v>1000</v>
      </c>
    </row>
    <row r="57" spans="1:5">
      <c r="D57" s="26">
        <v>41207</v>
      </c>
      <c r="E57">
        <v>1000</v>
      </c>
    </row>
    <row r="58" spans="1:5">
      <c r="A58" t="s">
        <v>108</v>
      </c>
      <c r="B58">
        <v>10017609</v>
      </c>
      <c r="C58" t="s">
        <v>107</v>
      </c>
      <c r="D58" s="26">
        <v>40861</v>
      </c>
      <c r="E58">
        <v>2000</v>
      </c>
    </row>
    <row r="59" spans="1:5">
      <c r="A59" t="s">
        <v>146</v>
      </c>
      <c r="B59">
        <v>10019497</v>
      </c>
      <c r="C59" t="s">
        <v>145</v>
      </c>
      <c r="D59" s="26">
        <v>39631</v>
      </c>
      <c r="E59">
        <v>0</v>
      </c>
    </row>
    <row r="60" spans="1:5">
      <c r="D60" s="26">
        <v>40963</v>
      </c>
      <c r="E60">
        <v>1000</v>
      </c>
    </row>
    <row r="61" spans="1:5">
      <c r="A61" t="s">
        <v>74</v>
      </c>
      <c r="B61">
        <v>10011086</v>
      </c>
      <c r="C61" t="s">
        <v>73</v>
      </c>
      <c r="D61" s="26">
        <v>41088</v>
      </c>
      <c r="E61">
        <v>2000</v>
      </c>
    </row>
    <row r="62" spans="1:5">
      <c r="A62" t="s">
        <v>137</v>
      </c>
      <c r="B62">
        <v>10019263</v>
      </c>
      <c r="C62" t="s">
        <v>136</v>
      </c>
      <c r="D62" s="26">
        <v>41288</v>
      </c>
      <c r="E62">
        <v>1000</v>
      </c>
    </row>
    <row r="63" spans="1:5">
      <c r="A63" t="s">
        <v>76</v>
      </c>
      <c r="B63">
        <v>10011884</v>
      </c>
      <c r="C63" t="s">
        <v>75</v>
      </c>
      <c r="D63" s="26">
        <v>41261</v>
      </c>
      <c r="E63">
        <v>2000</v>
      </c>
    </row>
    <row r="64" spans="1:5">
      <c r="B64">
        <v>10012145</v>
      </c>
      <c r="C64" t="s">
        <v>629</v>
      </c>
      <c r="D64" s="26">
        <v>41261</v>
      </c>
      <c r="E64">
        <v>2000</v>
      </c>
    </row>
    <row r="65" spans="1:5">
      <c r="A65" t="s">
        <v>196</v>
      </c>
      <c r="B65">
        <v>10023135</v>
      </c>
      <c r="C65" t="s">
        <v>195</v>
      </c>
      <c r="D65" s="26">
        <v>39895</v>
      </c>
      <c r="E65">
        <v>0</v>
      </c>
    </row>
    <row r="66" spans="1:5">
      <c r="A66" t="s">
        <v>100</v>
      </c>
      <c r="B66">
        <v>10016947</v>
      </c>
      <c r="C66" t="s">
        <v>99</v>
      </c>
      <c r="D66" s="26">
        <v>41339</v>
      </c>
      <c r="E66">
        <v>1000</v>
      </c>
    </row>
    <row r="67" spans="1:5">
      <c r="A67" t="s">
        <v>225</v>
      </c>
      <c r="B67">
        <v>10029232</v>
      </c>
      <c r="C67" t="s">
        <v>224</v>
      </c>
      <c r="D67" s="26">
        <v>41050</v>
      </c>
      <c r="E67">
        <v>2000</v>
      </c>
    </row>
    <row r="68" spans="1:5">
      <c r="A68" t="s">
        <v>200</v>
      </c>
      <c r="B68">
        <v>10023343</v>
      </c>
      <c r="C68" t="s">
        <v>199</v>
      </c>
      <c r="D68" s="26">
        <v>41038</v>
      </c>
      <c r="E68">
        <v>500</v>
      </c>
    </row>
    <row r="69" spans="1:5">
      <c r="A69" t="s">
        <v>161</v>
      </c>
      <c r="B69">
        <v>10021016</v>
      </c>
      <c r="C69" t="s">
        <v>160</v>
      </c>
      <c r="D69" s="26">
        <v>41072</v>
      </c>
      <c r="E69">
        <v>1000</v>
      </c>
    </row>
    <row r="70" spans="1:5">
      <c r="A70" t="s">
        <v>67</v>
      </c>
      <c r="B70">
        <v>10007542</v>
      </c>
      <c r="C70" t="s">
        <v>66</v>
      </c>
      <c r="D70" s="26">
        <v>41057</v>
      </c>
      <c r="E70">
        <v>2000</v>
      </c>
    </row>
    <row r="71" spans="1:5">
      <c r="A71" t="s">
        <v>90</v>
      </c>
      <c r="B71">
        <v>10013781</v>
      </c>
      <c r="C71" t="s">
        <v>89</v>
      </c>
      <c r="D71" s="26">
        <v>39855</v>
      </c>
      <c r="E71">
        <v>0</v>
      </c>
    </row>
    <row r="72" spans="1:5">
      <c r="A72" t="s">
        <v>245</v>
      </c>
      <c r="B72">
        <v>10030888</v>
      </c>
      <c r="C72" t="s">
        <v>244</v>
      </c>
      <c r="D72" s="26">
        <v>41534</v>
      </c>
      <c r="E72">
        <v>2000</v>
      </c>
    </row>
    <row r="73" spans="1:5">
      <c r="A73" t="s">
        <v>123</v>
      </c>
      <c r="B73">
        <v>10018687</v>
      </c>
      <c r="C73" t="s">
        <v>122</v>
      </c>
      <c r="D73" s="26">
        <v>41036</v>
      </c>
      <c r="E73">
        <v>1000</v>
      </c>
    </row>
    <row r="74" spans="1:5">
      <c r="A74" t="s">
        <v>172</v>
      </c>
      <c r="B74">
        <v>10021534</v>
      </c>
      <c r="C74" t="s">
        <v>171</v>
      </c>
      <c r="D74" s="26">
        <v>39641</v>
      </c>
      <c r="E74">
        <v>0</v>
      </c>
    </row>
    <row r="75" spans="1:5">
      <c r="D75" s="26">
        <v>41114</v>
      </c>
      <c r="E75">
        <v>1000</v>
      </c>
    </row>
    <row r="76" spans="1:5">
      <c r="A76" t="s">
        <v>184</v>
      </c>
      <c r="B76">
        <v>10022317</v>
      </c>
      <c r="C76" t="s">
        <v>183</v>
      </c>
      <c r="D76" s="26">
        <v>41170</v>
      </c>
      <c r="E76">
        <v>2000</v>
      </c>
    </row>
    <row r="77" spans="1:5">
      <c r="A77" t="s">
        <v>140</v>
      </c>
      <c r="B77">
        <v>10019336</v>
      </c>
      <c r="C77" t="s">
        <v>139</v>
      </c>
      <c r="D77" s="26">
        <v>41619</v>
      </c>
      <c r="E77">
        <v>2000</v>
      </c>
    </row>
    <row r="78" spans="1:5">
      <c r="A78" t="s">
        <v>174</v>
      </c>
      <c r="B78">
        <v>10021546</v>
      </c>
      <c r="C78" t="s">
        <v>173</v>
      </c>
      <c r="D78" s="26">
        <v>40878</v>
      </c>
      <c r="E78">
        <v>2000</v>
      </c>
    </row>
    <row r="79" spans="1:5">
      <c r="D79" s="26">
        <v>41718</v>
      </c>
      <c r="E79">
        <v>0</v>
      </c>
    </row>
    <row r="80" spans="1:5">
      <c r="A80" t="s">
        <v>227</v>
      </c>
      <c r="B80">
        <v>10029408</v>
      </c>
      <c r="C80" t="s">
        <v>226</v>
      </c>
      <c r="D80" s="26">
        <v>41668</v>
      </c>
      <c r="E80">
        <v>500</v>
      </c>
    </row>
    <row r="81" spans="1:5">
      <c r="A81" t="s">
        <v>118</v>
      </c>
      <c r="B81">
        <v>10018552</v>
      </c>
      <c r="C81" t="s">
        <v>117</v>
      </c>
      <c r="D81" s="26">
        <v>41256</v>
      </c>
      <c r="E81">
        <v>20000</v>
      </c>
    </row>
    <row r="82" spans="1:5">
      <c r="B82">
        <v>10022505</v>
      </c>
      <c r="C82" t="s">
        <v>187</v>
      </c>
      <c r="D82" s="26">
        <v>41256</v>
      </c>
      <c r="E82">
        <v>20000</v>
      </c>
    </row>
    <row r="83" spans="1:5">
      <c r="A83" t="s">
        <v>180</v>
      </c>
      <c r="B83">
        <v>10021905</v>
      </c>
      <c r="C83" t="s">
        <v>179</v>
      </c>
      <c r="D83" s="26">
        <v>41172</v>
      </c>
      <c r="E83">
        <v>2000</v>
      </c>
    </row>
    <row r="84" spans="1:5">
      <c r="A84" t="s">
        <v>42</v>
      </c>
      <c r="B84">
        <v>10002657</v>
      </c>
      <c r="C84" t="s">
        <v>41</v>
      </c>
      <c r="D84" s="26">
        <v>39675</v>
      </c>
      <c r="E84">
        <v>0</v>
      </c>
    </row>
    <row r="85" spans="1:5">
      <c r="A85" t="s">
        <v>233</v>
      </c>
      <c r="B85">
        <v>10029619</v>
      </c>
      <c r="C85" t="s">
        <v>232</v>
      </c>
      <c r="D85" s="26">
        <v>41141</v>
      </c>
      <c r="E85">
        <v>1000</v>
      </c>
    </row>
    <row r="86" spans="1:5">
      <c r="A86" t="s">
        <v>215</v>
      </c>
      <c r="B86">
        <v>10025994</v>
      </c>
      <c r="C86" t="s">
        <v>214</v>
      </c>
      <c r="D86" s="26">
        <v>41582</v>
      </c>
      <c r="E86">
        <v>20000</v>
      </c>
    </row>
    <row r="87" spans="1:5">
      <c r="A87" t="s">
        <v>51</v>
      </c>
      <c r="B87">
        <v>10003624</v>
      </c>
      <c r="C87" t="s">
        <v>50</v>
      </c>
      <c r="D87" s="26">
        <v>39716</v>
      </c>
      <c r="E87">
        <v>0</v>
      </c>
    </row>
    <row r="88" spans="1:5">
      <c r="D88" s="26">
        <v>40988</v>
      </c>
      <c r="E88">
        <v>10000</v>
      </c>
    </row>
    <row r="89" spans="1:5">
      <c r="A89" t="s">
        <v>144</v>
      </c>
      <c r="B89">
        <v>10019410</v>
      </c>
      <c r="C89" t="s">
        <v>143</v>
      </c>
      <c r="D89" s="26">
        <v>41036</v>
      </c>
      <c r="E89">
        <v>2000</v>
      </c>
    </row>
    <row r="90" spans="1:5">
      <c r="A90" t="s">
        <v>86</v>
      </c>
      <c r="B90">
        <v>10012158</v>
      </c>
      <c r="C90" t="s">
        <v>85</v>
      </c>
      <c r="D90" s="26">
        <v>41571</v>
      </c>
      <c r="E90">
        <v>1000</v>
      </c>
    </row>
    <row r="91" spans="1:5">
      <c r="A91" t="s">
        <v>170</v>
      </c>
      <c r="B91">
        <v>10021528</v>
      </c>
      <c r="C91" t="s">
        <v>169</v>
      </c>
      <c r="D91" s="26">
        <v>41159</v>
      </c>
      <c r="E91">
        <v>1000</v>
      </c>
    </row>
    <row r="92" spans="1:5">
      <c r="A92" t="s">
        <v>37</v>
      </c>
      <c r="B92">
        <v>10002641</v>
      </c>
      <c r="C92" t="s">
        <v>36</v>
      </c>
      <c r="D92" s="26">
        <v>40065</v>
      </c>
      <c r="E92">
        <v>0</v>
      </c>
    </row>
    <row r="93" spans="1:5">
      <c r="D93" s="26">
        <v>41138</v>
      </c>
      <c r="E93">
        <v>10000</v>
      </c>
    </row>
    <row r="94" spans="1:5">
      <c r="D94" s="26">
        <v>41619</v>
      </c>
      <c r="E94">
        <v>1000</v>
      </c>
    </row>
    <row r="95" spans="1:5">
      <c r="A95" t="s">
        <v>110</v>
      </c>
      <c r="B95">
        <v>10017703</v>
      </c>
      <c r="C95" t="s">
        <v>109</v>
      </c>
      <c r="D95" s="26">
        <v>41092</v>
      </c>
      <c r="E95">
        <v>1000</v>
      </c>
    </row>
    <row r="96" spans="1:5">
      <c r="A96" t="s">
        <v>221</v>
      </c>
      <c r="B96">
        <v>10028602</v>
      </c>
      <c r="C96" t="s">
        <v>220</v>
      </c>
      <c r="D96" s="26">
        <v>41145</v>
      </c>
      <c r="E96">
        <v>2000</v>
      </c>
    </row>
    <row r="97" spans="1:5">
      <c r="A97" t="s">
        <v>239</v>
      </c>
      <c r="B97">
        <v>10030220</v>
      </c>
      <c r="C97" t="s">
        <v>238</v>
      </c>
      <c r="D97" s="26">
        <v>41305</v>
      </c>
      <c r="E97">
        <v>20000</v>
      </c>
    </row>
    <row r="98" spans="1:5">
      <c r="A98" t="s">
        <v>92</v>
      </c>
      <c r="B98">
        <v>10013982</v>
      </c>
      <c r="C98" t="s">
        <v>91</v>
      </c>
      <c r="D98" s="26">
        <v>41288</v>
      </c>
      <c r="E98">
        <v>50000</v>
      </c>
    </row>
    <row r="99" spans="1:5">
      <c r="A99" t="s">
        <v>205</v>
      </c>
      <c r="B99">
        <v>10023684</v>
      </c>
      <c r="C99" t="s">
        <v>204</v>
      </c>
      <c r="D99" s="26">
        <v>41229</v>
      </c>
      <c r="E99">
        <v>1000</v>
      </c>
    </row>
    <row r="100" spans="1:5">
      <c r="A100" t="s">
        <v>229</v>
      </c>
      <c r="B100">
        <v>10029413</v>
      </c>
      <c r="C100" t="s">
        <v>228</v>
      </c>
      <c r="D100" s="26">
        <v>40945</v>
      </c>
      <c r="E100">
        <v>2000</v>
      </c>
    </row>
    <row r="101" spans="1:5">
      <c r="A101" t="s">
        <v>133</v>
      </c>
      <c r="B101">
        <v>10019114</v>
      </c>
      <c r="C101" t="s">
        <v>132</v>
      </c>
      <c r="D101" s="26">
        <v>40905</v>
      </c>
      <c r="E101">
        <v>20000</v>
      </c>
    </row>
    <row r="102" spans="1:5">
      <c r="A102" t="s">
        <v>88</v>
      </c>
      <c r="B102">
        <v>10012238</v>
      </c>
      <c r="C102" t="s">
        <v>87</v>
      </c>
      <c r="D102" s="26">
        <v>40118</v>
      </c>
      <c r="E102">
        <v>0</v>
      </c>
    </row>
    <row r="103" spans="1:5">
      <c r="A103" t="s">
        <v>65</v>
      </c>
      <c r="B103">
        <v>10007071</v>
      </c>
      <c r="C103" t="s">
        <v>64</v>
      </c>
      <c r="D103" s="26">
        <v>41152</v>
      </c>
      <c r="E103">
        <v>2000</v>
      </c>
    </row>
    <row r="104" spans="1:5">
      <c r="A104" t="s">
        <v>241</v>
      </c>
      <c r="B104">
        <v>10030244</v>
      </c>
      <c r="C104" t="s">
        <v>240</v>
      </c>
      <c r="D104" s="26">
        <v>41288</v>
      </c>
      <c r="E104">
        <v>1000</v>
      </c>
    </row>
    <row r="105" spans="1:5">
      <c r="A105" t="s">
        <v>82</v>
      </c>
      <c r="B105">
        <v>10011965</v>
      </c>
      <c r="C105" t="s">
        <v>81</v>
      </c>
      <c r="D105" s="26">
        <v>41639</v>
      </c>
      <c r="E105">
        <v>1000</v>
      </c>
    </row>
    <row r="106" spans="1:5">
      <c r="A106" t="s">
        <v>231</v>
      </c>
      <c r="B106">
        <v>10029414</v>
      </c>
      <c r="C106" t="s">
        <v>230</v>
      </c>
      <c r="D106" s="26">
        <v>41060</v>
      </c>
      <c r="E106">
        <v>2000</v>
      </c>
    </row>
    <row r="107" spans="1:5">
      <c r="A107" t="s">
        <v>207</v>
      </c>
      <c r="B107">
        <v>10024482</v>
      </c>
      <c r="C107" t="s">
        <v>206</v>
      </c>
      <c r="D107" s="26">
        <v>40365</v>
      </c>
      <c r="E107">
        <v>0</v>
      </c>
    </row>
    <row r="108" spans="1:5">
      <c r="A108" t="s">
        <v>282</v>
      </c>
      <c r="B108">
        <v>10022749</v>
      </c>
      <c r="C108" t="s">
        <v>307</v>
      </c>
      <c r="D108" s="26">
        <v>41114</v>
      </c>
      <c r="E108">
        <v>1000</v>
      </c>
    </row>
    <row r="109" spans="1:5">
      <c r="A109" t="s">
        <v>283</v>
      </c>
      <c r="B109">
        <v>10002342</v>
      </c>
      <c r="C109" t="s">
        <v>308</v>
      </c>
      <c r="D109" s="26">
        <v>41130</v>
      </c>
      <c r="E109">
        <v>30000</v>
      </c>
    </row>
    <row r="110" spans="1:5">
      <c r="A110" t="s">
        <v>285</v>
      </c>
      <c r="B110">
        <v>10031135</v>
      </c>
      <c r="C110" t="s">
        <v>310</v>
      </c>
      <c r="D110" s="26">
        <v>41481</v>
      </c>
      <c r="E110">
        <v>1000</v>
      </c>
    </row>
    <row r="111" spans="1:5">
      <c r="A111" t="s">
        <v>287</v>
      </c>
      <c r="B111">
        <v>10002651</v>
      </c>
      <c r="C111" t="s">
        <v>313</v>
      </c>
      <c r="D111" s="26">
        <v>41023</v>
      </c>
      <c r="E111">
        <v>1000</v>
      </c>
    </row>
    <row r="112" spans="1:5">
      <c r="A112" t="s">
        <v>288</v>
      </c>
      <c r="B112">
        <v>10022502</v>
      </c>
      <c r="C112" t="s">
        <v>314</v>
      </c>
      <c r="D112" s="26">
        <v>41212</v>
      </c>
      <c r="E112">
        <v>3000</v>
      </c>
    </row>
    <row r="113" spans="1:5">
      <c r="D113" s="26">
        <v>41428</v>
      </c>
      <c r="E113">
        <v>2000</v>
      </c>
    </row>
    <row r="114" spans="1:5">
      <c r="A114" t="s">
        <v>290</v>
      </c>
      <c r="B114">
        <v>10020637</v>
      </c>
      <c r="C114" t="s">
        <v>317</v>
      </c>
      <c r="D114" s="26">
        <v>41114</v>
      </c>
      <c r="E114">
        <v>1000</v>
      </c>
    </row>
    <row r="115" spans="1:5">
      <c r="E115">
        <v>10000</v>
      </c>
    </row>
    <row r="116" spans="1:5">
      <c r="A116" t="s">
        <v>291</v>
      </c>
      <c r="B116">
        <v>10029303</v>
      </c>
      <c r="C116" t="s">
        <v>318</v>
      </c>
      <c r="D116" s="26">
        <v>40985</v>
      </c>
      <c r="E116">
        <v>2000</v>
      </c>
    </row>
    <row r="117" spans="1:5">
      <c r="A117" t="s">
        <v>292</v>
      </c>
      <c r="B117">
        <v>10016624</v>
      </c>
      <c r="C117" t="s">
        <v>319</v>
      </c>
      <c r="D117" s="26">
        <v>39661</v>
      </c>
      <c r="E117">
        <v>0</v>
      </c>
    </row>
    <row r="118" spans="1:5">
      <c r="D118" s="26">
        <v>40984</v>
      </c>
      <c r="E118">
        <v>1000</v>
      </c>
    </row>
    <row r="119" spans="1:5">
      <c r="A119" t="s">
        <v>293</v>
      </c>
      <c r="B119">
        <v>10019574</v>
      </c>
      <c r="C119" t="s">
        <v>320</v>
      </c>
      <c r="D119" s="26">
        <v>41075</v>
      </c>
      <c r="E119">
        <v>10000</v>
      </c>
    </row>
    <row r="120" spans="1:5">
      <c r="A120" t="s">
        <v>294</v>
      </c>
      <c r="B120">
        <v>10022079</v>
      </c>
      <c r="C120" t="s">
        <v>321</v>
      </c>
      <c r="D120" s="26">
        <v>41145</v>
      </c>
      <c r="E120">
        <v>1000</v>
      </c>
    </row>
    <row r="121" spans="1:5">
      <c r="A121" t="s">
        <v>295</v>
      </c>
      <c r="B121">
        <v>10016946</v>
      </c>
      <c r="C121" t="s">
        <v>322</v>
      </c>
      <c r="D121" s="26">
        <v>39884</v>
      </c>
      <c r="E121">
        <v>0</v>
      </c>
    </row>
    <row r="122" spans="1:5">
      <c r="D122" s="26">
        <v>40974</v>
      </c>
      <c r="E122">
        <v>2000</v>
      </c>
    </row>
    <row r="123" spans="1:5">
      <c r="A123" t="s">
        <v>296</v>
      </c>
      <c r="B123">
        <v>10018146</v>
      </c>
      <c r="C123" t="s">
        <v>323</v>
      </c>
      <c r="D123" s="26">
        <v>41017</v>
      </c>
      <c r="E123">
        <v>1000</v>
      </c>
    </row>
    <row r="124" spans="1:5">
      <c r="A124" t="s">
        <v>297</v>
      </c>
      <c r="B124">
        <v>10023289</v>
      </c>
      <c r="C124" t="s">
        <v>324</v>
      </c>
      <c r="D124" s="26">
        <v>40149</v>
      </c>
      <c r="E124">
        <v>0</v>
      </c>
    </row>
    <row r="125" spans="1:5">
      <c r="A125" t="s">
        <v>298</v>
      </c>
      <c r="B125">
        <v>10008580</v>
      </c>
      <c r="C125" t="s">
        <v>325</v>
      </c>
      <c r="D125" s="26">
        <v>41015</v>
      </c>
      <c r="E125">
        <v>1000</v>
      </c>
    </row>
    <row r="126" spans="1:5">
      <c r="A126" t="s">
        <v>300</v>
      </c>
      <c r="B126">
        <v>10031100</v>
      </c>
      <c r="C126" t="s">
        <v>327</v>
      </c>
      <c r="D126" s="26">
        <v>41552</v>
      </c>
      <c r="E126">
        <v>0</v>
      </c>
    </row>
    <row r="127" spans="1:5">
      <c r="A127" t="s">
        <v>303</v>
      </c>
      <c r="B127">
        <v>10017281</v>
      </c>
      <c r="C127" t="s">
        <v>331</v>
      </c>
      <c r="D127" s="26">
        <v>41075</v>
      </c>
      <c r="E127">
        <v>500</v>
      </c>
    </row>
    <row r="128" spans="1:5">
      <c r="A128" t="s">
        <v>304</v>
      </c>
      <c r="B128">
        <v>10029658</v>
      </c>
      <c r="C128" t="s">
        <v>332</v>
      </c>
      <c r="D128" s="26">
        <v>41155</v>
      </c>
      <c r="E128">
        <v>1000</v>
      </c>
    </row>
    <row r="129" spans="1:5">
      <c r="D129" s="26">
        <v>41404</v>
      </c>
      <c r="E129">
        <v>1000</v>
      </c>
    </row>
    <row r="130" spans="1:5">
      <c r="A130" t="s">
        <v>360</v>
      </c>
      <c r="B130">
        <v>10017563</v>
      </c>
      <c r="C130" t="s">
        <v>359</v>
      </c>
      <c r="D130" s="26">
        <v>39798</v>
      </c>
      <c r="E130">
        <v>0</v>
      </c>
    </row>
    <row r="131" spans="1:5">
      <c r="D131" s="26">
        <v>40939</v>
      </c>
      <c r="E131">
        <v>1000</v>
      </c>
    </row>
    <row r="132" spans="1:5">
      <c r="A132" t="s">
        <v>362</v>
      </c>
      <c r="B132">
        <v>10013329</v>
      </c>
      <c r="C132" t="s">
        <v>361</v>
      </c>
      <c r="D132" s="26">
        <v>41676</v>
      </c>
      <c r="E132">
        <v>1000</v>
      </c>
    </row>
    <row r="133" spans="1:5">
      <c r="A133" t="s">
        <v>364</v>
      </c>
      <c r="B133">
        <v>10017653</v>
      </c>
      <c r="C133" t="s">
        <v>363</v>
      </c>
      <c r="D133" s="26">
        <v>40981</v>
      </c>
      <c r="E133">
        <v>1000</v>
      </c>
    </row>
    <row r="134" spans="1:5">
      <c r="A134" t="s">
        <v>368</v>
      </c>
      <c r="B134">
        <v>10008186</v>
      </c>
      <c r="C134" t="s">
        <v>367</v>
      </c>
      <c r="D134" s="26">
        <v>41017</v>
      </c>
      <c r="E134">
        <v>1000</v>
      </c>
    </row>
    <row r="135" spans="1:5">
      <c r="A135" t="s">
        <v>370</v>
      </c>
      <c r="B135">
        <v>10017048</v>
      </c>
      <c r="C135" t="s">
        <v>369</v>
      </c>
      <c r="D135" s="26">
        <v>40911</v>
      </c>
      <c r="E135">
        <v>1000</v>
      </c>
    </row>
    <row r="136" spans="1:5">
      <c r="A136" t="s">
        <v>372</v>
      </c>
      <c r="B136">
        <v>10006768</v>
      </c>
      <c r="C136" t="s">
        <v>371</v>
      </c>
      <c r="D136" s="26">
        <v>39661</v>
      </c>
      <c r="E136">
        <v>0</v>
      </c>
    </row>
    <row r="137" spans="1:5">
      <c r="B137">
        <v>10007516</v>
      </c>
      <c r="C137" t="s">
        <v>373</v>
      </c>
      <c r="D137" s="26">
        <v>39661</v>
      </c>
      <c r="E137">
        <v>0</v>
      </c>
    </row>
    <row r="138" spans="1:5">
      <c r="A138" t="s">
        <v>376</v>
      </c>
      <c r="B138">
        <v>10022381</v>
      </c>
      <c r="C138" t="s">
        <v>375</v>
      </c>
      <c r="D138" s="26">
        <v>41610</v>
      </c>
      <c r="E138">
        <v>1000</v>
      </c>
    </row>
    <row r="139" spans="1:5">
      <c r="A139" t="s">
        <v>378</v>
      </c>
      <c r="B139">
        <v>10025892</v>
      </c>
      <c r="C139" t="s">
        <v>377</v>
      </c>
      <c r="D139" s="26">
        <v>41036</v>
      </c>
      <c r="E139">
        <v>1000</v>
      </c>
    </row>
    <row r="140" spans="1:5">
      <c r="A140" t="s">
        <v>382</v>
      </c>
      <c r="B140">
        <v>10020286</v>
      </c>
      <c r="C140" t="s">
        <v>381</v>
      </c>
      <c r="D140" s="26">
        <v>41145</v>
      </c>
      <c r="E140">
        <v>1000</v>
      </c>
    </row>
    <row r="141" spans="1:5">
      <c r="A141" t="s">
        <v>384</v>
      </c>
      <c r="B141">
        <v>10014421</v>
      </c>
      <c r="C141" t="s">
        <v>383</v>
      </c>
      <c r="D141" s="26">
        <v>41351</v>
      </c>
      <c r="E141">
        <v>1000</v>
      </c>
    </row>
    <row r="142" spans="1:5">
      <c r="A142" t="s">
        <v>386</v>
      </c>
      <c r="B142">
        <v>10029172</v>
      </c>
      <c r="C142" t="s">
        <v>385</v>
      </c>
      <c r="D142" s="26">
        <v>39643</v>
      </c>
      <c r="E142">
        <v>0</v>
      </c>
    </row>
    <row r="143" spans="1:5">
      <c r="D143" s="26">
        <v>41103</v>
      </c>
      <c r="E143">
        <v>1000</v>
      </c>
    </row>
    <row r="144" spans="1:5">
      <c r="A144" t="s">
        <v>388</v>
      </c>
      <c r="B144">
        <v>10017330</v>
      </c>
      <c r="C144" t="s">
        <v>387</v>
      </c>
      <c r="D144" s="26">
        <v>41017</v>
      </c>
      <c r="E144">
        <v>1000</v>
      </c>
    </row>
    <row r="145" spans="1:5">
      <c r="A145" t="s">
        <v>392</v>
      </c>
      <c r="B145">
        <v>10030364</v>
      </c>
      <c r="C145" t="s">
        <v>391</v>
      </c>
      <c r="D145" s="26">
        <v>41558</v>
      </c>
      <c r="E145">
        <v>1000</v>
      </c>
    </row>
    <row r="146" spans="1:5">
      <c r="D146" s="26">
        <v>41595</v>
      </c>
      <c r="E146">
        <v>1000</v>
      </c>
    </row>
    <row r="147" spans="1:5">
      <c r="A147" t="s">
        <v>396</v>
      </c>
      <c r="B147">
        <v>10030603</v>
      </c>
      <c r="C147" t="s">
        <v>395</v>
      </c>
      <c r="D147" s="26">
        <v>41299</v>
      </c>
      <c r="E147">
        <v>1000</v>
      </c>
    </row>
    <row r="148" spans="1:5">
      <c r="A148" t="s">
        <v>398</v>
      </c>
      <c r="B148">
        <v>10030568</v>
      </c>
      <c r="C148" t="s">
        <v>397</v>
      </c>
      <c r="D148" s="26">
        <v>41305</v>
      </c>
      <c r="E148">
        <v>1000</v>
      </c>
    </row>
    <row r="149" spans="1:5">
      <c r="A149" t="s">
        <v>404</v>
      </c>
      <c r="B149">
        <v>10024527</v>
      </c>
      <c r="C149" t="s">
        <v>403</v>
      </c>
      <c r="D149" s="26">
        <v>40644</v>
      </c>
      <c r="E149">
        <v>0</v>
      </c>
    </row>
    <row r="150" spans="1:5">
      <c r="D150" s="26">
        <v>41299</v>
      </c>
      <c r="E150">
        <v>1000</v>
      </c>
    </row>
    <row r="151" spans="1:5">
      <c r="A151" t="s">
        <v>406</v>
      </c>
      <c r="B151">
        <v>10002633</v>
      </c>
      <c r="C151" t="s">
        <v>405</v>
      </c>
      <c r="D151" s="26">
        <v>41346</v>
      </c>
      <c r="E151">
        <v>1000</v>
      </c>
    </row>
    <row r="152" spans="1:5">
      <c r="A152" t="s">
        <v>411</v>
      </c>
      <c r="B152">
        <v>10018870</v>
      </c>
      <c r="C152" t="s">
        <v>410</v>
      </c>
      <c r="D152" s="26">
        <v>40899</v>
      </c>
      <c r="E152">
        <v>1000</v>
      </c>
    </row>
    <row r="153" spans="1:5">
      <c r="A153" t="s">
        <v>413</v>
      </c>
      <c r="B153">
        <v>10025993</v>
      </c>
      <c r="C153" t="s">
        <v>412</v>
      </c>
      <c r="D153" s="26">
        <v>41354</v>
      </c>
      <c r="E153">
        <v>1000</v>
      </c>
    </row>
    <row r="154" spans="1:5">
      <c r="A154" t="s">
        <v>415</v>
      </c>
      <c r="B154">
        <v>10016059</v>
      </c>
      <c r="C154" t="s">
        <v>414</v>
      </c>
      <c r="D154" s="26">
        <v>39753</v>
      </c>
      <c r="E154">
        <v>0</v>
      </c>
    </row>
    <row r="155" spans="1:5">
      <c r="D155" s="26">
        <v>40991</v>
      </c>
      <c r="E155">
        <v>10000</v>
      </c>
    </row>
    <row r="156" spans="1:5">
      <c r="A156" t="s">
        <v>417</v>
      </c>
      <c r="B156">
        <v>10015734</v>
      </c>
      <c r="C156" t="s">
        <v>416</v>
      </c>
      <c r="D156" s="26">
        <v>39638</v>
      </c>
      <c r="E156">
        <v>0</v>
      </c>
    </row>
    <row r="157" spans="1:5">
      <c r="D157" s="26">
        <v>41162</v>
      </c>
      <c r="E157">
        <v>1000</v>
      </c>
    </row>
    <row r="158" spans="1:5">
      <c r="A158" t="s">
        <v>419</v>
      </c>
      <c r="B158">
        <v>10016307</v>
      </c>
      <c r="C158" t="s">
        <v>418</v>
      </c>
      <c r="D158" s="26">
        <v>40926</v>
      </c>
      <c r="E158">
        <v>1000</v>
      </c>
    </row>
    <row r="159" spans="1:5">
      <c r="D159" s="26">
        <v>41746</v>
      </c>
      <c r="E159">
        <v>0</v>
      </c>
    </row>
    <row r="160" spans="1:5">
      <c r="A160" t="s">
        <v>421</v>
      </c>
      <c r="B160">
        <v>10018295</v>
      </c>
      <c r="C160" t="s">
        <v>420</v>
      </c>
      <c r="D160" s="26">
        <v>39796</v>
      </c>
      <c r="E160">
        <v>0</v>
      </c>
    </row>
    <row r="161" spans="1:5">
      <c r="A161" t="s">
        <v>423</v>
      </c>
      <c r="B161">
        <v>10018137</v>
      </c>
      <c r="C161" t="s">
        <v>422</v>
      </c>
      <c r="D161" s="26">
        <v>40967</v>
      </c>
      <c r="E161">
        <v>1000</v>
      </c>
    </row>
    <row r="162" spans="1:5">
      <c r="B162">
        <v>10006704</v>
      </c>
      <c r="C162" t="s">
        <v>424</v>
      </c>
      <c r="D162" s="26">
        <v>40967</v>
      </c>
      <c r="E162">
        <v>1000</v>
      </c>
    </row>
    <row r="163" spans="1:5">
      <c r="A163" t="s">
        <v>426</v>
      </c>
      <c r="B163">
        <v>10011097</v>
      </c>
      <c r="C163" t="s">
        <v>425</v>
      </c>
      <c r="D163" s="26">
        <v>39578</v>
      </c>
      <c r="E163">
        <v>1000</v>
      </c>
    </row>
    <row r="164" spans="1:5">
      <c r="D164" s="26">
        <v>41043</v>
      </c>
      <c r="E164">
        <v>1000</v>
      </c>
    </row>
    <row r="165" spans="1:5">
      <c r="A165" t="s">
        <v>428</v>
      </c>
      <c r="B165">
        <v>10011964</v>
      </c>
      <c r="C165" t="s">
        <v>427</v>
      </c>
      <c r="D165" s="26">
        <v>39596</v>
      </c>
      <c r="E165">
        <v>0</v>
      </c>
    </row>
    <row r="166" spans="1:5">
      <c r="D166" s="26">
        <v>41194</v>
      </c>
      <c r="E166">
        <v>1000</v>
      </c>
    </row>
    <row r="167" spans="1:5">
      <c r="A167" t="s">
        <v>432</v>
      </c>
      <c r="B167">
        <v>10029992</v>
      </c>
      <c r="C167" t="s">
        <v>431</v>
      </c>
      <c r="D167" s="26">
        <v>41283</v>
      </c>
      <c r="E167">
        <v>1000</v>
      </c>
    </row>
    <row r="168" spans="1:5">
      <c r="A168" t="s">
        <v>434</v>
      </c>
      <c r="B168">
        <v>10029134</v>
      </c>
      <c r="C168" t="s">
        <v>433</v>
      </c>
      <c r="D168" s="26">
        <v>41165</v>
      </c>
      <c r="E168">
        <v>1000</v>
      </c>
    </row>
    <row r="169" spans="1:5">
      <c r="A169" t="s">
        <v>508</v>
      </c>
      <c r="B169">
        <v>10018727</v>
      </c>
      <c r="C169" t="s">
        <v>507</v>
      </c>
      <c r="D169" s="26">
        <v>41075</v>
      </c>
      <c r="E169">
        <v>2000</v>
      </c>
    </row>
    <row r="170" spans="1:5">
      <c r="A170" t="s">
        <v>548</v>
      </c>
      <c r="B170">
        <v>10018644</v>
      </c>
      <c r="C170" t="s">
        <v>547</v>
      </c>
      <c r="D170" s="26">
        <v>40268</v>
      </c>
      <c r="E170">
        <v>0</v>
      </c>
    </row>
    <row r="171" spans="1:5">
      <c r="A171" t="s">
        <v>550</v>
      </c>
      <c r="B171">
        <v>10011867</v>
      </c>
      <c r="C171" t="s">
        <v>549</v>
      </c>
      <c r="D171" s="26">
        <v>41661</v>
      </c>
      <c r="E171">
        <v>2000</v>
      </c>
    </row>
    <row r="172" spans="1:5">
      <c r="A172" t="s">
        <v>599</v>
      </c>
      <c r="B172">
        <v>10011176</v>
      </c>
      <c r="C172" t="s">
        <v>598</v>
      </c>
      <c r="D172" s="26">
        <v>41036</v>
      </c>
      <c r="E172">
        <v>1000</v>
      </c>
    </row>
    <row r="173" spans="1:5">
      <c r="A173" t="s">
        <v>613</v>
      </c>
      <c r="B173">
        <v>10008043</v>
      </c>
      <c r="C173" t="s">
        <v>612</v>
      </c>
      <c r="D173" s="26">
        <v>41283</v>
      </c>
      <c r="E173">
        <v>3000</v>
      </c>
    </row>
    <row r="174" spans="1:5">
      <c r="A174" t="s">
        <v>616</v>
      </c>
      <c r="B174">
        <v>10029677</v>
      </c>
      <c r="C174" t="s">
        <v>615</v>
      </c>
      <c r="D174" s="26">
        <v>41092</v>
      </c>
      <c r="E174">
        <v>2000</v>
      </c>
    </row>
    <row r="175" spans="1:5">
      <c r="A175" t="s">
        <v>618</v>
      </c>
      <c r="B175">
        <v>10017880</v>
      </c>
      <c r="C175" t="s">
        <v>617</v>
      </c>
      <c r="D175" s="26">
        <v>40882</v>
      </c>
      <c r="E175">
        <v>2000</v>
      </c>
    </row>
    <row r="176" spans="1:5">
      <c r="A176" t="s">
        <v>622</v>
      </c>
      <c r="B176">
        <v>10021150</v>
      </c>
      <c r="C176" t="s">
        <v>621</v>
      </c>
      <c r="D176" s="26">
        <v>41068</v>
      </c>
      <c r="E176">
        <v>2000</v>
      </c>
    </row>
    <row r="177" spans="1:5">
      <c r="A177" t="s">
        <v>624</v>
      </c>
      <c r="B177">
        <v>10029788</v>
      </c>
      <c r="C177" t="s">
        <v>623</v>
      </c>
      <c r="D177" s="26">
        <v>41068</v>
      </c>
      <c r="E177">
        <v>2000</v>
      </c>
    </row>
    <row r="178" spans="1:5">
      <c r="A178" t="s">
        <v>626</v>
      </c>
      <c r="B178">
        <v>10022890</v>
      </c>
      <c r="C178" t="s">
        <v>625</v>
      </c>
      <c r="D178" s="26">
        <v>40716</v>
      </c>
      <c r="E178">
        <v>2000</v>
      </c>
    </row>
    <row r="179" spans="1:5">
      <c r="A179" t="s">
        <v>631</v>
      </c>
      <c r="B179">
        <v>10029672</v>
      </c>
      <c r="C179" t="s">
        <v>630</v>
      </c>
      <c r="D179" s="26">
        <v>41145</v>
      </c>
      <c r="E179">
        <v>2000</v>
      </c>
    </row>
    <row r="180" spans="1:5">
      <c r="D180" s="26">
        <v>41171</v>
      </c>
      <c r="E180">
        <v>2000</v>
      </c>
    </row>
    <row r="181" spans="1:5">
      <c r="A181" t="s">
        <v>633</v>
      </c>
      <c r="B181">
        <v>10023158</v>
      </c>
      <c r="C181" t="s">
        <v>632</v>
      </c>
      <c r="D181" s="26">
        <v>41057</v>
      </c>
      <c r="E181">
        <v>2000</v>
      </c>
    </row>
    <row r="182" spans="1:5">
      <c r="A182" t="s">
        <v>635</v>
      </c>
      <c r="B182">
        <v>10029930</v>
      </c>
      <c r="C182" t="s">
        <v>634</v>
      </c>
      <c r="D182" s="26">
        <v>41159</v>
      </c>
      <c r="E182">
        <v>2000</v>
      </c>
    </row>
    <row r="183" spans="1:5">
      <c r="A183" t="s">
        <v>637</v>
      </c>
      <c r="B183">
        <v>10030978</v>
      </c>
      <c r="C183" t="s">
        <v>636</v>
      </c>
      <c r="D183" s="26">
        <v>41501</v>
      </c>
      <c r="E183">
        <v>2000</v>
      </c>
    </row>
    <row r="184" spans="1:5">
      <c r="A184" t="s">
        <v>647</v>
      </c>
      <c r="B184">
        <v>10023371</v>
      </c>
      <c r="C184" t="s">
        <v>646</v>
      </c>
      <c r="D184" s="26">
        <v>40893</v>
      </c>
      <c r="E184">
        <v>3000</v>
      </c>
    </row>
    <row r="185" spans="1:5">
      <c r="A185" t="s">
        <v>651</v>
      </c>
      <c r="B185">
        <v>10014732</v>
      </c>
      <c r="C185" t="s">
        <v>650</v>
      </c>
      <c r="D185" s="26">
        <v>40882</v>
      </c>
      <c r="E185">
        <v>2000</v>
      </c>
    </row>
    <row r="186" spans="1:5">
      <c r="A186" t="s">
        <v>653</v>
      </c>
      <c r="B186">
        <v>10026044</v>
      </c>
      <c r="C186" t="s">
        <v>652</v>
      </c>
      <c r="D186" s="26">
        <v>40666</v>
      </c>
      <c r="E186">
        <v>0</v>
      </c>
    </row>
    <row r="187" spans="1:5">
      <c r="A187" t="s">
        <v>254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theme="5" tint="0.59999389629810485"/>
  </sheetPr>
  <dimension ref="A1:F184"/>
  <sheetViews>
    <sheetView workbookViewId="0">
      <selection activeCell="A3" sqref="A3:XFD4"/>
    </sheetView>
  </sheetViews>
  <sheetFormatPr defaultRowHeight="15"/>
  <cols>
    <col min="1" max="1" width="26.42578125" bestFit="1" customWidth="1"/>
    <col min="2" max="2" width="40.7109375" customWidth="1"/>
    <col min="3" max="3" width="41" bestFit="1" customWidth="1"/>
    <col min="4" max="4" width="13.28515625" customWidth="1"/>
    <col min="5" max="6" width="6.5703125" customWidth="1"/>
    <col min="7" max="9" width="21.140625" customWidth="1"/>
    <col min="10" max="10" width="25" bestFit="1" customWidth="1"/>
    <col min="11" max="11" width="22.5703125" bestFit="1" customWidth="1"/>
  </cols>
  <sheetData>
    <row r="1" spans="1:6">
      <c r="A1" s="4" t="s">
        <v>279</v>
      </c>
    </row>
    <row r="3" spans="1:6">
      <c r="A3" s="1" t="s">
        <v>470</v>
      </c>
      <c r="B3" t="s">
        <v>253</v>
      </c>
    </row>
    <row r="4" spans="1:6">
      <c r="A4" s="1" t="s">
        <v>249</v>
      </c>
      <c r="B4" t="s">
        <v>253</v>
      </c>
    </row>
    <row r="5" spans="1:6">
      <c r="A5" s="1" t="s">
        <v>251</v>
      </c>
      <c r="B5" t="s">
        <v>253</v>
      </c>
    </row>
    <row r="6" spans="1:6">
      <c r="A6" s="1" t="s">
        <v>436</v>
      </c>
      <c r="B6" t="s">
        <v>253</v>
      </c>
    </row>
    <row r="7" spans="1:6">
      <c r="A7" s="1" t="s">
        <v>471</v>
      </c>
      <c r="B7" t="s">
        <v>253</v>
      </c>
    </row>
    <row r="8" spans="1:6">
      <c r="A8" s="1" t="s">
        <v>662</v>
      </c>
      <c r="B8" t="s">
        <v>253</v>
      </c>
    </row>
    <row r="11" spans="1:6">
      <c r="A11" s="1" t="s">
        <v>2</v>
      </c>
      <c r="B11" s="1" t="s">
        <v>0</v>
      </c>
      <c r="C11" s="1" t="s">
        <v>1</v>
      </c>
      <c r="D11" s="1" t="s">
        <v>4</v>
      </c>
      <c r="E11" s="1" t="s">
        <v>7</v>
      </c>
      <c r="F11" s="1" t="s">
        <v>8</v>
      </c>
    </row>
    <row r="12" spans="1:6">
      <c r="A12" t="s">
        <v>116</v>
      </c>
      <c r="B12">
        <v>10018143</v>
      </c>
      <c r="C12" t="s">
        <v>115</v>
      </c>
      <c r="D12" s="26">
        <v>39519</v>
      </c>
      <c r="E12">
        <v>35</v>
      </c>
      <c r="F12">
        <v>0</v>
      </c>
    </row>
    <row r="13" spans="1:6">
      <c r="A13" t="s">
        <v>248</v>
      </c>
      <c r="B13">
        <v>10031660</v>
      </c>
      <c r="C13" t="s">
        <v>247</v>
      </c>
      <c r="D13" s="26">
        <v>41656</v>
      </c>
      <c r="E13">
        <v>60</v>
      </c>
      <c r="F13">
        <v>85</v>
      </c>
    </row>
    <row r="14" spans="1:6">
      <c r="A14" t="s">
        <v>63</v>
      </c>
      <c r="B14">
        <v>10006819</v>
      </c>
      <c r="C14" t="s">
        <v>62</v>
      </c>
      <c r="D14" s="26">
        <v>41057</v>
      </c>
      <c r="E14">
        <v>60</v>
      </c>
      <c r="F14">
        <v>85</v>
      </c>
    </row>
    <row r="15" spans="1:6">
      <c r="A15" t="s">
        <v>153</v>
      </c>
      <c r="B15">
        <v>10020646</v>
      </c>
      <c r="C15" t="s">
        <v>152</v>
      </c>
      <c r="D15" s="26">
        <v>39856</v>
      </c>
      <c r="E15">
        <v>35</v>
      </c>
      <c r="F15">
        <v>0</v>
      </c>
    </row>
    <row r="16" spans="1:6">
      <c r="A16" t="s">
        <v>70</v>
      </c>
      <c r="B16">
        <v>10008091</v>
      </c>
      <c r="C16" t="s">
        <v>69</v>
      </c>
      <c r="D16" s="26">
        <v>41494</v>
      </c>
      <c r="E16">
        <v>35</v>
      </c>
      <c r="F16">
        <v>85</v>
      </c>
    </row>
    <row r="17" spans="1:6">
      <c r="D17" s="26">
        <v>41592</v>
      </c>
      <c r="E17">
        <v>35</v>
      </c>
      <c r="F17">
        <v>85</v>
      </c>
    </row>
    <row r="18" spans="1:6">
      <c r="A18" t="s">
        <v>186</v>
      </c>
      <c r="B18">
        <v>10022437</v>
      </c>
      <c r="C18" t="s">
        <v>185</v>
      </c>
      <c r="D18" s="26">
        <v>41022</v>
      </c>
      <c r="E18">
        <v>35</v>
      </c>
      <c r="F18">
        <v>85</v>
      </c>
    </row>
    <row r="19" spans="1:6">
      <c r="B19">
        <v>10031092</v>
      </c>
      <c r="C19" t="s">
        <v>246</v>
      </c>
      <c r="D19" s="26">
        <v>41586</v>
      </c>
      <c r="E19">
        <v>60</v>
      </c>
      <c r="F19">
        <v>85</v>
      </c>
    </row>
    <row r="20" spans="1:6">
      <c r="A20" t="s">
        <v>131</v>
      </c>
      <c r="B20">
        <v>10019089</v>
      </c>
      <c r="C20" t="s">
        <v>130</v>
      </c>
      <c r="D20" s="26">
        <v>41095</v>
      </c>
      <c r="E20">
        <v>60</v>
      </c>
      <c r="F20">
        <v>85</v>
      </c>
    </row>
    <row r="21" spans="1:6">
      <c r="A21" t="s">
        <v>61</v>
      </c>
      <c r="B21">
        <v>10005690</v>
      </c>
      <c r="C21" t="s">
        <v>60</v>
      </c>
      <c r="D21" s="26">
        <v>40920</v>
      </c>
      <c r="E21">
        <v>35</v>
      </c>
      <c r="F21">
        <v>85</v>
      </c>
    </row>
    <row r="22" spans="1:6">
      <c r="A22" t="s">
        <v>159</v>
      </c>
      <c r="B22">
        <v>10020853</v>
      </c>
      <c r="C22" t="s">
        <v>158</v>
      </c>
      <c r="D22" s="26">
        <v>41176</v>
      </c>
      <c r="E22">
        <v>35</v>
      </c>
      <c r="F22">
        <v>85</v>
      </c>
    </row>
    <row r="23" spans="1:6">
      <c r="A23" t="s">
        <v>26</v>
      </c>
      <c r="B23">
        <v>10002616</v>
      </c>
      <c r="C23" t="s">
        <v>25</v>
      </c>
      <c r="D23" s="26">
        <v>41036</v>
      </c>
      <c r="E23">
        <v>60</v>
      </c>
      <c r="F23">
        <v>85</v>
      </c>
    </row>
    <row r="24" spans="1:6">
      <c r="A24" t="s">
        <v>235</v>
      </c>
      <c r="B24">
        <v>10029742</v>
      </c>
      <c r="C24" t="s">
        <v>234</v>
      </c>
      <c r="D24" s="26">
        <v>41156</v>
      </c>
      <c r="E24">
        <v>60</v>
      </c>
      <c r="F24">
        <v>85</v>
      </c>
    </row>
    <row r="25" spans="1:6">
      <c r="A25" t="s">
        <v>148</v>
      </c>
      <c r="B25">
        <v>10019610</v>
      </c>
      <c r="C25" t="s">
        <v>147</v>
      </c>
      <c r="D25" s="26">
        <v>41038</v>
      </c>
      <c r="E25">
        <v>60</v>
      </c>
      <c r="F25">
        <v>85</v>
      </c>
    </row>
    <row r="26" spans="1:6">
      <c r="A26" t="s">
        <v>237</v>
      </c>
      <c r="B26">
        <v>10029998</v>
      </c>
      <c r="C26" t="s">
        <v>236</v>
      </c>
      <c r="D26" s="26">
        <v>41288</v>
      </c>
      <c r="E26">
        <v>0</v>
      </c>
      <c r="F26">
        <v>85</v>
      </c>
    </row>
    <row r="27" spans="1:6">
      <c r="D27" s="26">
        <v>41491</v>
      </c>
      <c r="E27">
        <v>30</v>
      </c>
      <c r="F27">
        <v>85</v>
      </c>
    </row>
    <row r="28" spans="1:6">
      <c r="A28" t="s">
        <v>45</v>
      </c>
      <c r="B28">
        <v>10003215</v>
      </c>
      <c r="C28" t="s">
        <v>44</v>
      </c>
      <c r="D28" s="26">
        <v>41330</v>
      </c>
      <c r="E28">
        <v>21</v>
      </c>
      <c r="F28">
        <v>85</v>
      </c>
    </row>
    <row r="29" spans="1:6">
      <c r="A29" t="s">
        <v>165</v>
      </c>
      <c r="B29">
        <v>10021084</v>
      </c>
      <c r="C29" t="s">
        <v>164</v>
      </c>
      <c r="D29" s="26">
        <v>41093</v>
      </c>
      <c r="E29">
        <v>60</v>
      </c>
      <c r="F29">
        <v>85</v>
      </c>
    </row>
    <row r="30" spans="1:6">
      <c r="B30">
        <v>10030282</v>
      </c>
      <c r="C30" t="s">
        <v>614</v>
      </c>
      <c r="D30" s="26">
        <v>41093</v>
      </c>
      <c r="E30">
        <v>60</v>
      </c>
      <c r="F30">
        <v>85</v>
      </c>
    </row>
    <row r="31" spans="1:6">
      <c r="A31" t="s">
        <v>150</v>
      </c>
      <c r="B31">
        <v>10019667</v>
      </c>
      <c r="C31" t="s">
        <v>149</v>
      </c>
      <c r="D31" s="26">
        <v>39643</v>
      </c>
      <c r="E31">
        <v>35</v>
      </c>
      <c r="F31">
        <v>0</v>
      </c>
    </row>
    <row r="32" spans="1:6">
      <c r="D32" s="26">
        <v>41025</v>
      </c>
      <c r="E32">
        <v>35</v>
      </c>
      <c r="F32">
        <v>85</v>
      </c>
    </row>
    <row r="33" spans="1:6">
      <c r="A33" t="s">
        <v>29</v>
      </c>
      <c r="B33">
        <v>10002618</v>
      </c>
      <c r="C33" t="s">
        <v>28</v>
      </c>
      <c r="D33" s="26">
        <v>41463</v>
      </c>
      <c r="E33">
        <v>60</v>
      </c>
      <c r="F33">
        <v>85</v>
      </c>
    </row>
    <row r="34" spans="1:6">
      <c r="A34" t="s">
        <v>157</v>
      </c>
      <c r="B34">
        <v>10020848</v>
      </c>
      <c r="C34" t="s">
        <v>156</v>
      </c>
      <c r="D34" s="26">
        <v>40955</v>
      </c>
      <c r="E34">
        <v>90</v>
      </c>
      <c r="F34">
        <v>85</v>
      </c>
    </row>
    <row r="35" spans="1:6">
      <c r="A35" t="s">
        <v>163</v>
      </c>
      <c r="B35">
        <v>10021071</v>
      </c>
      <c r="C35" t="s">
        <v>162</v>
      </c>
      <c r="D35" s="26">
        <v>41254</v>
      </c>
      <c r="E35">
        <v>35</v>
      </c>
      <c r="F35">
        <v>85</v>
      </c>
    </row>
    <row r="36" spans="1:6">
      <c r="A36" t="s">
        <v>125</v>
      </c>
      <c r="B36">
        <v>10018808</v>
      </c>
      <c r="C36" t="s">
        <v>124</v>
      </c>
      <c r="D36" s="26">
        <v>40941</v>
      </c>
      <c r="E36">
        <v>60</v>
      </c>
      <c r="F36">
        <v>85</v>
      </c>
    </row>
    <row r="37" spans="1:6">
      <c r="D37" s="26">
        <v>41025</v>
      </c>
      <c r="E37">
        <v>60</v>
      </c>
      <c r="F37">
        <v>85</v>
      </c>
    </row>
    <row r="38" spans="1:6">
      <c r="B38">
        <v>10023490</v>
      </c>
      <c r="C38" t="s">
        <v>201</v>
      </c>
      <c r="D38" s="26">
        <v>40941</v>
      </c>
      <c r="E38">
        <v>60</v>
      </c>
      <c r="F38">
        <v>85</v>
      </c>
    </row>
    <row r="39" spans="1:6">
      <c r="D39" s="26">
        <v>41019</v>
      </c>
      <c r="E39">
        <v>60</v>
      </c>
      <c r="F39">
        <v>85</v>
      </c>
    </row>
    <row r="40" spans="1:6">
      <c r="A40" t="s">
        <v>223</v>
      </c>
      <c r="B40">
        <v>10029175</v>
      </c>
      <c r="C40" t="s">
        <v>222</v>
      </c>
      <c r="D40" s="26">
        <v>41138</v>
      </c>
      <c r="E40">
        <v>60</v>
      </c>
      <c r="F40">
        <v>85</v>
      </c>
    </row>
    <row r="41" spans="1:6">
      <c r="A41" t="s">
        <v>102</v>
      </c>
      <c r="B41">
        <v>10017162</v>
      </c>
      <c r="C41" t="s">
        <v>101</v>
      </c>
      <c r="D41" s="26">
        <v>41383</v>
      </c>
      <c r="E41">
        <v>0</v>
      </c>
      <c r="F41">
        <v>85</v>
      </c>
    </row>
    <row r="42" spans="1:6">
      <c r="D42" s="26">
        <v>41520</v>
      </c>
      <c r="E42">
        <v>30</v>
      </c>
      <c r="F42">
        <v>85</v>
      </c>
    </row>
    <row r="43" spans="1:6">
      <c r="A43" t="s">
        <v>243</v>
      </c>
      <c r="B43">
        <v>10030431</v>
      </c>
      <c r="C43" t="s">
        <v>242</v>
      </c>
      <c r="D43" s="26">
        <v>41260</v>
      </c>
      <c r="E43">
        <v>0</v>
      </c>
      <c r="F43">
        <v>85</v>
      </c>
    </row>
    <row r="44" spans="1:6">
      <c r="A44" t="s">
        <v>155</v>
      </c>
      <c r="B44">
        <v>10020806</v>
      </c>
      <c r="C44" t="s">
        <v>154</v>
      </c>
      <c r="D44" s="26">
        <v>41544</v>
      </c>
      <c r="E44">
        <v>35</v>
      </c>
      <c r="F44">
        <v>85</v>
      </c>
    </row>
    <row r="45" spans="1:6">
      <c r="A45" t="s">
        <v>142</v>
      </c>
      <c r="B45">
        <v>10019408</v>
      </c>
      <c r="C45" t="s">
        <v>141</v>
      </c>
      <c r="D45" s="26">
        <v>40919</v>
      </c>
      <c r="E45">
        <v>60</v>
      </c>
      <c r="F45">
        <v>85</v>
      </c>
    </row>
    <row r="46" spans="1:6">
      <c r="A46" t="s">
        <v>32</v>
      </c>
      <c r="B46">
        <v>10002622</v>
      </c>
      <c r="C46" t="s">
        <v>31</v>
      </c>
      <c r="D46" s="26">
        <v>41095</v>
      </c>
      <c r="E46">
        <v>35</v>
      </c>
      <c r="F46">
        <v>85</v>
      </c>
    </row>
    <row r="47" spans="1:6">
      <c r="A47" t="s">
        <v>105</v>
      </c>
      <c r="B47">
        <v>10017541</v>
      </c>
      <c r="C47" t="s">
        <v>104</v>
      </c>
      <c r="D47" s="26">
        <v>41095</v>
      </c>
      <c r="E47">
        <v>0</v>
      </c>
      <c r="F47">
        <v>85</v>
      </c>
    </row>
    <row r="48" spans="1:6">
      <c r="A48" t="s">
        <v>135</v>
      </c>
      <c r="B48">
        <v>10019117</v>
      </c>
      <c r="C48" t="s">
        <v>134</v>
      </c>
      <c r="D48" s="26">
        <v>41066</v>
      </c>
      <c r="E48">
        <v>35</v>
      </c>
      <c r="F48">
        <v>85</v>
      </c>
    </row>
    <row r="49" spans="1:6">
      <c r="A49" t="s">
        <v>167</v>
      </c>
      <c r="B49">
        <v>10021176</v>
      </c>
      <c r="C49" t="s">
        <v>166</v>
      </c>
      <c r="D49" s="26">
        <v>41355</v>
      </c>
      <c r="E49">
        <v>28</v>
      </c>
      <c r="F49">
        <v>85</v>
      </c>
    </row>
    <row r="50" spans="1:6">
      <c r="A50" t="s">
        <v>198</v>
      </c>
      <c r="B50">
        <v>10023342</v>
      </c>
      <c r="C50" t="s">
        <v>197</v>
      </c>
      <c r="D50" s="26">
        <v>41068</v>
      </c>
      <c r="E50">
        <v>60</v>
      </c>
      <c r="F50">
        <v>85</v>
      </c>
    </row>
    <row r="51" spans="1:6">
      <c r="A51" t="s">
        <v>55</v>
      </c>
      <c r="B51">
        <v>10003775</v>
      </c>
      <c r="C51" t="s">
        <v>54</v>
      </c>
      <c r="D51" s="26">
        <v>40875</v>
      </c>
      <c r="E51">
        <v>60</v>
      </c>
      <c r="F51">
        <v>85</v>
      </c>
    </row>
    <row r="52" spans="1:6">
      <c r="A52" t="s">
        <v>21</v>
      </c>
      <c r="B52">
        <v>10002254</v>
      </c>
      <c r="C52" t="s">
        <v>20</v>
      </c>
      <c r="D52" s="26">
        <v>39653</v>
      </c>
      <c r="E52">
        <v>35</v>
      </c>
      <c r="F52">
        <v>0</v>
      </c>
    </row>
    <row r="53" spans="1:6">
      <c r="D53" s="26">
        <v>40123</v>
      </c>
      <c r="E53">
        <v>35</v>
      </c>
      <c r="F53">
        <v>0</v>
      </c>
    </row>
    <row r="54" spans="1:6">
      <c r="A54" t="s">
        <v>80</v>
      </c>
      <c r="B54">
        <v>10011961</v>
      </c>
      <c r="C54" t="s">
        <v>79</v>
      </c>
      <c r="D54" s="26">
        <v>41451</v>
      </c>
      <c r="E54">
        <v>60</v>
      </c>
      <c r="F54">
        <v>85</v>
      </c>
    </row>
    <row r="55" spans="1:6">
      <c r="A55" t="s">
        <v>108</v>
      </c>
      <c r="B55">
        <v>10017609</v>
      </c>
      <c r="C55" t="s">
        <v>107</v>
      </c>
      <c r="D55" s="26">
        <v>40861</v>
      </c>
      <c r="E55">
        <v>60</v>
      </c>
      <c r="F55">
        <v>85</v>
      </c>
    </row>
    <row r="56" spans="1:6">
      <c r="A56" t="s">
        <v>146</v>
      </c>
      <c r="B56">
        <v>10019497</v>
      </c>
      <c r="C56" t="s">
        <v>145</v>
      </c>
      <c r="D56" s="26">
        <v>39678</v>
      </c>
      <c r="E56">
        <v>35</v>
      </c>
      <c r="F56">
        <v>0</v>
      </c>
    </row>
    <row r="57" spans="1:6">
      <c r="D57" s="26">
        <v>40963</v>
      </c>
      <c r="E57">
        <v>45</v>
      </c>
      <c r="F57">
        <v>85</v>
      </c>
    </row>
    <row r="58" spans="1:6">
      <c r="A58" t="s">
        <v>74</v>
      </c>
      <c r="B58">
        <v>10011086</v>
      </c>
      <c r="C58" t="s">
        <v>73</v>
      </c>
      <c r="D58" s="26">
        <v>41088</v>
      </c>
      <c r="E58">
        <v>60</v>
      </c>
      <c r="F58">
        <v>85</v>
      </c>
    </row>
    <row r="59" spans="1:6">
      <c r="A59" t="s">
        <v>182</v>
      </c>
      <c r="B59">
        <v>10022134</v>
      </c>
      <c r="C59" t="s">
        <v>181</v>
      </c>
      <c r="D59" s="26">
        <v>41068</v>
      </c>
      <c r="E59">
        <v>60</v>
      </c>
      <c r="F59">
        <v>85</v>
      </c>
    </row>
    <row r="60" spans="1:6">
      <c r="A60" t="s">
        <v>137</v>
      </c>
      <c r="B60">
        <v>10019263</v>
      </c>
      <c r="C60" t="s">
        <v>136</v>
      </c>
      <c r="D60" s="26">
        <v>41288</v>
      </c>
      <c r="E60">
        <v>0</v>
      </c>
      <c r="F60">
        <v>85</v>
      </c>
    </row>
    <row r="61" spans="1:6">
      <c r="D61" s="26">
        <v>41519</v>
      </c>
      <c r="E61">
        <v>50</v>
      </c>
      <c r="F61">
        <v>85</v>
      </c>
    </row>
    <row r="62" spans="1:6">
      <c r="A62" t="s">
        <v>76</v>
      </c>
      <c r="B62">
        <v>10011884</v>
      </c>
      <c r="C62" t="s">
        <v>75</v>
      </c>
      <c r="D62" s="26">
        <v>41103</v>
      </c>
      <c r="E62">
        <v>0</v>
      </c>
      <c r="F62">
        <v>85</v>
      </c>
    </row>
    <row r="63" spans="1:6">
      <c r="B63">
        <v>10012145</v>
      </c>
      <c r="C63" t="s">
        <v>629</v>
      </c>
      <c r="D63" s="26">
        <v>41103</v>
      </c>
      <c r="E63">
        <v>0</v>
      </c>
      <c r="F63">
        <v>85</v>
      </c>
    </row>
    <row r="64" spans="1:6">
      <c r="A64" t="s">
        <v>196</v>
      </c>
      <c r="B64">
        <v>10023135</v>
      </c>
      <c r="C64" t="s">
        <v>195</v>
      </c>
      <c r="D64" s="26">
        <v>39895</v>
      </c>
      <c r="E64">
        <v>40</v>
      </c>
      <c r="F64">
        <v>0</v>
      </c>
    </row>
    <row r="65" spans="1:6">
      <c r="A65" t="s">
        <v>100</v>
      </c>
      <c r="B65">
        <v>10016947</v>
      </c>
      <c r="C65" t="s">
        <v>99</v>
      </c>
      <c r="D65" s="26">
        <v>40875</v>
      </c>
      <c r="E65">
        <v>60</v>
      </c>
      <c r="F65">
        <v>85</v>
      </c>
    </row>
    <row r="66" spans="1:6">
      <c r="A66" t="s">
        <v>225</v>
      </c>
      <c r="B66">
        <v>10029232</v>
      </c>
      <c r="C66" t="s">
        <v>224</v>
      </c>
      <c r="D66" s="26">
        <v>41043</v>
      </c>
      <c r="E66">
        <v>60</v>
      </c>
      <c r="F66">
        <v>85</v>
      </c>
    </row>
    <row r="67" spans="1:6">
      <c r="A67" t="s">
        <v>13</v>
      </c>
      <c r="B67">
        <v>10002059</v>
      </c>
      <c r="C67" t="s">
        <v>12</v>
      </c>
      <c r="D67" s="26">
        <v>41311</v>
      </c>
      <c r="E67">
        <v>60</v>
      </c>
      <c r="F67">
        <v>85</v>
      </c>
    </row>
    <row r="68" spans="1:6">
      <c r="A68" t="s">
        <v>200</v>
      </c>
      <c r="B68">
        <v>10023343</v>
      </c>
      <c r="C68" t="s">
        <v>199</v>
      </c>
      <c r="D68" s="26">
        <v>40993</v>
      </c>
      <c r="E68">
        <v>35</v>
      </c>
      <c r="F68">
        <v>85</v>
      </c>
    </row>
    <row r="69" spans="1:6">
      <c r="A69" t="s">
        <v>161</v>
      </c>
      <c r="B69">
        <v>10021016</v>
      </c>
      <c r="C69" t="s">
        <v>160</v>
      </c>
      <c r="D69" s="26">
        <v>41066</v>
      </c>
      <c r="E69">
        <v>56</v>
      </c>
      <c r="F69">
        <v>85</v>
      </c>
    </row>
    <row r="70" spans="1:6">
      <c r="A70" t="s">
        <v>67</v>
      </c>
      <c r="B70">
        <v>10007542</v>
      </c>
      <c r="C70" t="s">
        <v>66</v>
      </c>
      <c r="D70" s="26">
        <v>41057</v>
      </c>
      <c r="E70">
        <v>60</v>
      </c>
      <c r="F70">
        <v>85</v>
      </c>
    </row>
    <row r="71" spans="1:6">
      <c r="A71" t="s">
        <v>245</v>
      </c>
      <c r="B71">
        <v>10030888</v>
      </c>
      <c r="C71" t="s">
        <v>244</v>
      </c>
      <c r="D71" s="26">
        <v>41534</v>
      </c>
      <c r="E71">
        <v>90</v>
      </c>
      <c r="F71">
        <v>85</v>
      </c>
    </row>
    <row r="72" spans="1:6">
      <c r="A72" t="s">
        <v>114</v>
      </c>
      <c r="B72">
        <v>10018142</v>
      </c>
      <c r="C72" t="s">
        <v>113</v>
      </c>
      <c r="D72" s="26">
        <v>41570</v>
      </c>
      <c r="E72">
        <v>28</v>
      </c>
      <c r="F72">
        <v>85</v>
      </c>
    </row>
    <row r="73" spans="1:6">
      <c r="A73" t="s">
        <v>172</v>
      </c>
      <c r="B73">
        <v>10021534</v>
      </c>
      <c r="C73" t="s">
        <v>171</v>
      </c>
      <c r="D73" s="26">
        <v>41114</v>
      </c>
      <c r="E73">
        <v>35</v>
      </c>
      <c r="F73">
        <v>85</v>
      </c>
    </row>
    <row r="74" spans="1:6">
      <c r="A74" t="s">
        <v>184</v>
      </c>
      <c r="B74">
        <v>10022317</v>
      </c>
      <c r="C74" t="s">
        <v>183</v>
      </c>
      <c r="D74" s="26">
        <v>41170</v>
      </c>
      <c r="E74">
        <v>0</v>
      </c>
      <c r="F74">
        <v>85</v>
      </c>
    </row>
    <row r="75" spans="1:6">
      <c r="A75" t="s">
        <v>140</v>
      </c>
      <c r="B75">
        <v>10019336</v>
      </c>
      <c r="C75" t="s">
        <v>139</v>
      </c>
      <c r="D75" s="26">
        <v>41619</v>
      </c>
      <c r="E75">
        <v>60</v>
      </c>
      <c r="F75">
        <v>85</v>
      </c>
    </row>
    <row r="76" spans="1:6">
      <c r="A76" t="s">
        <v>174</v>
      </c>
      <c r="B76">
        <v>10021546</v>
      </c>
      <c r="C76" t="s">
        <v>173</v>
      </c>
      <c r="D76" s="26">
        <v>40883</v>
      </c>
      <c r="E76">
        <v>60</v>
      </c>
      <c r="F76">
        <v>85</v>
      </c>
    </row>
    <row r="77" spans="1:6">
      <c r="A77" t="s">
        <v>118</v>
      </c>
      <c r="B77">
        <v>10018552</v>
      </c>
      <c r="C77" t="s">
        <v>117</v>
      </c>
      <c r="D77" s="26">
        <v>41256</v>
      </c>
      <c r="E77">
        <v>60</v>
      </c>
      <c r="F77">
        <v>85</v>
      </c>
    </row>
    <row r="78" spans="1:6">
      <c r="B78">
        <v>10022505</v>
      </c>
      <c r="C78" t="s">
        <v>187</v>
      </c>
      <c r="D78" s="26">
        <v>41256</v>
      </c>
      <c r="E78">
        <v>60</v>
      </c>
      <c r="F78">
        <v>85</v>
      </c>
    </row>
    <row r="79" spans="1:6">
      <c r="A79" t="s">
        <v>180</v>
      </c>
      <c r="B79">
        <v>10021905</v>
      </c>
      <c r="C79" t="s">
        <v>179</v>
      </c>
      <c r="D79" s="26">
        <v>41172</v>
      </c>
      <c r="E79">
        <v>60</v>
      </c>
      <c r="F79">
        <v>85</v>
      </c>
    </row>
    <row r="80" spans="1:6">
      <c r="A80" t="s">
        <v>215</v>
      </c>
      <c r="B80">
        <v>10025994</v>
      </c>
      <c r="C80" t="s">
        <v>214</v>
      </c>
      <c r="D80" s="26">
        <v>41715</v>
      </c>
      <c r="E80">
        <v>0</v>
      </c>
      <c r="F80">
        <v>85</v>
      </c>
    </row>
    <row r="81" spans="1:6">
      <c r="A81" t="s">
        <v>51</v>
      </c>
      <c r="B81">
        <v>10003624</v>
      </c>
      <c r="C81" t="s">
        <v>50</v>
      </c>
      <c r="D81" s="26">
        <v>40988</v>
      </c>
      <c r="E81">
        <v>35</v>
      </c>
      <c r="F81">
        <v>85</v>
      </c>
    </row>
    <row r="82" spans="1:6">
      <c r="A82" t="s">
        <v>144</v>
      </c>
      <c r="B82">
        <v>10019410</v>
      </c>
      <c r="C82" t="s">
        <v>143</v>
      </c>
      <c r="D82" s="26">
        <v>41036</v>
      </c>
      <c r="E82">
        <v>60</v>
      </c>
      <c r="F82">
        <v>85</v>
      </c>
    </row>
    <row r="83" spans="1:6">
      <c r="A83" t="s">
        <v>86</v>
      </c>
      <c r="B83">
        <v>10012158</v>
      </c>
      <c r="C83" t="s">
        <v>85</v>
      </c>
      <c r="D83" s="26">
        <v>41060</v>
      </c>
      <c r="E83">
        <v>35</v>
      </c>
      <c r="F83">
        <v>85</v>
      </c>
    </row>
    <row r="84" spans="1:6">
      <c r="A84" t="s">
        <v>170</v>
      </c>
      <c r="B84">
        <v>10021528</v>
      </c>
      <c r="C84" t="s">
        <v>169</v>
      </c>
      <c r="D84" s="26">
        <v>41151</v>
      </c>
      <c r="E84">
        <v>70</v>
      </c>
      <c r="F84">
        <v>85</v>
      </c>
    </row>
    <row r="85" spans="1:6">
      <c r="A85" t="s">
        <v>37</v>
      </c>
      <c r="B85">
        <v>10002641</v>
      </c>
      <c r="C85" t="s">
        <v>36</v>
      </c>
      <c r="D85" s="26">
        <v>41606</v>
      </c>
      <c r="E85">
        <v>35</v>
      </c>
      <c r="F85">
        <v>85</v>
      </c>
    </row>
    <row r="86" spans="1:6">
      <c r="A86" t="s">
        <v>110</v>
      </c>
      <c r="B86">
        <v>10017703</v>
      </c>
      <c r="C86" t="s">
        <v>109</v>
      </c>
      <c r="D86" s="26">
        <v>41092</v>
      </c>
      <c r="E86">
        <v>35</v>
      </c>
      <c r="F86">
        <v>85</v>
      </c>
    </row>
    <row r="87" spans="1:6">
      <c r="A87" t="s">
        <v>221</v>
      </c>
      <c r="B87">
        <v>10028602</v>
      </c>
      <c r="C87" t="s">
        <v>220</v>
      </c>
      <c r="D87" s="26">
        <v>41145</v>
      </c>
      <c r="E87">
        <v>60</v>
      </c>
      <c r="F87">
        <v>85</v>
      </c>
    </row>
    <row r="88" spans="1:6">
      <c r="A88" t="s">
        <v>239</v>
      </c>
      <c r="B88">
        <v>10030220</v>
      </c>
      <c r="C88" t="s">
        <v>238</v>
      </c>
      <c r="D88" s="26">
        <v>41305</v>
      </c>
      <c r="E88">
        <v>55</v>
      </c>
      <c r="F88">
        <v>85</v>
      </c>
    </row>
    <row r="89" spans="1:6">
      <c r="A89" t="s">
        <v>92</v>
      </c>
      <c r="B89">
        <v>10013982</v>
      </c>
      <c r="C89" t="s">
        <v>91</v>
      </c>
      <c r="D89" s="26">
        <v>41288</v>
      </c>
      <c r="E89">
        <v>60</v>
      </c>
      <c r="F89">
        <v>85</v>
      </c>
    </row>
    <row r="90" spans="1:6">
      <c r="A90" t="s">
        <v>229</v>
      </c>
      <c r="B90">
        <v>10029413</v>
      </c>
      <c r="C90" t="s">
        <v>228</v>
      </c>
      <c r="D90" s="26">
        <v>40965</v>
      </c>
      <c r="E90">
        <v>60</v>
      </c>
      <c r="F90">
        <v>85</v>
      </c>
    </row>
    <row r="91" spans="1:6">
      <c r="A91" t="s">
        <v>133</v>
      </c>
      <c r="B91">
        <v>10019114</v>
      </c>
      <c r="C91" t="s">
        <v>132</v>
      </c>
      <c r="D91" s="26">
        <v>40905</v>
      </c>
      <c r="E91">
        <v>60</v>
      </c>
      <c r="F91">
        <v>85</v>
      </c>
    </row>
    <row r="92" spans="1:6">
      <c r="A92" t="s">
        <v>88</v>
      </c>
      <c r="B92">
        <v>10012238</v>
      </c>
      <c r="C92" t="s">
        <v>87</v>
      </c>
      <c r="D92" s="26">
        <v>40122</v>
      </c>
      <c r="E92">
        <v>40</v>
      </c>
      <c r="F92">
        <v>0</v>
      </c>
    </row>
    <row r="93" spans="1:6">
      <c r="A93" t="s">
        <v>65</v>
      </c>
      <c r="B93">
        <v>10007071</v>
      </c>
      <c r="C93" t="s">
        <v>64</v>
      </c>
      <c r="D93" s="26">
        <v>41152</v>
      </c>
      <c r="E93">
        <v>60</v>
      </c>
      <c r="F93">
        <v>85</v>
      </c>
    </row>
    <row r="94" spans="1:6">
      <c r="A94" t="s">
        <v>241</v>
      </c>
      <c r="B94">
        <v>10030244</v>
      </c>
      <c r="C94" t="s">
        <v>240</v>
      </c>
      <c r="D94" s="26">
        <v>41288</v>
      </c>
      <c r="E94">
        <v>0</v>
      </c>
      <c r="F94">
        <v>85</v>
      </c>
    </row>
    <row r="95" spans="1:6">
      <c r="D95" s="26">
        <v>41491</v>
      </c>
      <c r="E95">
        <v>40</v>
      </c>
      <c r="F95">
        <v>85</v>
      </c>
    </row>
    <row r="96" spans="1:6">
      <c r="A96" t="s">
        <v>82</v>
      </c>
      <c r="B96">
        <v>10011965</v>
      </c>
      <c r="C96" t="s">
        <v>81</v>
      </c>
      <c r="D96" s="26">
        <v>41639</v>
      </c>
      <c r="E96">
        <v>35</v>
      </c>
      <c r="F96">
        <v>85</v>
      </c>
    </row>
    <row r="97" spans="1:6">
      <c r="A97" t="s">
        <v>231</v>
      </c>
      <c r="B97">
        <v>10029414</v>
      </c>
      <c r="C97" t="s">
        <v>230</v>
      </c>
      <c r="D97" s="26">
        <v>41008</v>
      </c>
      <c r="E97">
        <v>60</v>
      </c>
      <c r="F97">
        <v>85</v>
      </c>
    </row>
    <row r="98" spans="1:6">
      <c r="A98" t="s">
        <v>207</v>
      </c>
      <c r="B98">
        <v>10024482</v>
      </c>
      <c r="C98" t="s">
        <v>206</v>
      </c>
      <c r="D98" s="26">
        <v>40365</v>
      </c>
      <c r="E98">
        <v>40</v>
      </c>
      <c r="F98">
        <v>0</v>
      </c>
    </row>
    <row r="99" spans="1:6">
      <c r="A99" t="s">
        <v>282</v>
      </c>
      <c r="B99">
        <v>10022749</v>
      </c>
      <c r="C99" t="s">
        <v>307</v>
      </c>
      <c r="D99" s="26">
        <v>40994</v>
      </c>
      <c r="E99">
        <v>50</v>
      </c>
      <c r="F99">
        <v>85</v>
      </c>
    </row>
    <row r="100" spans="1:6">
      <c r="A100" t="s">
        <v>283</v>
      </c>
      <c r="B100">
        <v>10002342</v>
      </c>
      <c r="C100" t="s">
        <v>308</v>
      </c>
      <c r="D100" s="26">
        <v>41130</v>
      </c>
      <c r="E100">
        <v>0</v>
      </c>
      <c r="F100">
        <v>85</v>
      </c>
    </row>
    <row r="101" spans="1:6">
      <c r="A101" t="s">
        <v>284</v>
      </c>
      <c r="B101">
        <v>10029777</v>
      </c>
      <c r="C101" t="s">
        <v>309</v>
      </c>
      <c r="D101" s="26">
        <v>41498</v>
      </c>
      <c r="E101">
        <v>28</v>
      </c>
      <c r="F101">
        <v>85</v>
      </c>
    </row>
    <row r="102" spans="1:6">
      <c r="A102" t="s">
        <v>285</v>
      </c>
      <c r="B102">
        <v>10031135</v>
      </c>
      <c r="C102" t="s">
        <v>310</v>
      </c>
      <c r="D102" s="26">
        <v>41481</v>
      </c>
      <c r="E102">
        <v>45</v>
      </c>
      <c r="F102">
        <v>85</v>
      </c>
    </row>
    <row r="103" spans="1:6">
      <c r="A103" t="s">
        <v>287</v>
      </c>
      <c r="B103">
        <v>10002651</v>
      </c>
      <c r="C103" t="s">
        <v>313</v>
      </c>
      <c r="D103" s="26">
        <v>40977</v>
      </c>
      <c r="E103">
        <v>90</v>
      </c>
      <c r="F103">
        <v>85</v>
      </c>
    </row>
    <row r="104" spans="1:6">
      <c r="D104" s="26">
        <v>41464</v>
      </c>
      <c r="E104">
        <v>65</v>
      </c>
      <c r="F104">
        <v>85</v>
      </c>
    </row>
    <row r="105" spans="1:6">
      <c r="A105" t="s">
        <v>288</v>
      </c>
      <c r="B105">
        <v>10022502</v>
      </c>
      <c r="C105" t="s">
        <v>314</v>
      </c>
      <c r="D105" s="26">
        <v>41212</v>
      </c>
      <c r="E105">
        <v>60</v>
      </c>
      <c r="F105">
        <v>85</v>
      </c>
    </row>
    <row r="106" spans="1:6">
      <c r="D106" s="26">
        <v>41429</v>
      </c>
      <c r="E106">
        <v>60</v>
      </c>
      <c r="F106">
        <v>85</v>
      </c>
    </row>
    <row r="107" spans="1:6">
      <c r="A107" t="s">
        <v>291</v>
      </c>
      <c r="B107">
        <v>10029303</v>
      </c>
      <c r="C107" t="s">
        <v>318</v>
      </c>
      <c r="D107" s="26">
        <v>40985</v>
      </c>
      <c r="E107">
        <v>60</v>
      </c>
      <c r="F107">
        <v>85</v>
      </c>
    </row>
    <row r="108" spans="1:6">
      <c r="A108" t="s">
        <v>292</v>
      </c>
      <c r="B108">
        <v>10016624</v>
      </c>
      <c r="C108" t="s">
        <v>319</v>
      </c>
      <c r="D108" s="26">
        <v>40984</v>
      </c>
      <c r="E108">
        <v>45</v>
      </c>
      <c r="F108">
        <v>85</v>
      </c>
    </row>
    <row r="109" spans="1:6">
      <c r="A109" t="s">
        <v>293</v>
      </c>
      <c r="B109">
        <v>10019574</v>
      </c>
      <c r="C109" t="s">
        <v>320</v>
      </c>
      <c r="D109" s="26">
        <v>40955</v>
      </c>
      <c r="E109">
        <v>0</v>
      </c>
      <c r="F109">
        <v>85</v>
      </c>
    </row>
    <row r="110" spans="1:6">
      <c r="D110" s="26">
        <v>41501</v>
      </c>
      <c r="E110">
        <v>42</v>
      </c>
      <c r="F110">
        <v>85</v>
      </c>
    </row>
    <row r="111" spans="1:6">
      <c r="A111" t="s">
        <v>294</v>
      </c>
      <c r="B111">
        <v>10022079</v>
      </c>
      <c r="C111" t="s">
        <v>321</v>
      </c>
      <c r="D111" s="26">
        <v>41187</v>
      </c>
      <c r="E111">
        <v>0</v>
      </c>
      <c r="F111">
        <v>85</v>
      </c>
    </row>
    <row r="112" spans="1:6">
      <c r="D112" s="26">
        <v>41501</v>
      </c>
      <c r="E112">
        <v>65</v>
      </c>
      <c r="F112">
        <v>85</v>
      </c>
    </row>
    <row r="113" spans="1:6">
      <c r="A113" t="s">
        <v>295</v>
      </c>
      <c r="B113">
        <v>10016946</v>
      </c>
      <c r="C113" t="s">
        <v>322</v>
      </c>
      <c r="D113" s="26">
        <v>40974</v>
      </c>
      <c r="E113">
        <v>60</v>
      </c>
      <c r="F113">
        <v>85</v>
      </c>
    </row>
    <row r="114" spans="1:6">
      <c r="A114" t="s">
        <v>296</v>
      </c>
      <c r="B114">
        <v>10018146</v>
      </c>
      <c r="C114" t="s">
        <v>323</v>
      </c>
      <c r="D114" s="26">
        <v>41017</v>
      </c>
      <c r="E114">
        <v>35</v>
      </c>
      <c r="F114">
        <v>85</v>
      </c>
    </row>
    <row r="115" spans="1:6">
      <c r="A115" t="s">
        <v>297</v>
      </c>
      <c r="B115">
        <v>10023289</v>
      </c>
      <c r="C115" t="s">
        <v>324</v>
      </c>
      <c r="D115" s="26">
        <v>40156</v>
      </c>
      <c r="E115">
        <v>40</v>
      </c>
      <c r="F115">
        <v>0</v>
      </c>
    </row>
    <row r="116" spans="1:6">
      <c r="A116" t="s">
        <v>298</v>
      </c>
      <c r="B116">
        <v>10008580</v>
      </c>
      <c r="C116" t="s">
        <v>325</v>
      </c>
      <c r="D116" s="26">
        <v>40980</v>
      </c>
      <c r="E116">
        <v>50</v>
      </c>
      <c r="F116">
        <v>85</v>
      </c>
    </row>
    <row r="117" spans="1:6">
      <c r="D117" s="26">
        <v>41501</v>
      </c>
      <c r="E117">
        <v>28</v>
      </c>
      <c r="F117">
        <v>85</v>
      </c>
    </row>
    <row r="118" spans="1:6">
      <c r="A118" t="s">
        <v>300</v>
      </c>
      <c r="B118">
        <v>10031100</v>
      </c>
      <c r="C118" t="s">
        <v>327</v>
      </c>
      <c r="D118" s="26">
        <v>41570</v>
      </c>
      <c r="E118">
        <v>60</v>
      </c>
      <c r="F118">
        <v>0</v>
      </c>
    </row>
    <row r="119" spans="1:6">
      <c r="A119" t="s">
        <v>303</v>
      </c>
      <c r="B119">
        <v>10017281</v>
      </c>
      <c r="C119" t="s">
        <v>331</v>
      </c>
      <c r="D119" s="26">
        <v>41075</v>
      </c>
      <c r="E119">
        <v>35</v>
      </c>
      <c r="F119">
        <v>85</v>
      </c>
    </row>
    <row r="120" spans="1:6">
      <c r="A120" t="s">
        <v>304</v>
      </c>
      <c r="B120">
        <v>10029658</v>
      </c>
      <c r="C120" t="s">
        <v>332</v>
      </c>
      <c r="D120" s="26">
        <v>41137</v>
      </c>
      <c r="E120">
        <v>0</v>
      </c>
      <c r="F120">
        <v>85</v>
      </c>
    </row>
    <row r="121" spans="1:6">
      <c r="D121" s="26">
        <v>41491</v>
      </c>
      <c r="E121">
        <v>30</v>
      </c>
      <c r="F121">
        <v>85</v>
      </c>
    </row>
    <row r="122" spans="1:6">
      <c r="A122" t="s">
        <v>360</v>
      </c>
      <c r="B122">
        <v>10017563</v>
      </c>
      <c r="C122" t="s">
        <v>359</v>
      </c>
      <c r="D122" s="26">
        <v>40939</v>
      </c>
      <c r="E122">
        <v>35</v>
      </c>
      <c r="F122">
        <v>85</v>
      </c>
    </row>
    <row r="123" spans="1:6">
      <c r="D123" s="26">
        <v>41578</v>
      </c>
      <c r="E123">
        <v>28</v>
      </c>
      <c r="F123">
        <v>85</v>
      </c>
    </row>
    <row r="124" spans="1:6">
      <c r="A124" t="s">
        <v>362</v>
      </c>
      <c r="B124">
        <v>10013329</v>
      </c>
      <c r="C124" t="s">
        <v>361</v>
      </c>
      <c r="D124" s="26">
        <v>41453</v>
      </c>
      <c r="E124">
        <v>0</v>
      </c>
      <c r="F124">
        <v>85</v>
      </c>
    </row>
    <row r="125" spans="1:6">
      <c r="D125" s="26">
        <v>41500</v>
      </c>
      <c r="E125">
        <v>35</v>
      </c>
      <c r="F125">
        <v>85</v>
      </c>
    </row>
    <row r="126" spans="1:6">
      <c r="A126" t="s">
        <v>364</v>
      </c>
      <c r="B126">
        <v>10017653</v>
      </c>
      <c r="C126" t="s">
        <v>363</v>
      </c>
      <c r="D126" s="26">
        <v>40981</v>
      </c>
      <c r="E126">
        <v>35</v>
      </c>
      <c r="F126">
        <v>85</v>
      </c>
    </row>
    <row r="127" spans="1:6">
      <c r="D127" s="26">
        <v>41548</v>
      </c>
      <c r="E127">
        <v>40</v>
      </c>
      <c r="F127">
        <v>85</v>
      </c>
    </row>
    <row r="128" spans="1:6">
      <c r="A128" t="s">
        <v>366</v>
      </c>
      <c r="B128">
        <v>10028963</v>
      </c>
      <c r="C128" t="s">
        <v>365</v>
      </c>
      <c r="D128" s="26">
        <v>41505</v>
      </c>
      <c r="E128">
        <v>40</v>
      </c>
      <c r="F128">
        <v>85</v>
      </c>
    </row>
    <row r="129" spans="1:6">
      <c r="A129" t="s">
        <v>368</v>
      </c>
      <c r="B129">
        <v>10008186</v>
      </c>
      <c r="C129" t="s">
        <v>367</v>
      </c>
      <c r="D129" s="26">
        <v>41017</v>
      </c>
      <c r="E129">
        <v>35</v>
      </c>
      <c r="F129">
        <v>85</v>
      </c>
    </row>
    <row r="130" spans="1:6">
      <c r="D130" s="26">
        <v>41502</v>
      </c>
      <c r="E130">
        <v>40</v>
      </c>
      <c r="F130">
        <v>85</v>
      </c>
    </row>
    <row r="131" spans="1:6">
      <c r="A131" t="s">
        <v>370</v>
      </c>
      <c r="B131">
        <v>10017048</v>
      </c>
      <c r="C131" t="s">
        <v>369</v>
      </c>
      <c r="D131" s="26">
        <v>40911</v>
      </c>
      <c r="E131">
        <v>35</v>
      </c>
      <c r="F131">
        <v>85</v>
      </c>
    </row>
    <row r="132" spans="1:6">
      <c r="A132" t="s">
        <v>376</v>
      </c>
      <c r="B132">
        <v>10022381</v>
      </c>
      <c r="C132" t="s">
        <v>375</v>
      </c>
      <c r="D132" s="26">
        <v>41499</v>
      </c>
      <c r="E132">
        <v>28</v>
      </c>
      <c r="F132">
        <v>85</v>
      </c>
    </row>
    <row r="133" spans="1:6">
      <c r="A133" t="s">
        <v>378</v>
      </c>
      <c r="B133">
        <v>10025892</v>
      </c>
      <c r="C133" t="s">
        <v>377</v>
      </c>
      <c r="D133" s="26">
        <v>41015</v>
      </c>
      <c r="E133">
        <v>35</v>
      </c>
      <c r="F133">
        <v>85</v>
      </c>
    </row>
    <row r="134" spans="1:6">
      <c r="D134" s="26">
        <v>41465</v>
      </c>
      <c r="E134">
        <v>35</v>
      </c>
      <c r="F134">
        <v>85</v>
      </c>
    </row>
    <row r="135" spans="1:6">
      <c r="D135" s="26">
        <v>41571</v>
      </c>
      <c r="E135">
        <v>28</v>
      </c>
      <c r="F135">
        <v>85</v>
      </c>
    </row>
    <row r="136" spans="1:6">
      <c r="A136" t="s">
        <v>380</v>
      </c>
      <c r="B136">
        <v>10002652</v>
      </c>
      <c r="C136" t="s">
        <v>379</v>
      </c>
      <c r="D136" s="26">
        <v>41497</v>
      </c>
      <c r="E136">
        <v>0</v>
      </c>
      <c r="F136">
        <v>85</v>
      </c>
    </row>
    <row r="137" spans="1:6">
      <c r="A137" t="s">
        <v>382</v>
      </c>
      <c r="B137">
        <v>10020286</v>
      </c>
      <c r="C137" t="s">
        <v>381</v>
      </c>
      <c r="D137" s="26">
        <v>41134</v>
      </c>
      <c r="E137">
        <v>45</v>
      </c>
      <c r="F137">
        <v>85</v>
      </c>
    </row>
    <row r="138" spans="1:6">
      <c r="A138" t="s">
        <v>386</v>
      </c>
      <c r="B138">
        <v>10029172</v>
      </c>
      <c r="C138" t="s">
        <v>385</v>
      </c>
      <c r="D138" s="26">
        <v>41103</v>
      </c>
      <c r="E138">
        <v>35</v>
      </c>
      <c r="F138">
        <v>85</v>
      </c>
    </row>
    <row r="139" spans="1:6">
      <c r="D139" s="26">
        <v>41506</v>
      </c>
      <c r="E139">
        <v>42</v>
      </c>
      <c r="F139">
        <v>85</v>
      </c>
    </row>
    <row r="140" spans="1:6">
      <c r="A140" t="s">
        <v>388</v>
      </c>
      <c r="B140">
        <v>10017330</v>
      </c>
      <c r="C140" t="s">
        <v>387</v>
      </c>
      <c r="D140" s="26">
        <v>40967</v>
      </c>
      <c r="E140">
        <v>35</v>
      </c>
      <c r="F140">
        <v>85</v>
      </c>
    </row>
    <row r="141" spans="1:6">
      <c r="A141" t="s">
        <v>390</v>
      </c>
      <c r="B141">
        <v>10016399</v>
      </c>
      <c r="C141" t="s">
        <v>389</v>
      </c>
      <c r="D141" s="26">
        <v>41529</v>
      </c>
      <c r="E141">
        <v>28</v>
      </c>
      <c r="F141">
        <v>85</v>
      </c>
    </row>
    <row r="142" spans="1:6">
      <c r="A142" t="s">
        <v>392</v>
      </c>
      <c r="B142">
        <v>10030364</v>
      </c>
      <c r="C142" t="s">
        <v>391</v>
      </c>
      <c r="D142" s="26">
        <v>41498</v>
      </c>
      <c r="E142">
        <v>28</v>
      </c>
      <c r="F142">
        <v>85</v>
      </c>
    </row>
    <row r="143" spans="1:6">
      <c r="D143" s="26">
        <v>41554</v>
      </c>
      <c r="E143">
        <v>28</v>
      </c>
      <c r="F143">
        <v>85</v>
      </c>
    </row>
    <row r="144" spans="1:6">
      <c r="D144" s="26">
        <v>41558</v>
      </c>
      <c r="E144">
        <v>35</v>
      </c>
      <c r="F144">
        <v>85</v>
      </c>
    </row>
    <row r="145" spans="1:6">
      <c r="D145" s="26">
        <v>41595</v>
      </c>
      <c r="E145">
        <v>28</v>
      </c>
      <c r="F145">
        <v>95</v>
      </c>
    </row>
    <row r="146" spans="1:6">
      <c r="A146" t="s">
        <v>398</v>
      </c>
      <c r="B146">
        <v>10030568</v>
      </c>
      <c r="C146" t="s">
        <v>397</v>
      </c>
      <c r="D146" s="26">
        <v>41691</v>
      </c>
      <c r="E146">
        <v>28</v>
      </c>
      <c r="F146">
        <v>85</v>
      </c>
    </row>
    <row r="147" spans="1:6">
      <c r="A147" t="s">
        <v>400</v>
      </c>
      <c r="B147">
        <v>10020182</v>
      </c>
      <c r="C147" t="s">
        <v>399</v>
      </c>
      <c r="D147" s="26">
        <v>41542</v>
      </c>
      <c r="E147">
        <v>35</v>
      </c>
      <c r="F147">
        <v>85</v>
      </c>
    </row>
    <row r="148" spans="1:6">
      <c r="A148" t="s">
        <v>402</v>
      </c>
      <c r="B148">
        <v>10016243</v>
      </c>
      <c r="C148" t="s">
        <v>401</v>
      </c>
      <c r="D148" s="26">
        <v>41508</v>
      </c>
      <c r="E148">
        <v>45</v>
      </c>
      <c r="F148">
        <v>85</v>
      </c>
    </row>
    <row r="149" spans="1:6">
      <c r="A149" t="s">
        <v>406</v>
      </c>
      <c r="B149">
        <v>10002633</v>
      </c>
      <c r="C149" t="s">
        <v>405</v>
      </c>
      <c r="D149" s="26">
        <v>41711</v>
      </c>
      <c r="E149">
        <v>35</v>
      </c>
      <c r="F149">
        <v>85</v>
      </c>
    </row>
    <row r="150" spans="1:6">
      <c r="B150">
        <v>10021612</v>
      </c>
      <c r="C150" t="s">
        <v>407</v>
      </c>
      <c r="D150" s="26">
        <v>41711</v>
      </c>
      <c r="E150">
        <v>35</v>
      </c>
      <c r="F150">
        <v>85</v>
      </c>
    </row>
    <row r="151" spans="1:6">
      <c r="A151" t="s">
        <v>409</v>
      </c>
      <c r="B151">
        <v>10018846</v>
      </c>
      <c r="C151" t="s">
        <v>408</v>
      </c>
      <c r="D151" s="26">
        <v>41449</v>
      </c>
      <c r="E151">
        <v>0</v>
      </c>
      <c r="F151">
        <v>85</v>
      </c>
    </row>
    <row r="152" spans="1:6">
      <c r="A152" t="s">
        <v>411</v>
      </c>
      <c r="B152">
        <v>10018870</v>
      </c>
      <c r="C152" t="s">
        <v>410</v>
      </c>
      <c r="D152" s="26">
        <v>41001</v>
      </c>
      <c r="E152">
        <v>35</v>
      </c>
      <c r="F152">
        <v>85</v>
      </c>
    </row>
    <row r="153" spans="1:6">
      <c r="A153" t="s">
        <v>413</v>
      </c>
      <c r="B153">
        <v>10025993</v>
      </c>
      <c r="C153" t="s">
        <v>412</v>
      </c>
      <c r="D153" s="26">
        <v>41346</v>
      </c>
      <c r="E153">
        <v>0</v>
      </c>
      <c r="F153">
        <v>85</v>
      </c>
    </row>
    <row r="154" spans="1:6">
      <c r="A154" t="s">
        <v>415</v>
      </c>
      <c r="B154">
        <v>10016059</v>
      </c>
      <c r="C154" t="s">
        <v>414</v>
      </c>
      <c r="D154" s="26">
        <v>40969</v>
      </c>
      <c r="E154">
        <v>35</v>
      </c>
      <c r="F154">
        <v>85</v>
      </c>
    </row>
    <row r="155" spans="1:6">
      <c r="A155" t="s">
        <v>417</v>
      </c>
      <c r="B155">
        <v>10015734</v>
      </c>
      <c r="C155" t="s">
        <v>416</v>
      </c>
      <c r="D155" s="26">
        <v>41155</v>
      </c>
      <c r="E155">
        <v>35</v>
      </c>
      <c r="F155">
        <v>85</v>
      </c>
    </row>
    <row r="156" spans="1:6">
      <c r="D156" s="26">
        <v>41505</v>
      </c>
      <c r="E156">
        <v>28</v>
      </c>
      <c r="F156">
        <v>85</v>
      </c>
    </row>
    <row r="157" spans="1:6">
      <c r="A157" t="s">
        <v>419</v>
      </c>
      <c r="B157">
        <v>10016307</v>
      </c>
      <c r="C157" t="s">
        <v>418</v>
      </c>
      <c r="D157" s="26">
        <v>40927</v>
      </c>
      <c r="E157">
        <v>35</v>
      </c>
      <c r="F157">
        <v>85</v>
      </c>
    </row>
    <row r="158" spans="1:6">
      <c r="A158" t="s">
        <v>421</v>
      </c>
      <c r="B158">
        <v>10018295</v>
      </c>
      <c r="C158" t="s">
        <v>420</v>
      </c>
      <c r="D158" s="26">
        <v>41050</v>
      </c>
      <c r="E158">
        <v>60</v>
      </c>
      <c r="F158">
        <v>85</v>
      </c>
    </row>
    <row r="159" spans="1:6">
      <c r="A159" t="s">
        <v>423</v>
      </c>
      <c r="B159">
        <v>10018137</v>
      </c>
      <c r="C159" t="s">
        <v>422</v>
      </c>
      <c r="D159" s="26">
        <v>40978</v>
      </c>
      <c r="E159">
        <v>35</v>
      </c>
      <c r="F159">
        <v>85</v>
      </c>
    </row>
    <row r="160" spans="1:6">
      <c r="B160">
        <v>10006704</v>
      </c>
      <c r="C160" t="s">
        <v>424</v>
      </c>
      <c r="D160" s="26">
        <v>40973</v>
      </c>
      <c r="E160">
        <v>35</v>
      </c>
      <c r="F160">
        <v>85</v>
      </c>
    </row>
    <row r="161" spans="1:6">
      <c r="A161" t="s">
        <v>426</v>
      </c>
      <c r="B161">
        <v>10011097</v>
      </c>
      <c r="C161" t="s">
        <v>425</v>
      </c>
      <c r="D161" s="26">
        <v>41043</v>
      </c>
      <c r="E161">
        <v>35</v>
      </c>
      <c r="F161">
        <v>85</v>
      </c>
    </row>
    <row r="162" spans="1:6">
      <c r="D162" s="26">
        <v>41558</v>
      </c>
      <c r="E162">
        <v>35</v>
      </c>
      <c r="F162">
        <v>85</v>
      </c>
    </row>
    <row r="163" spans="1:6">
      <c r="A163" t="s">
        <v>428</v>
      </c>
      <c r="B163">
        <v>10011964</v>
      </c>
      <c r="C163" t="s">
        <v>427</v>
      </c>
      <c r="D163" s="26">
        <v>41194</v>
      </c>
      <c r="E163">
        <v>35</v>
      </c>
      <c r="F163">
        <v>85</v>
      </c>
    </row>
    <row r="164" spans="1:6">
      <c r="A164" t="s">
        <v>430</v>
      </c>
      <c r="B164">
        <v>10025348</v>
      </c>
      <c r="C164" t="s">
        <v>429</v>
      </c>
      <c r="D164" s="26">
        <v>41374</v>
      </c>
      <c r="E164">
        <v>35</v>
      </c>
      <c r="F164">
        <v>85</v>
      </c>
    </row>
    <row r="165" spans="1:6">
      <c r="A165" t="s">
        <v>432</v>
      </c>
      <c r="B165">
        <v>10029992</v>
      </c>
      <c r="C165" t="s">
        <v>431</v>
      </c>
      <c r="D165" s="26">
        <v>41283</v>
      </c>
      <c r="E165">
        <v>35</v>
      </c>
      <c r="F165">
        <v>85</v>
      </c>
    </row>
    <row r="166" spans="1:6">
      <c r="D166" s="26">
        <v>41469</v>
      </c>
      <c r="E166">
        <v>28</v>
      </c>
      <c r="F166">
        <v>85</v>
      </c>
    </row>
    <row r="167" spans="1:6">
      <c r="A167" t="s">
        <v>508</v>
      </c>
      <c r="B167">
        <v>10018727</v>
      </c>
      <c r="C167" t="s">
        <v>507</v>
      </c>
      <c r="D167" s="26">
        <v>41075</v>
      </c>
      <c r="E167">
        <v>60</v>
      </c>
      <c r="F167">
        <v>85</v>
      </c>
    </row>
    <row r="168" spans="1:6">
      <c r="A168" t="s">
        <v>548</v>
      </c>
      <c r="B168">
        <v>10018644</v>
      </c>
      <c r="C168" t="s">
        <v>547</v>
      </c>
      <c r="D168" s="26">
        <v>40268</v>
      </c>
      <c r="E168">
        <v>40</v>
      </c>
      <c r="F168">
        <v>0</v>
      </c>
    </row>
    <row r="169" spans="1:6">
      <c r="A169" t="s">
        <v>550</v>
      </c>
      <c r="B169">
        <v>10011867</v>
      </c>
      <c r="C169" t="s">
        <v>549</v>
      </c>
      <c r="D169" s="26">
        <v>41038</v>
      </c>
      <c r="E169">
        <v>42</v>
      </c>
      <c r="F169">
        <v>85</v>
      </c>
    </row>
    <row r="170" spans="1:6">
      <c r="A170" t="s">
        <v>599</v>
      </c>
      <c r="B170">
        <v>10011176</v>
      </c>
      <c r="C170" t="s">
        <v>598</v>
      </c>
      <c r="D170" s="26">
        <v>41020</v>
      </c>
      <c r="E170">
        <v>35</v>
      </c>
      <c r="F170">
        <v>85</v>
      </c>
    </row>
    <row r="171" spans="1:6">
      <c r="A171" t="s">
        <v>613</v>
      </c>
      <c r="B171">
        <v>10008043</v>
      </c>
      <c r="C171" t="s">
        <v>612</v>
      </c>
      <c r="D171" s="26">
        <v>41283</v>
      </c>
      <c r="E171">
        <v>60</v>
      </c>
      <c r="F171">
        <v>85</v>
      </c>
    </row>
    <row r="172" spans="1:6">
      <c r="A172" t="s">
        <v>616</v>
      </c>
      <c r="B172">
        <v>10029677</v>
      </c>
      <c r="C172" t="s">
        <v>615</v>
      </c>
      <c r="D172" s="26">
        <v>41092</v>
      </c>
      <c r="E172">
        <v>60</v>
      </c>
      <c r="F172">
        <v>85</v>
      </c>
    </row>
    <row r="173" spans="1:6">
      <c r="A173" t="s">
        <v>618</v>
      </c>
      <c r="B173">
        <v>10017880</v>
      </c>
      <c r="C173" t="s">
        <v>617</v>
      </c>
      <c r="D173" s="26">
        <v>40875</v>
      </c>
      <c r="E173">
        <v>60</v>
      </c>
      <c r="F173">
        <v>85</v>
      </c>
    </row>
    <row r="174" spans="1:6">
      <c r="A174" t="s">
        <v>622</v>
      </c>
      <c r="B174">
        <v>10021150</v>
      </c>
      <c r="C174" t="s">
        <v>621</v>
      </c>
      <c r="D174" s="26">
        <v>41068</v>
      </c>
      <c r="E174">
        <v>60</v>
      </c>
      <c r="F174">
        <v>85</v>
      </c>
    </row>
    <row r="175" spans="1:6">
      <c r="A175" t="s">
        <v>626</v>
      </c>
      <c r="B175">
        <v>10022890</v>
      </c>
      <c r="C175" t="s">
        <v>625</v>
      </c>
      <c r="D175" s="26">
        <v>40716</v>
      </c>
      <c r="E175">
        <v>60</v>
      </c>
      <c r="F175">
        <v>85</v>
      </c>
    </row>
    <row r="176" spans="1:6">
      <c r="A176" t="s">
        <v>631</v>
      </c>
      <c r="B176">
        <v>10029672</v>
      </c>
      <c r="C176" t="s">
        <v>630</v>
      </c>
      <c r="D176" s="26">
        <v>41145</v>
      </c>
      <c r="E176">
        <v>60</v>
      </c>
      <c r="F176">
        <v>85</v>
      </c>
    </row>
    <row r="177" spans="1:6">
      <c r="D177" s="26">
        <v>41171</v>
      </c>
      <c r="E177">
        <v>60</v>
      </c>
      <c r="F177">
        <v>85</v>
      </c>
    </row>
    <row r="178" spans="1:6">
      <c r="A178" t="s">
        <v>633</v>
      </c>
      <c r="B178">
        <v>10023158</v>
      </c>
      <c r="C178" t="s">
        <v>632</v>
      </c>
      <c r="D178" s="26">
        <v>41057</v>
      </c>
      <c r="E178">
        <v>60</v>
      </c>
      <c r="F178">
        <v>85</v>
      </c>
    </row>
    <row r="179" spans="1:6">
      <c r="A179" t="s">
        <v>635</v>
      </c>
      <c r="B179">
        <v>10029930</v>
      </c>
      <c r="C179" t="s">
        <v>634</v>
      </c>
      <c r="D179" s="26">
        <v>41159</v>
      </c>
      <c r="E179">
        <v>60</v>
      </c>
      <c r="F179">
        <v>85</v>
      </c>
    </row>
    <row r="180" spans="1:6">
      <c r="A180" t="s">
        <v>637</v>
      </c>
      <c r="B180">
        <v>10030978</v>
      </c>
      <c r="C180" t="s">
        <v>636</v>
      </c>
      <c r="D180" s="26">
        <v>41501</v>
      </c>
      <c r="E180">
        <v>60</v>
      </c>
      <c r="F180">
        <v>85</v>
      </c>
    </row>
    <row r="181" spans="1:6">
      <c r="A181" t="s">
        <v>647</v>
      </c>
      <c r="B181">
        <v>10023371</v>
      </c>
      <c r="C181" t="s">
        <v>646</v>
      </c>
      <c r="D181" s="26">
        <v>40788</v>
      </c>
      <c r="E181">
        <v>60</v>
      </c>
      <c r="F181">
        <v>85</v>
      </c>
    </row>
    <row r="182" spans="1:6">
      <c r="A182" t="s">
        <v>651</v>
      </c>
      <c r="B182">
        <v>10014732</v>
      </c>
      <c r="C182" t="s">
        <v>650</v>
      </c>
      <c r="D182" s="26">
        <v>40837</v>
      </c>
      <c r="E182">
        <v>60</v>
      </c>
      <c r="F182">
        <v>85</v>
      </c>
    </row>
    <row r="183" spans="1:6">
      <c r="A183" t="s">
        <v>653</v>
      </c>
      <c r="B183">
        <v>10026044</v>
      </c>
      <c r="C183" t="s">
        <v>652</v>
      </c>
      <c r="D183" s="26">
        <v>40674</v>
      </c>
      <c r="E183">
        <v>60</v>
      </c>
      <c r="F183">
        <v>0</v>
      </c>
    </row>
    <row r="184" spans="1:6">
      <c r="A184" t="s">
        <v>254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B1:D67"/>
  <sheetViews>
    <sheetView showGridLines="0" workbookViewId="0">
      <selection activeCell="B45" sqref="B45"/>
    </sheetView>
  </sheetViews>
  <sheetFormatPr defaultRowHeight="15"/>
  <cols>
    <col min="1" max="1" width="2.85546875" customWidth="1"/>
    <col min="2" max="2" width="22" customWidth="1"/>
    <col min="3" max="3" width="68.7109375" customWidth="1"/>
    <col min="4" max="4" width="30.7109375" customWidth="1"/>
  </cols>
  <sheetData>
    <row r="1" spans="2:4" ht="6.75" customHeight="1"/>
    <row r="2" spans="2:4" ht="18.75">
      <c r="B2" s="29" t="s">
        <v>656</v>
      </c>
    </row>
    <row r="3" spans="2:4" ht="7.5" customHeight="1"/>
    <row r="4" spans="2:4">
      <c r="B4" s="27" t="s">
        <v>657</v>
      </c>
      <c r="C4" s="27" t="s">
        <v>658</v>
      </c>
      <c r="D4" s="27" t="s">
        <v>659</v>
      </c>
    </row>
    <row r="5" spans="2:4">
      <c r="B5" s="7" t="s">
        <v>435</v>
      </c>
      <c r="C5" s="28"/>
      <c r="D5" s="28"/>
    </row>
    <row r="6" spans="2:4">
      <c r="B6" s="7" t="s">
        <v>0</v>
      </c>
      <c r="C6" s="28"/>
      <c r="D6" s="28"/>
    </row>
    <row r="7" spans="2:4">
      <c r="B7" s="7" t="s">
        <v>1</v>
      </c>
      <c r="C7" s="28"/>
      <c r="D7" s="28"/>
    </row>
    <row r="8" spans="2:4">
      <c r="B8" s="7" t="s">
        <v>2</v>
      </c>
      <c r="C8" s="28"/>
      <c r="D8" s="28"/>
    </row>
    <row r="9" spans="2:4">
      <c r="B9" s="7" t="s">
        <v>436</v>
      </c>
      <c r="C9" s="28"/>
      <c r="D9" s="28"/>
    </row>
    <row r="10" spans="2:4">
      <c r="B10" s="7" t="s">
        <v>437</v>
      </c>
      <c r="C10" s="28"/>
      <c r="D10" s="28"/>
    </row>
    <row r="11" spans="2:4">
      <c r="B11" s="7" t="s">
        <v>438</v>
      </c>
      <c r="C11" s="28"/>
      <c r="D11" s="28"/>
    </row>
    <row r="12" spans="2:4">
      <c r="B12" s="7" t="s">
        <v>439</v>
      </c>
      <c r="C12" s="28"/>
      <c r="D12" s="28"/>
    </row>
    <row r="13" spans="2:4">
      <c r="B13" s="7" t="s">
        <v>3</v>
      </c>
      <c r="C13" s="28"/>
      <c r="D13" s="28"/>
    </row>
    <row r="14" spans="2:4">
      <c r="B14" s="7" t="s">
        <v>440</v>
      </c>
      <c r="C14" s="28"/>
      <c r="D14" s="28"/>
    </row>
    <row r="15" spans="2:4">
      <c r="B15" s="7" t="s">
        <v>4</v>
      </c>
      <c r="C15" s="28"/>
      <c r="D15" s="28"/>
    </row>
    <row r="16" spans="2:4">
      <c r="B16" s="7" t="s">
        <v>441</v>
      </c>
      <c r="C16" s="28"/>
      <c r="D16" s="28"/>
    </row>
    <row r="17" spans="2:4">
      <c r="B17" s="7" t="s">
        <v>442</v>
      </c>
      <c r="C17" s="28"/>
      <c r="D17" s="28"/>
    </row>
    <row r="18" spans="2:4">
      <c r="B18" s="7" t="s">
        <v>443</v>
      </c>
      <c r="C18" s="28"/>
      <c r="D18" s="28"/>
    </row>
    <row r="19" spans="2:4">
      <c r="B19" s="7" t="s">
        <v>444</v>
      </c>
      <c r="C19" s="28"/>
      <c r="D19" s="28"/>
    </row>
    <row r="20" spans="2:4">
      <c r="B20" s="7" t="s">
        <v>445</v>
      </c>
      <c r="C20" s="28"/>
      <c r="D20" s="28"/>
    </row>
    <row r="21" spans="2:4">
      <c r="B21" s="7" t="s">
        <v>5</v>
      </c>
      <c r="C21" s="28"/>
      <c r="D21" s="28"/>
    </row>
    <row r="22" spans="2:4">
      <c r="B22" s="7" t="s">
        <v>6</v>
      </c>
      <c r="C22" s="28"/>
      <c r="D22" s="28"/>
    </row>
    <row r="23" spans="2:4">
      <c r="B23" s="7" t="s">
        <v>7</v>
      </c>
      <c r="C23" s="28"/>
      <c r="D23" s="28"/>
    </row>
    <row r="24" spans="2:4">
      <c r="B24" s="7" t="s">
        <v>8</v>
      </c>
      <c r="C24" s="28"/>
      <c r="D24" s="28"/>
    </row>
    <row r="25" spans="2:4">
      <c r="B25" s="7" t="s">
        <v>9</v>
      </c>
      <c r="C25" s="28"/>
      <c r="D25" s="28"/>
    </row>
    <row r="26" spans="2:4">
      <c r="B26" s="7" t="s">
        <v>10</v>
      </c>
      <c r="C26" s="28"/>
      <c r="D26" s="28"/>
    </row>
    <row r="27" spans="2:4">
      <c r="B27" s="7" t="s">
        <v>446</v>
      </c>
      <c r="C27" s="28"/>
      <c r="D27" s="28"/>
    </row>
    <row r="28" spans="2:4">
      <c r="B28" s="7" t="s">
        <v>447</v>
      </c>
      <c r="C28" s="28"/>
      <c r="D28" s="28"/>
    </row>
    <row r="29" spans="2:4">
      <c r="B29" s="7" t="s">
        <v>448</v>
      </c>
      <c r="C29" s="28"/>
      <c r="D29" s="28"/>
    </row>
    <row r="30" spans="2:4">
      <c r="B30" s="7" t="s">
        <v>449</v>
      </c>
      <c r="C30" s="28"/>
      <c r="D30" s="28"/>
    </row>
    <row r="31" spans="2:4">
      <c r="B31" s="7" t="s">
        <v>450</v>
      </c>
      <c r="C31" s="28"/>
      <c r="D31" s="28"/>
    </row>
    <row r="32" spans="2:4">
      <c r="B32" s="7" t="s">
        <v>451</v>
      </c>
      <c r="C32" s="28"/>
      <c r="D32" s="28"/>
    </row>
    <row r="33" spans="2:4">
      <c r="B33" s="7" t="s">
        <v>452</v>
      </c>
      <c r="C33" s="28"/>
      <c r="D33" s="28"/>
    </row>
    <row r="34" spans="2:4">
      <c r="B34" s="7" t="s">
        <v>453</v>
      </c>
      <c r="C34" s="28"/>
      <c r="D34" s="28"/>
    </row>
    <row r="35" spans="2:4">
      <c r="B35" s="7" t="s">
        <v>454</v>
      </c>
      <c r="C35" s="28"/>
      <c r="D35" s="28"/>
    </row>
    <row r="36" spans="2:4">
      <c r="B36" s="7" t="s">
        <v>455</v>
      </c>
      <c r="C36" s="28"/>
      <c r="D36" s="28"/>
    </row>
    <row r="37" spans="2:4">
      <c r="B37" s="7" t="s">
        <v>456</v>
      </c>
      <c r="C37" s="28"/>
      <c r="D37" s="28"/>
    </row>
    <row r="38" spans="2:4">
      <c r="B38" s="7" t="s">
        <v>457</v>
      </c>
      <c r="C38" s="28"/>
      <c r="D38" s="28"/>
    </row>
    <row r="39" spans="2:4">
      <c r="B39" s="7" t="s">
        <v>458</v>
      </c>
      <c r="C39" s="28"/>
      <c r="D39" s="28"/>
    </row>
    <row r="40" spans="2:4">
      <c r="B40" s="7" t="s">
        <v>459</v>
      </c>
      <c r="C40" s="28"/>
      <c r="D40" s="28"/>
    </row>
    <row r="41" spans="2:4">
      <c r="B41" s="7" t="s">
        <v>460</v>
      </c>
      <c r="C41" s="28"/>
      <c r="D41" s="28"/>
    </row>
    <row r="42" spans="2:4">
      <c r="B42" s="7" t="s">
        <v>11</v>
      </c>
      <c r="C42" s="28"/>
      <c r="D42" s="28"/>
    </row>
    <row r="43" spans="2:4">
      <c r="B43" s="7" t="s">
        <v>249</v>
      </c>
      <c r="C43" s="28"/>
      <c r="D43" s="28"/>
    </row>
    <row r="44" spans="2:4">
      <c r="B44" s="7" t="s">
        <v>250</v>
      </c>
      <c r="C44" s="28"/>
      <c r="D44" s="28"/>
    </row>
    <row r="45" spans="2:4">
      <c r="B45" s="7" t="s">
        <v>251</v>
      </c>
      <c r="C45" s="28"/>
      <c r="D45" s="28"/>
    </row>
    <row r="46" spans="2:4">
      <c r="B46" s="7" t="s">
        <v>252</v>
      </c>
      <c r="C46" s="28"/>
      <c r="D46" s="28"/>
    </row>
    <row r="47" spans="2:4">
      <c r="B47" s="7" t="s">
        <v>461</v>
      </c>
      <c r="C47" s="28"/>
      <c r="D47" s="28"/>
    </row>
    <row r="48" spans="2:4">
      <c r="B48" s="7" t="s">
        <v>462</v>
      </c>
      <c r="C48" s="28"/>
      <c r="D48" s="28"/>
    </row>
    <row r="49" spans="2:4">
      <c r="B49" s="7" t="s">
        <v>463</v>
      </c>
      <c r="C49" s="28"/>
      <c r="D49" s="28"/>
    </row>
    <row r="50" spans="2:4">
      <c r="B50" s="7" t="s">
        <v>281</v>
      </c>
      <c r="C50" s="28"/>
      <c r="D50" s="28"/>
    </row>
    <row r="51" spans="2:4">
      <c r="B51" s="7" t="s">
        <v>464</v>
      </c>
      <c r="C51" s="28"/>
      <c r="D51" s="28"/>
    </row>
    <row r="52" spans="2:4">
      <c r="B52" s="7" t="s">
        <v>465</v>
      </c>
      <c r="C52" s="28"/>
      <c r="D52" s="28"/>
    </row>
    <row r="53" spans="2:4">
      <c r="B53" s="7" t="s">
        <v>466</v>
      </c>
      <c r="C53" s="28"/>
      <c r="D53" s="28"/>
    </row>
    <row r="54" spans="2:4">
      <c r="B54" s="7" t="s">
        <v>467</v>
      </c>
      <c r="C54" s="28"/>
      <c r="D54" s="28"/>
    </row>
    <row r="55" spans="2:4">
      <c r="B55" s="7" t="s">
        <v>468</v>
      </c>
      <c r="C55" s="28"/>
      <c r="D55" s="28"/>
    </row>
    <row r="56" spans="2:4">
      <c r="B56" s="7" t="s">
        <v>469</v>
      </c>
      <c r="C56" s="28"/>
      <c r="D56" s="28"/>
    </row>
    <row r="57" spans="2:4">
      <c r="B57" s="7" t="s">
        <v>470</v>
      </c>
      <c r="C57" s="28"/>
      <c r="D57" s="28"/>
    </row>
    <row r="58" spans="2:4">
      <c r="B58" s="7" t="s">
        <v>471</v>
      </c>
      <c r="C58" s="28"/>
      <c r="D58" s="28"/>
    </row>
    <row r="59" spans="2:4">
      <c r="B59" s="7" t="s">
        <v>472</v>
      </c>
      <c r="C59" s="28"/>
      <c r="D59" s="28"/>
    </row>
    <row r="60" spans="2:4">
      <c r="B60" s="7" t="s">
        <v>662</v>
      </c>
      <c r="C60" s="28"/>
      <c r="D60" s="28"/>
    </row>
    <row r="62" spans="2:4">
      <c r="B62" s="30" t="s">
        <v>661</v>
      </c>
      <c r="C62" s="27" t="s">
        <v>660</v>
      </c>
    </row>
    <row r="63" spans="2:4">
      <c r="B63" s="28">
        <v>1</v>
      </c>
      <c r="C63" s="28"/>
    </row>
    <row r="64" spans="2:4">
      <c r="B64" s="28">
        <v>2</v>
      </c>
      <c r="C64" s="28"/>
    </row>
    <row r="65" spans="2:3">
      <c r="B65" s="28">
        <v>3</v>
      </c>
      <c r="C65" s="28"/>
    </row>
    <row r="66" spans="2:3">
      <c r="B66" s="28">
        <v>4</v>
      </c>
      <c r="C66" s="28"/>
    </row>
    <row r="67" spans="2:3">
      <c r="B67" s="28">
        <v>5</v>
      </c>
      <c r="C67" s="2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Summary(Contract)</vt:lpstr>
      <vt:lpstr>All(Contract)</vt:lpstr>
      <vt:lpstr>FG page(Contract)</vt:lpstr>
      <vt:lpstr>CP page(Contract)</vt:lpstr>
      <vt:lpstr>FP, CP page(Payment terms)</vt:lpstr>
      <vt:lpstr>FP, CP page(NQSU)</vt:lpstr>
      <vt:lpstr>FP, CP page(Leadtime, SASL)</vt:lpstr>
      <vt:lpstr>Def</vt:lpstr>
      <vt:lpstr>Sheet1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2014-04-25T09:41:20Z</dcterms:modified>
</cp:coreProperties>
</file>