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hidePivotFieldList="1" defaultThemeVersion="124226"/>
  <bookViews>
    <workbookView xWindow="7785" yWindow="-45" windowWidth="10575" windowHeight="11040" tabRatio="717"/>
  </bookViews>
  <sheets>
    <sheet name="Summary(Document)" sheetId="9" r:id="rId1"/>
    <sheet name="RawData" sheetId="22" r:id="rId2"/>
    <sheet name="Def" sheetId="23" state="hidden" r:id="rId3"/>
  </sheets>
  <definedNames>
    <definedName name="_xlnm._FilterDatabase" localSheetId="1" hidden="1">RawData!$A$1:$BG$3117</definedName>
    <definedName name="ExternalData_4" localSheetId="1">RawData!$A$1:$BG$3117</definedName>
    <definedName name="rawdata">OFFSET(RawData!$A$1,0,0,COUNTA(RawData!$B:$B),COUNTA(RawData!$1:$1))</definedName>
  </definedNames>
  <calcPr calcId="125725"/>
  <pivotCaches>
    <pivotCache cacheId="3" r:id="rId4"/>
  </pivotCaches>
</workbook>
</file>

<file path=xl/calcChain.xml><?xml version="1.0" encoding="utf-8"?>
<calcChain xmlns="http://schemas.openxmlformats.org/spreadsheetml/2006/main">
  <c r="G10" i="9"/>
  <c r="G11"/>
  <c r="F11"/>
  <c r="G9"/>
  <c r="F10"/>
  <c r="F9"/>
  <c r="S11"/>
  <c r="T9"/>
  <c r="T10"/>
  <c r="T11"/>
  <c r="S9"/>
  <c r="S10"/>
  <c r="U10" l="1"/>
  <c r="U9"/>
  <c r="U11"/>
  <c r="H9"/>
  <c r="H10"/>
  <c r="H11"/>
</calcChain>
</file>

<file path=xl/connections.xml><?xml version="1.0" encoding="utf-8"?>
<connections xmlns="http://schemas.openxmlformats.org/spreadsheetml/2006/main">
  <connection id="1" name="Connection" type="1" refreshedVersion="3" savePassword="1" deleted="1" background="1" saveData="1">
    <dbPr connection="" command=""/>
  </connection>
</connections>
</file>

<file path=xl/sharedStrings.xml><?xml version="1.0" encoding="utf-8"?>
<sst xmlns="http://schemas.openxmlformats.org/spreadsheetml/2006/main" count="282" uniqueCount="193">
  <si>
    <t>vendorcode</t>
  </si>
  <si>
    <t>vendorname</t>
  </si>
  <si>
    <t>shortname</t>
  </si>
  <si>
    <t>levelname</t>
  </si>
  <si>
    <t>docdate</t>
  </si>
  <si>
    <t>version</t>
  </si>
  <si>
    <t>paymentterm</t>
  </si>
  <si>
    <t>leadtime</t>
  </si>
  <si>
    <t>sasl</t>
  </si>
  <si>
    <t>nqsu</t>
  </si>
  <si>
    <t>projectname</t>
  </si>
  <si>
    <t>category</t>
  </si>
  <si>
    <t>B</t>
  </si>
  <si>
    <t>A</t>
  </si>
  <si>
    <t>MANUFACTURER B</t>
  </si>
  <si>
    <t>EXPERT A</t>
  </si>
  <si>
    <t>MANUFACTURER A</t>
  </si>
  <si>
    <t>MANUFACTURER D</t>
  </si>
  <si>
    <t>D</t>
  </si>
  <si>
    <t>SUBCONTRACTOR A</t>
  </si>
  <si>
    <t>C</t>
  </si>
  <si>
    <t>MANUFACTURER C</t>
  </si>
  <si>
    <t>DESIGNER A</t>
  </si>
  <si>
    <t>EXPERT B</t>
  </si>
  <si>
    <t>SUBCONTRACTOR D</t>
  </si>
  <si>
    <t>DESIGNER B</t>
  </si>
  <si>
    <t>panelstatus1</t>
  </si>
  <si>
    <t>paneldescription1</t>
  </si>
  <si>
    <t>panelstatus2</t>
  </si>
  <si>
    <t>paneldescription2</t>
  </si>
  <si>
    <t>(All)</t>
  </si>
  <si>
    <t>Grand Total</t>
  </si>
  <si>
    <t>(Multiple Items)</t>
  </si>
  <si>
    <t>Values</t>
  </si>
  <si>
    <t>Filters:</t>
  </si>
  <si>
    <t>Finished Goods</t>
  </si>
  <si>
    <t>Components</t>
  </si>
  <si>
    <t>Panel</t>
  </si>
  <si>
    <t>Number of supplier</t>
  </si>
  <si>
    <t>Total</t>
  </si>
  <si>
    <t>Total Panel</t>
  </si>
  <si>
    <t>Panel A&amp;B</t>
  </si>
  <si>
    <t xml:space="preserve"> Panel</t>
  </si>
  <si>
    <t>id</t>
  </si>
  <si>
    <t>spm</t>
  </si>
  <si>
    <t>pm</t>
  </si>
  <si>
    <t>documentid</t>
  </si>
  <si>
    <t>doctypename</t>
  </si>
  <si>
    <t>expireddate</t>
  </si>
  <si>
    <t>docname</t>
  </si>
  <si>
    <t>docext</t>
  </si>
  <si>
    <t>uploaddate</t>
  </si>
  <si>
    <t>userid</t>
  </si>
  <si>
    <t>remarks</t>
  </si>
  <si>
    <t>auditby</t>
  </si>
  <si>
    <t>audittype</t>
  </si>
  <si>
    <t>auditgrade</t>
  </si>
  <si>
    <t>score</t>
  </si>
  <si>
    <t>myyear</t>
  </si>
  <si>
    <t>turnovery</t>
  </si>
  <si>
    <t>turnovery1</t>
  </si>
  <si>
    <t>turnovery2</t>
  </si>
  <si>
    <t>turnovery3</t>
  </si>
  <si>
    <t>turnovery4</t>
  </si>
  <si>
    <t>ratioy</t>
  </si>
  <si>
    <t>ratioy1</t>
  </si>
  <si>
    <t>ratioy2</t>
  </si>
  <si>
    <t>ratioy3</t>
  </si>
  <si>
    <t>ratioy4</t>
  </si>
  <si>
    <t>generalcontract</t>
  </si>
  <si>
    <t>qualityappendix</t>
  </si>
  <si>
    <t>supplychainappendix</t>
  </si>
  <si>
    <t>fp</t>
  </si>
  <si>
    <t>cp</t>
  </si>
  <si>
    <t>sp</t>
  </si>
  <si>
    <t>mould</t>
  </si>
  <si>
    <t>groupact</t>
  </si>
  <si>
    <t>statusname</t>
  </si>
  <si>
    <t>rank</t>
  </si>
  <si>
    <t>Active supplier</t>
  </si>
  <si>
    <t>(blank)</t>
  </si>
  <si>
    <t>Definition table</t>
  </si>
  <si>
    <t>Data Field</t>
  </si>
  <si>
    <t>Description</t>
  </si>
  <si>
    <t>Source or linkage</t>
  </si>
  <si>
    <t>Rule for counting</t>
  </si>
  <si>
    <t>Summary</t>
  </si>
  <si>
    <t>sbuname</t>
  </si>
  <si>
    <t>unique ID issued by citrix</t>
  </si>
  <si>
    <t>Auto assign when document uploads</t>
  </si>
  <si>
    <t>Vendor code in SAP</t>
  </si>
  <si>
    <t>SAP --&gt; Citrix Database</t>
  </si>
  <si>
    <t>Vendor full name in SAP</t>
  </si>
  <si>
    <t>Vendor short name in SAP</t>
  </si>
  <si>
    <t>Citrix price CMMF</t>
  </si>
  <si>
    <t>Senior Purchasing Manager in citrix</t>
  </si>
  <si>
    <t>Purchasing Manager in citrix</t>
  </si>
  <si>
    <t>unique Document ID issued by citrix</t>
  </si>
  <si>
    <t>Document name (Environmental Declaration/ Exclusivity (EA)/ SIF/ SPR/ SEF/ SSR…)</t>
  </si>
  <si>
    <t>Document name master maintains in Supplier Management tools - Master</t>
  </si>
  <si>
    <t>Level name ("Product / Project" or "Supplier"), to identify whether the document is for supplier generally or for product/ project specifically.</t>
  </si>
  <si>
    <t>Level names are hard coded, new level name require Dwi to add.</t>
  </si>
  <si>
    <t>Expire date of the document</t>
  </si>
  <si>
    <t>User input</t>
  </si>
  <si>
    <t>Document date</t>
  </si>
  <si>
    <t>File name of the attachment</t>
  </si>
  <si>
    <t>This is the original file name. The file name stored in the server is different.</t>
  </si>
  <si>
    <t xml:space="preserve">Format of the attachment (pdf/ excel …) </t>
  </si>
  <si>
    <t>Auto detected</t>
  </si>
  <si>
    <t>Upload Document date</t>
  </si>
  <si>
    <t>User id in citrix</t>
  </si>
  <si>
    <t>Remarks of Document</t>
  </si>
  <si>
    <t>Version of Document</t>
  </si>
  <si>
    <t>Version of the document template.</t>
  </si>
  <si>
    <t>Payment terms in General Contract</t>
  </si>
  <si>
    <t>Lead time in Supply Chain Appendix</t>
  </si>
  <si>
    <t>SASL in Supply Chain Appendix</t>
  </si>
  <si>
    <t>NQSU in Quality Appendix</t>
  </si>
  <si>
    <t>Project/ Product Name</t>
  </si>
  <si>
    <t>Audit by SEB Asia or SGS</t>
  </si>
  <si>
    <t>Audit Type (Initial or 1st follow up/ 2nd follow up/ 3rd follow/ 4th follow up)</t>
  </si>
  <si>
    <t>Audit Grade (Minor/ Major/ Critical)</t>
  </si>
  <si>
    <t>Score in SEF</t>
  </si>
  <si>
    <t>Year of the docdata</t>
  </si>
  <si>
    <t xml:space="preserve">Expected Turnover of current year Y (from SIF) </t>
  </si>
  <si>
    <t xml:space="preserve">Turnover of current year Y-1 (from SIF) </t>
  </si>
  <si>
    <t xml:space="preserve">Turnover of current year Y-2 (from SIF) </t>
  </si>
  <si>
    <t xml:space="preserve">Turnover of current year Y-3 (from SIF) </t>
  </si>
  <si>
    <t xml:space="preserve">Turnover of current year Y-4 (from SIF) </t>
  </si>
  <si>
    <t xml:space="preserve">% of GROUP SEB activity in Expected Total Turnover of current year Y (from SIF) </t>
  </si>
  <si>
    <t xml:space="preserve">% of GROUP SEB activity in Total Turnover of current year Y-1 (from SIF) </t>
  </si>
  <si>
    <t xml:space="preserve">% of GROUP SEB activity in Total Turnover of current year Y-2 (from SIF) </t>
  </si>
  <si>
    <t xml:space="preserve">% of GROUP SEB activity in Total Turnover of current year Y-3 (from SIF) </t>
  </si>
  <si>
    <t xml:space="preserve">% of GROUP SEB activity in Total Turnover of current year Y-4 (from SIF) </t>
  </si>
  <si>
    <t>FP panel Top 15/ FP panel/ FP panel Top 15 and CP panel/ FP Panel and  CP Panel/ CP Panel</t>
  </si>
  <si>
    <t>Maintains in Supplier Management tools - Master, it replaced the maintenance in Price CMMF tools</t>
  </si>
  <si>
    <t>It will show "FP" for finished product panel supplier</t>
  </si>
  <si>
    <t xml:space="preserve">FP Panel status (A/ B/ C/ D) </t>
  </si>
  <si>
    <t>It will show "CP" for component panel supplier</t>
  </si>
  <si>
    <t>CP Panel status (MANUFACTURER A/ EXPERT A/ MANUFACTURER B …)</t>
  </si>
  <si>
    <t>General Contract in General Agreement</t>
  </si>
  <si>
    <t>Auto assign "1" base on doctypename equal to General Contract</t>
  </si>
  <si>
    <t>Quality Appendix in General Agreement</t>
  </si>
  <si>
    <t>Auto assign "1" base on doctypename equal to Quality Appendix</t>
  </si>
  <si>
    <t>Supply Chain Appendix in General Agreement</t>
  </si>
  <si>
    <t>Auto assign "1" base on doctypename equal to Supply Chain Appendix</t>
  </si>
  <si>
    <t>Count the full contract (assign to "1")</t>
  </si>
  <si>
    <t>Auto assign "1" for short name having the full contract</t>
  </si>
  <si>
    <t xml:space="preserve">counting the full contract of the supplier (ref the first appear column of short name will assign to "1")
</t>
  </si>
  <si>
    <t xml:space="preserve">Auto assign "1"  in the first appear column of short name having the full contract </t>
  </si>
  <si>
    <t>counting not the full contract of the supplier (ref the first appear column of short name will assign to "1")</t>
  </si>
  <si>
    <t xml:space="preserve">Auto assign "1"  in the first appear column of short name did not having the full contract </t>
  </si>
  <si>
    <t>Finished Product</t>
  </si>
  <si>
    <t>Purchasing group ZZ0035 from SAP</t>
  </si>
  <si>
    <t>Component</t>
  </si>
  <si>
    <t>Spare Part</t>
  </si>
  <si>
    <t>Mould</t>
  </si>
  <si>
    <t>Consolidate "fp", "cp", "sp" "mould" together in one column, "Both" for short name (multiple vendor code) have FP and CP group together for reporting purpose</t>
  </si>
  <si>
    <t>Vendor status (Active supplier/ No business, Phase out/ Only 2nd Tier supplier/ Supplier code blocked, EOL)</t>
  </si>
  <si>
    <t>Maintain in "Vendor status" of Supplier Management</t>
  </si>
  <si>
    <t>Category "FP panel Top 15" assign to rank "1"</t>
  </si>
  <si>
    <t>Maintain in "Supplier Panel" of Supplier Management</t>
  </si>
  <si>
    <t>SBU name (home cleaning/ beverage/ electrical cook …)</t>
  </si>
  <si>
    <t>CMMF ZZ0035 from SAP</t>
  </si>
  <si>
    <t>FULL contract = General Contract + Supply Chain Appendix + Quality Appendix</t>
  </si>
  <si>
    <t>FP panel Top 15 = rank "1"</t>
  </si>
  <si>
    <t>countfull = full contract of the active suppliers, first appear column of short name will assign to "1"</t>
  </si>
  <si>
    <t>countnotfull = not the full contract, first appear column of short name will assign to "1" and the vendor have no transaction</t>
  </si>
  <si>
    <t>User selection. The terms definitions are from SAP</t>
  </si>
  <si>
    <t>Assign "Both" in groupact to identify there are multiple FP &amp; CP supplier codes in one Shortname. 
This is to prevent the incorrect number in the summary.
Make sure the filter selection is including all both.</t>
  </si>
  <si>
    <t>Current year of upload</t>
  </si>
  <si>
    <t>countcontractisfull</t>
  </si>
  <si>
    <t>countcontractfull</t>
  </si>
  <si>
    <t>countcontractnotfull</t>
  </si>
  <si>
    <t>Remarks:</t>
  </si>
  <si>
    <t>*blank = Non Panel</t>
  </si>
  <si>
    <t>countbydoc</t>
  </si>
  <si>
    <t>DESIGNER D</t>
  </si>
  <si>
    <t>Count of document signed</t>
  </si>
  <si>
    <t>Count of document not signed</t>
  </si>
  <si>
    <t>Total Number of Supplier</t>
  </si>
  <si>
    <t>Number of 
Signed</t>
  </si>
  <si>
    <t>% of 
Signed</t>
  </si>
  <si>
    <t>producttype</t>
  </si>
  <si>
    <t xml:space="preserve">Auto assign "1"  in the first appear column of short name having the document </t>
  </si>
  <si>
    <t>Auto assign "1"  in the first appear column of short name did not having the document</t>
  </si>
  <si>
    <t xml:space="preserve">counting the document type of the supplier (ref the first appear column of short name will assign to "1")
</t>
  </si>
  <si>
    <t>counting not the document type of the supplier (ref the first appear column of short name will assign to "1")</t>
  </si>
  <si>
    <t>"Finished Product", "Component", "Finished Product and Component"</t>
  </si>
  <si>
    <t>Supplier document status summary</t>
  </si>
  <si>
    <t>withoutdocument</t>
  </si>
  <si>
    <t xml:space="preserve">CP Summary  </t>
  </si>
  <si>
    <t xml:space="preserve">FP Summary 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</si>
</sst>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1" xfId="0" applyBorder="1"/>
    <xf numFmtId="0" fontId="2" fillId="2" borderId="0" xfId="0" applyFont="1" applyFill="1"/>
    <xf numFmtId="0" fontId="0" fillId="0" borderId="0" xfId="0" applyBorder="1"/>
    <xf numFmtId="0" fontId="1" fillId="0" borderId="2" xfId="0" applyFont="1" applyBorder="1"/>
    <xf numFmtId="0" fontId="0" fillId="3" borderId="0" xfId="0" applyFill="1"/>
    <xf numFmtId="0" fontId="1" fillId="3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0" fillId="4" borderId="0" xfId="0" applyFill="1"/>
    <xf numFmtId="0" fontId="4" fillId="0" borderId="0" xfId="0" applyFont="1"/>
    <xf numFmtId="0" fontId="0" fillId="2" borderId="0" xfId="0" applyFill="1"/>
    <xf numFmtId="0" fontId="2" fillId="0" borderId="0" xfId="0" applyFont="1"/>
    <xf numFmtId="0" fontId="1" fillId="0" borderId="2" xfId="0" applyFont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9" fontId="1" fillId="0" borderId="2" xfId="1" applyFont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 wrapText="1"/>
    </xf>
    <xf numFmtId="0" fontId="0" fillId="0" borderId="2" xfId="0" pivotButton="1" applyBorder="1" applyAlignment="1">
      <alignment horizontal="center" vertical="center" wrapText="1"/>
    </xf>
    <xf numFmtId="0" fontId="0" fillId="0" borderId="2" xfId="0" pivotButton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14" fontId="0" fillId="0" borderId="0" xfId="0" applyNumberFormat="1"/>
    <xf numFmtId="0" fontId="6" fillId="5" borderId="2" xfId="0" applyFont="1" applyFill="1" applyBorder="1"/>
    <xf numFmtId="0" fontId="0" fillId="0" borderId="2" xfId="0" applyBorder="1"/>
    <xf numFmtId="0" fontId="7" fillId="0" borderId="0" xfId="0" applyFont="1"/>
    <xf numFmtId="0" fontId="6" fillId="5" borderId="0" xfId="0" applyFont="1" applyFill="1" applyBorder="1"/>
    <xf numFmtId="0" fontId="1" fillId="0" borderId="0" xfId="0" applyFont="1"/>
    <xf numFmtId="0" fontId="0" fillId="0" borderId="0" xfId="0" applyAlignment="1">
      <alignment wrapText="1"/>
    </xf>
    <xf numFmtId="0" fontId="6" fillId="5" borderId="2" xfId="0" applyFont="1" applyFill="1" applyBorder="1" applyAlignment="1">
      <alignment wrapText="1"/>
    </xf>
    <xf numFmtId="0" fontId="0" fillId="0" borderId="2" xfId="0" applyBorder="1" applyAlignment="1">
      <alignment wrapText="1"/>
    </xf>
    <xf numFmtId="0" fontId="1" fillId="0" borderId="3" xfId="0" applyFont="1" applyBorder="1"/>
    <xf numFmtId="0" fontId="1" fillId="0" borderId="4" xfId="0" applyFont="1" applyBorder="1"/>
    <xf numFmtId="0" fontId="0" fillId="6" borderId="2" xfId="0" applyFill="1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 wrapText="1"/>
    </xf>
    <xf numFmtId="0" fontId="1" fillId="2" borderId="0" xfId="0" applyFont="1" applyFill="1"/>
    <xf numFmtId="0" fontId="0" fillId="6" borderId="6" xfId="0" applyFill="1" applyBorder="1" applyAlignment="1">
      <alignment horizontal="center" vertical="center" wrapText="1"/>
    </xf>
    <xf numFmtId="0" fontId="1" fillId="0" borderId="2" xfId="0" applyFont="1" applyFill="1" applyBorder="1"/>
    <xf numFmtId="0" fontId="0" fillId="0" borderId="2" xfId="0" applyFill="1" applyBorder="1" applyAlignment="1">
      <alignment wrapText="1"/>
    </xf>
    <xf numFmtId="0" fontId="1" fillId="6" borderId="2" xfId="0" applyFont="1" applyFill="1" applyBorder="1" applyAlignment="1">
      <alignment horizontal="center" wrapText="1"/>
    </xf>
    <xf numFmtId="0" fontId="1" fillId="6" borderId="5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60">
    <dxf>
      <alignment wrapText="1" readingOrder="0"/>
    </dxf>
    <dxf>
      <alignment horizontal="center" readingOrder="0"/>
    </dxf>
    <dxf>
      <font>
        <b/>
      </font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 readingOrder="0"/>
    </dxf>
    <dxf>
      <alignment horizontal="center" readingOrder="0"/>
    </dxf>
    <dxf>
      <alignment vertical="center" readingOrder="0"/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9" tint="0.59999389629810485"/>
        </patternFill>
      </fill>
    </dxf>
    <dxf>
      <alignment wrapText="1" readingOrder="0"/>
    </dxf>
    <dxf>
      <alignment vertical="center" readingOrder="0"/>
    </dxf>
    <dxf>
      <alignment horizontal="center" readingOrder="0"/>
    </dxf>
    <dxf>
      <border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solid">
          <bgColor theme="9" tint="0.59999389629810485"/>
        </patternFill>
      </fill>
    </dxf>
    <dxf>
      <alignment horizontal="center" readingOrder="0"/>
    </dxf>
    <dxf>
      <alignment vertical="center" readingOrder="0"/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alignment wrapText="1" readingOrder="0"/>
    </dxf>
    <dxf>
      <alignment horizontal="center" readingOrder="0"/>
    </dxf>
    <dxf>
      <alignment vertical="center" readingOrder="0"/>
    </dxf>
    <dxf>
      <fill>
        <patternFill patternType="solid">
          <bgColor theme="9" tint="0.59999389629810485"/>
        </patternFill>
      </fill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readingOrder="0"/>
    </dxf>
    <dxf>
      <alignment horizontal="center" readingOrder="0"/>
    </dxf>
    <dxf>
      <alignment wrapText="1" readingOrder="0"/>
    </dxf>
    <dxf>
      <border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942975</xdr:colOff>
      <xdr:row>5</xdr:row>
      <xdr:rowOff>28575</xdr:rowOff>
    </xdr:from>
    <xdr:to>
      <xdr:col>7</xdr:col>
      <xdr:colOff>514350</xdr:colOff>
      <xdr:row>6</xdr:row>
      <xdr:rowOff>76200</xdr:rowOff>
    </xdr:to>
    <xdr:grpSp>
      <xdr:nvGrpSpPr>
        <xdr:cNvPr id="3" name="Group 2"/>
        <xdr:cNvGrpSpPr/>
      </xdr:nvGrpSpPr>
      <xdr:grpSpPr>
        <a:xfrm>
          <a:off x="2552700" y="1076325"/>
          <a:ext cx="3048000" cy="428625"/>
          <a:chOff x="1445891" y="4293096"/>
          <a:chExt cx="1800200" cy="504056"/>
        </a:xfrm>
      </xdr:grpSpPr>
      <xdr:sp macro="" textlink="">
        <xdr:nvSpPr>
          <xdr:cNvPr id="4" name="Rectangle 3"/>
          <xdr:cNvSpPr/>
        </xdr:nvSpPr>
        <xdr:spPr bwMode="auto">
          <a:xfrm>
            <a:off x="1547664" y="4293096"/>
            <a:ext cx="1584176" cy="504056"/>
          </a:xfrm>
          <a:prstGeom prst="rect">
            <a:avLst/>
          </a:prstGeom>
          <a:solidFill>
            <a:srgbClr val="92D050"/>
          </a:solidFill>
          <a:ln>
            <a:headEnd type="none" w="med" len="med"/>
            <a:tailEnd type="none" w="med" len="med"/>
          </a:ln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="horz" wrap="square" lIns="91440" tIns="45720" rIns="91440" bIns="45720" numCol="1" rtlCol="0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indent="0" algn="ctr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2400" b="0" i="0" u="none" strike="noStrike" cap="none" normalizeH="0" baseline="30000">
              <a:ln>
                <a:noFill/>
              </a:ln>
              <a:solidFill>
                <a:schemeClr val="tx1"/>
              </a:solidFill>
              <a:effectLst/>
              <a:latin typeface="Impact" pitchFamily="34" charset="0"/>
              <a:ea typeface="ＭＳ Ｐゴシック" pitchFamily="1" charset="-128"/>
            </a:endParaRPr>
          </a:p>
        </xdr:txBody>
      </xdr:sp>
      <xdr:sp macro="" textlink="">
        <xdr:nvSpPr>
          <xdr:cNvPr id="5" name="TextBox 5"/>
          <xdr:cNvSpPr txBox="1"/>
        </xdr:nvSpPr>
        <xdr:spPr>
          <a:xfrm>
            <a:off x="1445891" y="4370437"/>
            <a:ext cx="1800200" cy="33855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1pPr>
            <a:lvl2pPr marL="4572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2pPr>
            <a:lvl3pPr marL="9144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3pPr>
            <a:lvl4pPr marL="13716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4pPr>
            <a:lvl5pPr marL="18288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5pPr>
            <a:lvl6pPr marL="22860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6pPr>
            <a:lvl7pPr marL="27432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7pPr>
            <a:lvl8pPr marL="32004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8pPr>
            <a:lvl9pPr marL="36576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9pPr>
          </a:lstStyle>
          <a:p>
            <a:pPr algn="ctr"/>
            <a:r>
              <a:rPr lang="en-US">
                <a:latin typeface="Impact" pitchFamily="34" charset="0"/>
              </a:rPr>
              <a:t>Finished Goods</a:t>
            </a:r>
          </a:p>
        </xdr:txBody>
      </xdr:sp>
    </xdr:grpSp>
    <xdr:clientData/>
  </xdr:twoCellAnchor>
  <xdr:twoCellAnchor>
    <xdr:from>
      <xdr:col>17</xdr:col>
      <xdr:colOff>1247775</xdr:colOff>
      <xdr:row>4</xdr:row>
      <xdr:rowOff>85725</xdr:rowOff>
    </xdr:from>
    <xdr:to>
      <xdr:col>20</xdr:col>
      <xdr:colOff>114300</xdr:colOff>
      <xdr:row>6</xdr:row>
      <xdr:rowOff>28575</xdr:rowOff>
    </xdr:to>
    <xdr:grpSp>
      <xdr:nvGrpSpPr>
        <xdr:cNvPr id="6" name="Group 5"/>
        <xdr:cNvGrpSpPr/>
      </xdr:nvGrpSpPr>
      <xdr:grpSpPr>
        <a:xfrm>
          <a:off x="4295775" y="990600"/>
          <a:ext cx="2543175" cy="466725"/>
          <a:chOff x="1422079" y="4293096"/>
          <a:chExt cx="1800200" cy="504056"/>
        </a:xfrm>
      </xdr:grpSpPr>
      <xdr:sp macro="" textlink="">
        <xdr:nvSpPr>
          <xdr:cNvPr id="7" name="Rectangle 6"/>
          <xdr:cNvSpPr/>
        </xdr:nvSpPr>
        <xdr:spPr bwMode="auto">
          <a:xfrm>
            <a:off x="1547664" y="4293096"/>
            <a:ext cx="1584176" cy="504056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headEnd type="none" w="med" len="med"/>
            <a:tailEnd type="none" w="med" len="med"/>
          </a:ln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="horz" wrap="square" lIns="91440" tIns="45720" rIns="91440" bIns="45720" numCol="1" rtlCol="0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indent="0" algn="ctr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2400" b="0" i="0" u="none" strike="noStrike" cap="none" normalizeH="0" baseline="30000">
              <a:ln>
                <a:noFill/>
              </a:ln>
              <a:solidFill>
                <a:schemeClr val="tx1"/>
              </a:solidFill>
              <a:effectLst/>
              <a:latin typeface="Impact" pitchFamily="34" charset="0"/>
              <a:ea typeface="ＭＳ Ｐゴシック" pitchFamily="1" charset="-128"/>
            </a:endParaRPr>
          </a:p>
        </xdr:txBody>
      </xdr:sp>
      <xdr:sp macro="" textlink="">
        <xdr:nvSpPr>
          <xdr:cNvPr id="8" name="TextBox 5"/>
          <xdr:cNvSpPr txBox="1"/>
        </xdr:nvSpPr>
        <xdr:spPr>
          <a:xfrm>
            <a:off x="1422079" y="4370437"/>
            <a:ext cx="1800200" cy="33855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1pPr>
            <a:lvl2pPr marL="4572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2pPr>
            <a:lvl3pPr marL="9144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3pPr>
            <a:lvl4pPr marL="13716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4pPr>
            <a:lvl5pPr marL="18288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5pPr>
            <a:lvl6pPr marL="22860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6pPr>
            <a:lvl7pPr marL="27432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7pPr>
            <a:lvl8pPr marL="32004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8pPr>
            <a:lvl9pPr marL="36576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9pPr>
          </a:lstStyle>
          <a:p>
            <a:pPr algn="ctr"/>
            <a:r>
              <a:rPr lang="en-US">
                <a:latin typeface="Impact" pitchFamily="34" charset="0"/>
              </a:rPr>
              <a:t>Components</a:t>
            </a:r>
          </a:p>
        </xdr:txBody>
      </xdr:sp>
    </xdr:grpSp>
    <xdr:clientData/>
  </xdr:twoCellAnchor>
  <xdr:twoCellAnchor>
    <xdr:from>
      <xdr:col>2</xdr:col>
      <xdr:colOff>133350</xdr:colOff>
      <xdr:row>7</xdr:row>
      <xdr:rowOff>47626</xdr:rowOff>
    </xdr:from>
    <xdr:to>
      <xdr:col>2</xdr:col>
      <xdr:colOff>704850</xdr:colOff>
      <xdr:row>7</xdr:row>
      <xdr:rowOff>333376</xdr:rowOff>
    </xdr:to>
    <xdr:sp macro="[0]!ShowFG" textlink="">
      <xdr:nvSpPr>
        <xdr:cNvPr id="9" name="Rounded Rectangle 8"/>
        <xdr:cNvSpPr/>
      </xdr:nvSpPr>
      <xdr:spPr>
        <a:xfrm>
          <a:off x="371475" y="1666876"/>
          <a:ext cx="571500" cy="285750"/>
        </a:xfrm>
        <a:prstGeom prst="roundRect">
          <a:avLst/>
        </a:prstGeom>
        <a:solidFill>
          <a:schemeClr val="bg1">
            <a:lumMod val="85000"/>
          </a:schemeClr>
        </a:solidFill>
        <a:ln w="6350"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Show</a:t>
          </a:r>
        </a:p>
      </xdr:txBody>
    </xdr:sp>
    <xdr:clientData/>
  </xdr:twoCellAnchor>
  <xdr:twoCellAnchor>
    <xdr:from>
      <xdr:col>15</xdr:col>
      <xdr:colOff>142875</xdr:colOff>
      <xdr:row>7</xdr:row>
      <xdr:rowOff>66675</xdr:rowOff>
    </xdr:from>
    <xdr:to>
      <xdr:col>15</xdr:col>
      <xdr:colOff>714375</xdr:colOff>
      <xdr:row>7</xdr:row>
      <xdr:rowOff>342900</xdr:rowOff>
    </xdr:to>
    <xdr:sp macro="[0]!ShowCP" textlink="">
      <xdr:nvSpPr>
        <xdr:cNvPr id="10" name="Rounded Rectangle 9"/>
        <xdr:cNvSpPr/>
      </xdr:nvSpPr>
      <xdr:spPr>
        <a:xfrm>
          <a:off x="10753725" y="1685925"/>
          <a:ext cx="571500" cy="276225"/>
        </a:xfrm>
        <a:prstGeom prst="roundRect">
          <a:avLst/>
        </a:prstGeom>
        <a:solidFill>
          <a:schemeClr val="bg1">
            <a:lumMod val="85000"/>
          </a:schemeClr>
        </a:solidFill>
        <a:ln w="6350"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Show</a:t>
          </a:r>
        </a:p>
      </xdr:txBody>
    </xdr:sp>
    <xdr:clientData/>
  </xdr:twoCellAnchor>
  <xdr:twoCellAnchor>
    <xdr:from>
      <xdr:col>1</xdr:col>
      <xdr:colOff>9526</xdr:colOff>
      <xdr:row>3</xdr:row>
      <xdr:rowOff>38100</xdr:rowOff>
    </xdr:from>
    <xdr:to>
      <xdr:col>1</xdr:col>
      <xdr:colOff>476250</xdr:colOff>
      <xdr:row>3</xdr:row>
      <xdr:rowOff>314325</xdr:rowOff>
    </xdr:to>
    <xdr:sp macro="[0]!BACK" textlink="">
      <xdr:nvSpPr>
        <xdr:cNvPr id="11" name="Rounded Rectangle 10"/>
        <xdr:cNvSpPr/>
      </xdr:nvSpPr>
      <xdr:spPr>
        <a:xfrm>
          <a:off x="247651" y="609600"/>
          <a:ext cx="466724" cy="276225"/>
        </a:xfrm>
        <a:prstGeom prst="roundRect">
          <a:avLst/>
        </a:prstGeom>
        <a:solidFill>
          <a:schemeClr val="bg1">
            <a:lumMod val="85000"/>
          </a:schemeClr>
        </a:solidFill>
        <a:ln w="6350"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900" b="1">
              <a:solidFill>
                <a:sysClr val="windowText" lastClr="000000"/>
              </a:solidFill>
            </a:rPr>
            <a:t>Back</a:t>
          </a:r>
        </a:p>
      </xdr:txBody>
    </xdr:sp>
    <xdr:clientData/>
  </xdr:twoCellAnchor>
  <xdr:twoCellAnchor>
    <xdr:from>
      <xdr:col>2</xdr:col>
      <xdr:colOff>57149</xdr:colOff>
      <xdr:row>3</xdr:row>
      <xdr:rowOff>47625</xdr:rowOff>
    </xdr:from>
    <xdr:to>
      <xdr:col>2</xdr:col>
      <xdr:colOff>771524</xdr:colOff>
      <xdr:row>3</xdr:row>
      <xdr:rowOff>323850</xdr:rowOff>
    </xdr:to>
    <xdr:sp macro="[0]!OpenTabs" textlink="">
      <xdr:nvSpPr>
        <xdr:cNvPr id="12" name="Rounded Rectangle 11"/>
        <xdr:cNvSpPr/>
      </xdr:nvSpPr>
      <xdr:spPr>
        <a:xfrm>
          <a:off x="676274" y="619125"/>
          <a:ext cx="714375" cy="276225"/>
        </a:xfrm>
        <a:prstGeom prst="roundRect">
          <a:avLst/>
        </a:prstGeom>
        <a:solidFill>
          <a:schemeClr val="bg1">
            <a:lumMod val="85000"/>
          </a:schemeClr>
        </a:solidFill>
        <a:ln w="6350"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900" b="1">
              <a:solidFill>
                <a:sysClr val="windowText" lastClr="000000"/>
              </a:solidFill>
            </a:rPr>
            <a:t>Show</a:t>
          </a:r>
          <a:r>
            <a:rPr lang="en-US" sz="900" b="1" baseline="0">
              <a:solidFill>
                <a:sysClr val="windowText" lastClr="000000"/>
              </a:solidFill>
            </a:rPr>
            <a:t> tabs</a:t>
          </a:r>
          <a:endParaRPr lang="en-US" sz="900" b="1">
            <a:solidFill>
              <a:sysClr val="windowText" lastClr="000000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fok" refreshedDate="41767.392902777778" createdVersion="3" refreshedVersion="3" minRefreshableVersion="3" recordCount="3116">
  <cacheSource type="worksheet">
    <worksheetSource name="rawdata"/>
  </cacheSource>
  <cacheFields count="60">
    <cacheField name="id" numFmtId="0">
      <sharedItems containsString="0" containsBlank="1" containsNumber="1" containsInteger="1" minValue="1" maxValue="2967"/>
    </cacheField>
    <cacheField name="vendorcode" numFmtId="0">
      <sharedItems containsSemiMixedTypes="0" containsString="0" containsNumber="1" containsInteger="1" minValue="1100" maxValue="2100052515" count="573">
        <n v="10007811"/>
        <n v="10018143"/>
        <n v="10018124"/>
        <n v="10031660"/>
        <n v="10006819"/>
        <n v="10016787"/>
        <n v="10022928"/>
        <n v="10002393"/>
        <n v="10003305"/>
        <n v="10024777"/>
        <n v="10020646"/>
        <n v="10012491"/>
        <n v="10023045"/>
        <n v="10008091"/>
        <n v="10017261"/>
        <n v="10023546"/>
        <n v="10016689"/>
        <n v="10029549"/>
        <n v="10028574"/>
        <n v="10023057"/>
        <n v="10017159"/>
        <n v="10017563"/>
        <n v="10021632"/>
        <n v="10022437"/>
        <n v="10031092"/>
        <n v="10019089"/>
        <n v="10013329"/>
        <n v="10017653"/>
        <n v="10005690"/>
        <n v="10028963"/>
        <n v="10020853"/>
        <n v="10022626"/>
        <n v="10008186"/>
        <n v="10017048"/>
        <n v="10002616"/>
        <n v="10030316"/>
        <n v="10022749"/>
        <n v="10011085"/>
        <n v="10029742"/>
        <n v="10002342"/>
        <n v="10019610"/>
        <n v="10029777"/>
        <n v="10014207"/>
        <n v="10030407"/>
        <n v="10006768"/>
        <n v="10007516"/>
        <n v="10029998"/>
        <n v="10023113"/>
        <n v="10008043"/>
        <n v="10031135"/>
        <n v="10016190"/>
        <n v="10014918"/>
        <n v="10003215"/>
        <n v="10011953"/>
        <n v="10023831"/>
        <n v="10026046"/>
        <n v="10026043"/>
        <n v="10021084"/>
        <n v="10030282"/>
        <n v="10019667"/>
        <n v="10002618"/>
        <n v="10011954"/>
        <n v="10018727"/>
        <n v="10018856"/>
        <n v="10020848"/>
        <n v="10019276"/>
        <n v="10021675"/>
        <n v="10017262"/>
        <n v="10012062"/>
        <n v="10002651"/>
        <n v="10022381"/>
        <n v="10025892"/>
        <n v="10016908"/>
        <n v="10024205"/>
        <n v="10018597"/>
        <n v="10001970"/>
        <n v="10002652"/>
        <n v="10029677"/>
        <n v="10025953"/>
        <n v="10020651"/>
        <n v="10021071"/>
        <n v="10022502"/>
        <n v="10018808"/>
        <n v="10023490"/>
        <n v="10022226"/>
        <n v="10016744"/>
        <n v="10015043"/>
        <n v="10018756"/>
        <n v="10003623"/>
        <n v="10020286"/>
        <n v="10029175"/>
        <n v="10004820"/>
        <n v="10017162"/>
        <n v="10020637"/>
        <n v="10017914"/>
        <n v="10029303"/>
        <n v="10030431"/>
        <n v="10020397"/>
        <n v="10024688"/>
        <n v="10022448"/>
        <n v="10020806"/>
        <n v="10016624"/>
        <n v="10014421"/>
        <n v="10019408"/>
        <n v="10002622"/>
        <n v="10017880"/>
        <n v="10017541"/>
        <n v="10029172"/>
        <n v="10017330"/>
        <n v="10016399"/>
        <n v="10023008"/>
        <n v="10030364"/>
        <n v="10012944"/>
        <n v="10019117"/>
        <n v="10019098"/>
        <n v="10021176"/>
        <n v="10024234"/>
        <n v="10023342"/>
        <n v="10025233"/>
        <n v="10020846"/>
        <n v="10020680"/>
        <n v="10021150"/>
        <n v="10029788"/>
        <n v="10002632"/>
        <n v="10003775"/>
        <n v="10019574"/>
        <n v="10029063"/>
        <n v="10002254"/>
        <n v="10011961"/>
        <n v="10030603"/>
        <n v="10030568"/>
        <n v="10017609"/>
        <n v="10022079"/>
        <n v="10003735"/>
        <n v="10023202"/>
        <n v="10022890"/>
        <n v="10019497"/>
        <n v="10011086"/>
        <n v="10010986"/>
        <n v="10020182"/>
        <n v="10018644"/>
        <n v="10022134"/>
        <n v="10029278"/>
        <n v="10016243"/>
        <n v="10011867"/>
        <n v="10019263"/>
        <n v="10003734"/>
        <n v="10012181"/>
        <n v="10011884"/>
        <n v="10012145"/>
        <n v="10021116"/>
        <n v="10030490"/>
        <n v="10023135"/>
        <n v="10016947"/>
        <n v="10029672"/>
        <n v="10016946"/>
        <n v="10029232"/>
        <n v="10002059"/>
        <n v="10024527"/>
        <n v="10023343"/>
        <n v="10021016"/>
        <n v="10022803"/>
        <n v="10002633"/>
        <n v="10021612"/>
        <n v="10018557"/>
        <n v="10023158"/>
        <n v="10029461"/>
        <n v="10029930"/>
        <n v="10007542"/>
        <n v="10018146"/>
        <n v="10013781"/>
        <n v="10012240"/>
        <n v="10029574"/>
        <n v="10023289"/>
        <n v="10025413"/>
        <n v="10030888"/>
        <n v="10008580"/>
        <n v="10011962"/>
        <n v="10018142"/>
        <n v="10018846"/>
        <n v="10018951"/>
        <n v="10029538"/>
        <n v="10002410"/>
        <n v="10024239"/>
        <n v="10011159"/>
        <n v="10018687"/>
        <n v="10030978"/>
        <n v="10021534"/>
        <n v="10016078"/>
        <n v="10018870"/>
        <n v="10022317"/>
        <n v="10031766"/>
        <n v="10019336"/>
        <n v="10031009"/>
        <n v="10021546"/>
        <n v="10025993"/>
        <n v="10029924"/>
        <n v="10016059"/>
        <n v="10030391"/>
        <n v="10029408"/>
        <n v="10031537"/>
        <n v="10030374"/>
        <n v="10020590"/>
        <n v="10031100"/>
        <n v="10018552"/>
        <n v="10022505"/>
        <n v="10025843"/>
        <n v="10013918"/>
        <n v="10002063"/>
        <n v="10021905"/>
        <n v="10011099"/>
        <n v="10002657"/>
        <n v="10029619"/>
        <n v="10018762"/>
        <n v="10011087"/>
        <n v="10031073"/>
        <n v="10015734"/>
        <n v="10026251"/>
        <n v="10025994"/>
        <n v="10003624"/>
        <n v="10019410"/>
        <n v="10007548"/>
        <n v="10019250"/>
        <n v="10023676"/>
        <n v="10017348"/>
        <n v="10012158"/>
        <n v="10023371"/>
        <n v="10016307"/>
        <n v="10021528"/>
        <n v="10002641"/>
        <n v="10017703"/>
        <n v="10017281"/>
        <n v="10028602"/>
        <n v="10015655"/>
        <n v="10003736"/>
        <n v="10030220"/>
        <n v="10013982"/>
        <n v="10028508"/>
        <n v="10016810"/>
        <n v="10030379"/>
        <n v="10005402"/>
        <n v="10011176"/>
        <n v="10030832"/>
        <n v="10023684"/>
        <n v="10018295"/>
        <n v="10021357"/>
        <n v="10025286"/>
        <n v="10015487"/>
        <n v="10018137"/>
        <n v="10006704"/>
        <n v="10029658"/>
        <n v="10016485"/>
        <n v="10016953"/>
        <n v="10030596"/>
        <n v="10029413"/>
        <n v="10002644"/>
        <n v="10030607"/>
        <n v="10011097"/>
        <n v="10014732"/>
        <n v="10026044"/>
        <n v="10011964"/>
        <n v="10008227"/>
        <n v="10019114"/>
        <n v="10029738"/>
        <n v="10025348"/>
        <n v="10012238"/>
        <n v="10007071"/>
        <n v="10030244"/>
        <n v="10029992"/>
        <n v="10025918"/>
        <n v="10029134"/>
        <n v="10011965"/>
        <n v="10029414"/>
        <n v="10016441"/>
        <n v="10024482"/>
        <n v="10023509"/>
        <n v="10021606"/>
        <n v="10021891"/>
        <n v="10019659"/>
        <n v="10019604"/>
        <n v="10013411"/>
        <n v="10012821"/>
        <n v="10007517"/>
        <n v="10017971"/>
        <n v="10011160"/>
        <n v="10014437"/>
        <n v="10016848"/>
        <n v="10019546"/>
        <n v="10019113"/>
        <n v="10017552"/>
        <n v="10009070"/>
        <n v="10001969"/>
        <n v="10002625"/>
        <n v="10022436"/>
        <n v="10024562"/>
        <n v="10022857"/>
        <n v="10023685"/>
        <n v="10021484"/>
        <n v="10024817"/>
        <n v="10024225"/>
        <n v="10015159"/>
        <n v="10023110"/>
        <n v="10019450"/>
        <n v="10021911"/>
        <n v="10017283"/>
        <n v="10021088"/>
        <n v="10003776"/>
        <n v="10025909"/>
        <n v="10025411"/>
        <n v="10012878"/>
        <n v="10019099"/>
        <n v="10020399"/>
        <n v="10029314"/>
        <n v="10022181"/>
        <n v="10022579"/>
        <n v="10019330"/>
        <n v="10002422"/>
        <n v="10024861"/>
        <n v="10002628"/>
        <n v="10022889"/>
        <n v="10022438"/>
        <n v="10014929"/>
        <n v="10016437"/>
        <n v="10018294"/>
        <n v="10021711"/>
        <n v="10016396"/>
        <n v="10021131"/>
        <n v="10020249"/>
        <n v="10018028"/>
        <n v="10020184"/>
        <n v="10019179"/>
        <n v="10006237"/>
        <n v="10018960"/>
        <n v="10016201"/>
        <n v="10030094"/>
        <n v="10020567"/>
        <n v="10024139"/>
        <n v="10018821"/>
        <n v="10011103"/>
        <n v="10002654"/>
        <n v="10023577"/>
        <n v="10022704"/>
        <n v="10017602"/>
        <n v="10016435"/>
        <n v="10026218"/>
        <n v="10015156"/>
        <n v="10016183"/>
        <n v="10021659"/>
        <n v="10030366"/>
        <n v="10019329"/>
        <n v="10021212"/>
        <n v="10020649"/>
        <n v="10023979"/>
        <n v="10022262"/>
        <n v="10024436"/>
        <n v="10011223"/>
        <n v="10008589"/>
        <n v="10020161"/>
        <n v="10020344"/>
        <n v="10020197"/>
        <n v="10018039"/>
        <n v="10017962"/>
        <n v="10011158"/>
        <n v="10021529"/>
        <n v="10029657"/>
        <n v="10018922"/>
        <n v="10023258"/>
        <n v="10007404"/>
        <n v="10021449"/>
        <n v="10018351"/>
        <n v="10017081"/>
        <n v="10005405"/>
        <n v="10016268"/>
        <n v="99001700"/>
        <n v="10016658"/>
        <n v="10015986"/>
        <n v="99011400"/>
        <n v="10020880"/>
        <n v="99011100"/>
        <n v="99012100"/>
        <n v="99014100"/>
        <n v="10020010"/>
        <n v="10019582"/>
        <n v="10018595"/>
        <n v="10020398"/>
        <n v="10015600"/>
        <n v="10011870"/>
        <n v="10026058"/>
        <n v="10011869"/>
        <n v="10006653"/>
        <n v="10008206"/>
        <n v="10011100"/>
        <n v="10023731"/>
        <n v="10020916"/>
        <n v="10021442"/>
        <n v="10016311"/>
        <n v="10022929"/>
        <n v="10019257"/>
        <n v="99011700"/>
        <n v="10019503"/>
        <n v="10014075"/>
        <n v="10011831"/>
        <n v="99011000"/>
        <n v="99012000"/>
        <n v="10022360"/>
        <n v="10018779"/>
        <n v="10022888"/>
        <n v="10011883"/>
        <n v="10025030"/>
        <n v="10022750"/>
        <n v="99920084"/>
        <n v="1144"/>
        <n v="10011091"/>
        <n v="10020905"/>
        <n v="10024213"/>
        <n v="10030116"/>
        <n v="10022641"/>
        <n v="10016958"/>
        <n v="10022265"/>
        <n v="10013895"/>
        <n v="10007906"/>
        <n v="10024813"/>
        <n v="93100270"/>
        <n v="10019409"/>
        <n v="10020020"/>
        <n v="8024"/>
        <n v="10017109"/>
        <n v="10021459"/>
        <n v="10020146"/>
        <n v="10023899"/>
        <n v="10004983"/>
        <n v="10018643"/>
        <n v="10013182"/>
        <n v="10003588"/>
        <n v="10031650"/>
        <n v="93100240"/>
        <n v="99999999"/>
        <n v="99920070"/>
        <n v="10006788"/>
        <n v="10023891"/>
        <n v="10011885"/>
        <n v="10018891"/>
        <n v="10024681"/>
        <n v="10015296"/>
        <n v="10008412"/>
        <n v="99920082"/>
        <n v="99920071"/>
        <n v="8026031"/>
        <n v="10019573"/>
        <n v="10022501"/>
        <n v="10020260"/>
        <n v="10016424"/>
        <n v="99003700"/>
        <n v="10003358"/>
        <n v="93100140"/>
        <n v="1614"/>
        <n v="10017311"/>
        <n v="10004839"/>
        <n v="10012116"/>
        <n v="10017856"/>
        <n v="10023907"/>
        <n v="10025232"/>
        <n v="10015216"/>
        <n v="1100"/>
        <n v="99920083"/>
        <n v="10011094"/>
        <n v="10024381"/>
        <n v="1210"/>
        <n v="10011104"/>
        <n v="93100280"/>
        <n v="10016384"/>
        <n v="10028700"/>
        <n v="93100290"/>
        <n v="10021615"/>
        <n v="10008502"/>
        <n v="93100300"/>
        <n v="10021254"/>
        <n v="10023854"/>
        <n v="2100052515"/>
        <n v="10020170"/>
        <n v="10011152"/>
        <n v="10007993"/>
        <n v="10025305"/>
        <n v="10024034"/>
        <n v="10029203"/>
        <n v="10018240"/>
        <n v="10020031"/>
        <n v="10013658"/>
        <n v="10021549"/>
        <n v="10023898"/>
        <n v="93100295"/>
        <n v="10021543"/>
        <n v="10003438"/>
        <n v="99920050"/>
        <n v="10015406"/>
        <n v="10019660"/>
        <n v="10012756"/>
        <n v="2100051121"/>
        <n v="10016698"/>
        <n v="10021149"/>
        <n v="99920010"/>
        <n v="99920040"/>
        <n v="10031469"/>
        <n v="10023056"/>
        <n v="10021648"/>
        <n v="93100291"/>
        <n v="10016480"/>
        <n v="10020100"/>
        <n v="99006300"/>
        <n v="99920000"/>
        <n v="10016900"/>
        <n v="10020160"/>
        <n v="10018630"/>
        <n v="10008282"/>
        <n v="10023501"/>
        <n v="10024418"/>
        <n v="10023878"/>
        <n v="10022245"/>
        <n v="10028834"/>
        <n v="10020484"/>
        <n v="10017893"/>
        <n v="10003518"/>
        <n v="10002613"/>
        <n v="10016819"/>
        <n v="10020180"/>
        <n v="10018868"/>
        <n v="10011101"/>
        <n v="99006400"/>
        <n v="10025338"/>
        <n v="93100310"/>
        <n v="10017913"/>
        <n v="10023246"/>
        <n v="10007173"/>
        <n v="10021029"/>
        <n v="99005500"/>
        <n v="10018153"/>
        <n v="10018471"/>
        <n v="99920086"/>
        <n v="10003245"/>
        <n v="99001100"/>
        <n v="10002547"/>
        <n v="10026060"/>
        <n v="10002626"/>
        <n v="10025572"/>
        <n v="10010742"/>
        <n v="10025571"/>
        <n v="10015186"/>
        <n v="93100297"/>
        <n v="99920085"/>
        <n v="10030911"/>
        <n v="10028816"/>
        <n v="10024004"/>
        <n v="10024328"/>
        <n v="10024812"/>
        <n v="10024135"/>
        <n v="10020967"/>
        <n v="10014366"/>
        <n v="10020090"/>
        <n v="10020545"/>
        <n v="10019399"/>
        <n v="10023015"/>
        <n v="10019670"/>
        <n v="10024814"/>
        <n v="10017610"/>
        <n v="100161441"/>
        <n v="99009500"/>
        <n v="10024014"/>
        <n v="10023900"/>
        <n v="99008900"/>
        <n v="10026152"/>
        <n v="10024033"/>
        <n v="10015136"/>
        <n v="10025565"/>
      </sharedItems>
    </cacheField>
    <cacheField name="vendorname" numFmtId="0">
      <sharedItems count="561">
        <s v="ABDOOLALLY E. HOUSEWARES LTD"/>
        <s v="ABLEK TECHNOLOGY LTD"/>
        <s v="ABUNDANCE THERMO CONTROL FACTORY"/>
        <s v="FOSHAN SANSHUI DONGNAN ELE APP CO"/>
        <s v="WAON Development Ltd."/>
        <s v="AIRTEK"/>
        <s v="CONAN ELECTRIC MANUFACTURING LTD"/>
        <s v="ALLAN ELECTRIC MANUFACTURING LTD"/>
        <s v="KARAN ELECTRIC MANUFACTURING LTD"/>
        <s v="ALLY ELECTRONICS CO LTD"/>
        <s v="ALPHA LIMITED"/>
        <s v="ALTRUST PRECISION TOOLING CO. LTD."/>
        <s v="ANGU GROUP CO LTD"/>
        <s v="XIAMEN ANLIAN ENTREPRISE CO LTD"/>
        <s v="ART FAIR ENTERPRISE LTD"/>
        <s v="HUBEI AISHIDA ELE EQUIPMENT CO LTD"/>
        <s v="ZHEJIANG TAIZHOU AISHIDA"/>
        <s v="SHENZHEN ASIA BRIGHT IND CO LTD"/>
        <s v="TAICANG ATHOS ELECTRICAL COMPONENT"/>
        <s v="AUONE ELECTRICAL COMPANY LIMITED"/>
        <s v="SANHUA AWECO APPLIANCE SYSTEM WUHU"/>
        <s v="BAOLI COLOUR PRINTING CO LTD"/>
        <s v="JIANGSU BI GOLD NEW MATERIAL TECHN"/>
        <s v="BKZ HK INDUSTRIAL LTD"/>
        <s v="BKZ INTERNATIONAL HK ENTERPRISE LTD"/>
        <s v="BLUE ELECTRO INTERNATIONAL LTD"/>
        <s v="CAMEWOULD ELECTRICAL LTD"/>
        <s v="CHEN CHAIN INTERNATIONAL CO."/>
        <s v="CHAU S ELECTRICAL CO LTD"/>
        <s v="CHEUK KIT INDUSTRIAL HK LIMITED"/>
        <s v="CHI FUNG ELECTRONICS CO LTD"/>
        <s v="CHIAPHUA COMPONENTS LIMITED"/>
        <s v="CHING MING ALUMINIUM DIE CASTING MF"/>
        <s v="CHUNG FU HARDWARE ENTERPRISE CO LTD"/>
        <s v="CHUNG MEI INDUSTRIES LTD"/>
        <s v="SUZHOU CHUNJU ELECTRIC CO LTD"/>
        <s v="SIP CINDERSON MOTOR CO LTD"/>
        <s v="COILS ELECTRONIC CO LTD"/>
        <s v="COWAY CO LTD"/>
        <s v="CRASTAL TRADING LIMITED"/>
        <s v="ZHEJIANG CUORI ELECTRICAL"/>
        <s v="GUANG DONG DA WANGYE ELECTRIC LTD"/>
        <s v="DAILY WIN MANUFACTURE COMPANY"/>
        <s v="DALONGGLASS FTY CONSTRUCTION LTD"/>
        <s v="DAVE PLASTIC IND. PTE LTD"/>
        <s v="DAVE PLASTIC INDUSTRIES PTE LTD"/>
        <s v="ZHEJIANG DAWEI ELECTRONIC CO LTD"/>
        <s v="DB PRODUCTS LIMITED"/>
        <s v="GUANGDONG Victory Electrical"/>
        <s v="NINGBO DECHANG ELECTRICAL MACHINERY"/>
        <s v="DEL MANUFACTURING LIMITED"/>
        <s v="DEL INDUSTRIAL  LIMITED"/>
        <s v="DEL COMPONENTS LIMITED"/>
        <s v="DICKSON INDUSTRIAL CO LTD"/>
        <s v="DICKSON CIRCUIT HK LIMITED"/>
        <s v="DOCOME GLASS &amp; ELECTRICAL CO LTD"/>
        <s v="YUEQING DONGNAN ELECTRONICS CO LTD"/>
        <s v="GUANG DONG XINBAO"/>
        <s v="DRAGON WILL ENTERPRISE LTD"/>
        <s v="DS MOTOR WAYMAN ASIA LTD"/>
        <s v="ELECTRICAL &amp; ELECTRONICS LTD"/>
        <s v="EASTERN SOURCES HOUSEWARES HK LTD"/>
        <s v="EASYNET INTERNATIONAL CORPORATION"/>
        <s v="GUANGDONG  ELECPRO ELE APP CO"/>
        <s v="ELEC TECH INTER HK CO LTD"/>
        <s v="EMPEROR LIMITED"/>
        <s v="ENTECH PRODUCTS HONG KONG LTD"/>
        <s v="ETERNAL TECH GROUP (HONG KONG) Ltd"/>
        <s v="SUZHOU EUP ELECTRIC CO LTD"/>
        <s v="EVER KING HOUSEWARES MANUFACTURING"/>
        <s v="SHENZHEN EVERSHINE STEEL CASTING CO"/>
        <s v="EXCELIGHT LIMITED"/>
        <s v="FAIRFORM MANUFACTURING COMPANY LTD"/>
        <s v="JIAXING FANRONG ELECTRIC APP CO LTD"/>
        <s v="FATIA INDUSTRIAL CO LTD"/>
        <s v="KOREA FINE CERAMIC CO LTD"/>
        <s v="FOCUS &amp; CO (FAR EAST) LTD. IS"/>
        <s v="FORTUNE ART ASIA LIMITED"/>
        <s v="FRIENDSHIP ENTERPRISES INTER LTD"/>
        <s v="FU TIAN INDUSTRIAL CO LTD"/>
        <s v="SHANGHAI FUJITECH  PLASTIC CO LTD"/>
        <s v="GUANGDONG FUXIN TECHNOLOGY CO LTD"/>
        <s v="GD GALANZ MICROWAVE OVEN AND"/>
        <s v="GUANGDONG GALANZ ELECTRICAL"/>
        <s v="GEARING ENTERPRISES LIMITED"/>
        <s v="GEW INTERNATIONAL CORPORATION LTD"/>
        <s v="GLOBAL CIRCUITS BOARDS CO.LTD"/>
        <s v="GLOBAL TAT PRECISION LIMITED"/>
        <s v="GOLD TUNING TRADING CO.LTD"/>
        <s v="SANWO STAINLESS STEEL CO LTD"/>
        <s v="ZHONGSHAN GUANGLONG GAS &amp; ELE APP"/>
        <s v="GUANG YONG TRADING CO Ltd"/>
        <s v="NINGBO GUL TZ RUBBER BELT CO LTD"/>
        <s v="HAIYAN DONGHAI ELECTRICAL APPLIANCE"/>
        <s v="ZHANJIANG HALLSMART ELECTRICAL APP"/>
        <s v="HANG SHUN HING CO LTD"/>
        <s v="HANOOL ROBOTICS CORP"/>
        <s v="NINGBO HEIGER ELECTRICAL"/>
        <s v="SHANDONG HEISHAN GLASS GROUP CO LTD"/>
        <s v="CHAOZHOU TIANZHONG HENGDA"/>
        <s v="NINGBO HENGHE MOULD CO LTD"/>
        <s v="SUQIAN HENSEN GLASS PRODUCTS"/>
        <s v="HI TECH PRECISION INDUSTRIAL LTD"/>
        <s v="HIFACER CO LTD"/>
        <s v="HOLLYLAND COMPANY LIMITED"/>
        <s v="HOMEWELL CORPORATION LTD"/>
        <s v="HOMEZEST ELECTRICAL MFG CO LTD"/>
        <s v="GUANGDONG WENCAN DIE CASTING CO LTD"/>
        <s v="HUI HUA HONG SHING INDUSTRIAL"/>
        <s v="HONGRITA PLASTICS LIMITED"/>
        <s v="NINGBO HONGYI  ELECTRICAL APP CO"/>
        <s v="NANTONG HONSUN COOKWARE MANU CO LTD"/>
        <s v="HOP SHING METAL &amp; PLASTIC MFY LTD"/>
        <s v="HOPEET ENTERPRISE CO LTD"/>
        <s v="HOUSEWARES 2000 CO LTD"/>
        <s v="SUZHOU HOWELL ELECTRIC APPLIANCES"/>
        <s v="ZHONGSHAN HUAZHONG PLASTICS TECH"/>
        <s v="FOSHAN CITY SHUNDE DISTRICT"/>
        <s v="XIAMEN HYSEN CONTROL TECH CO LTD"/>
        <s v="IBL PRODUCTS CO LTD"/>
        <s v="JIANGMEN IDEARHANYU ELEC JOINTSTOCK"/>
        <s v="INTERCONTINENTAL MARKETING SERVICES"/>
        <s v="INTERCONTIN MKT SERVICES FAR EAST"/>
        <s v="J&amp;P HONG KONG INDUSTRIAL CO LTD"/>
        <s v="Jack Pot Manufacturer Corp"/>
        <s v="CHANGZHOU JIANLONG METAL PRODUCTS"/>
        <s v="SHENZHEN JINSUWAY MOULD CO LTD"/>
        <s v="JOHNSON ELECTRIC INDUSTRIAL"/>
        <s v="JOIN STAR INDUSTRIAL LIMITED"/>
        <s v="JOYWIN INTERNATIONAL LIMITED"/>
        <s v="KL PRECISION HANOI CO LTD"/>
        <s v="JUNJIA HK ELECTRIC MANFUCTURING CO"/>
        <s v="SHAOXING STAR TRADING CO LTD"/>
        <s v="kai Suh Suh Enterprise Co Ltd"/>
        <s v="FOSHAN KASCO ELECTRICAL CO LTD"/>
        <s v="KEEN HING INDUSTRIES LIMITED"/>
        <s v="JIANGMEN KELSON INDUSTRIES LTD"/>
        <s v="KENFORD INDUSTRIAL CO LTD"/>
        <s v="KEUNG SING MOULD LIMITED"/>
        <s v="KIN SUN MOULDING LTD"/>
        <s v="KINGCLEAN ELECTRIC CO LTD"/>
        <s v="KJI Ind Ltd"/>
        <s v="KONSTAR INDUSTRIES LTD"/>
        <s v="KOREA CLAD TECH CO LTD"/>
        <s v="KRELL PRECISION COMPANY LTD"/>
        <s v="KUNSHAN XINBAO PLASTIC PRODUCTS LTD"/>
        <s v="KUPO Co Ltd"/>
        <s v="KWONG TAI INDUSTRIAL CO LTD"/>
        <s v="KWONNIE ELECTRICAL PRODUCTS LTD"/>
        <s v="KWONNIE INDUSTRIES LIMITED"/>
        <s v="LEONI CABLE CHANGZHOU CO LTD"/>
        <s v="LEONI CABLE XIAMEN CO LTD"/>
        <s v="LIANTEK ELECTRICAL APP SZ CO LTD"/>
        <s v="LINKFAIR HONG KONG  LIMITED"/>
        <s v="MAGICIAN INDUSTRIAL COMPANY LIMITED"/>
        <s v="LOMAK INDUSTRIAL COMPANY LIMITED"/>
        <s v="LUN DAR ELECTRIC IND CO LTD"/>
        <s v="MAIN POWER ELECTRICAL FACTORY LTD"/>
        <s v="MALAPLAST CO LTD"/>
        <s v="MAXTRONIX TECHNOLOGY LIMITED"/>
        <s v="MERCHANT CORPORATION LTD"/>
        <s v="METROPOLITAN ELECTRICAL APP MFG LTD"/>
        <s v="MEYER ALUMINIUM LTD"/>
        <s v="MEYER ALUMINIUM THAILAND CO LTD"/>
        <s v="FOSHAN MD DOMESTIC ELECTRIC"/>
        <s v="MINGLE INSTRUMENT LIMITED"/>
        <s v="MOBICON HOLDINGS LTD"/>
        <s v="FORD LIMITED MONTERY"/>
        <s v="MOTOR ELECTRIC MFG CO LTD"/>
        <s v="FOSHAN CITY SHUNDE NAM CHING"/>
        <s v="NEW LEAF (HK) LTD"/>
        <s v="NIFCO HK LTD"/>
        <s v="NINGBO BANGSHOU ELECTRIC CO LTD"/>
        <s v="NY HANG MANUFACTURING CO LTD"/>
        <s v="OLYMPIC COUNTRY COMPANY LTD"/>
        <s v="ARABIN GROUP LIMITED"/>
        <s v="ONYX ENTERPRISE DEVELOPMENT INC"/>
        <s v="OXYGEN ELECTRICAL LTD"/>
        <s v="PACRIM INVESTMENT INTERNATIONAL Ltd"/>
        <s v="PAKMANE BRUSH FACTORY"/>
        <s v="PATELEC NINGBO ELECTRIC CO LTD"/>
        <s v="PAYER ELECTRIC PERSONAL CARE SUZHOU"/>
        <s v="PAYER Industries Hungary Kft"/>
        <s v="PCI SHANGHAI ELECTRONICS CO LTD"/>
        <s v="PERENNIAL CABLE HK  LIMITED"/>
        <s v="PERENNIAL CABLE LTD"/>
        <s v="SHANGHAI POVOS ELECTRIC WORKS COLTD"/>
        <s v="POWER MOTOR INDUSTRIAL CO LTD"/>
        <s v="PPM SHENZHEN COMPANY"/>
        <s v="PRO TENT MANUFACTURING CO LTD"/>
        <s v="SHEN ZHEN PRODOO ELE  APP CO LTD"/>
        <s v="PROSPEROUS PRODUCT DEVELOPMENT CO"/>
        <s v="PT MITRA CITRA MAKMUR"/>
        <s v="HONGKONG QIANCAI INDUSTRY CO LTD"/>
        <s v="JIANGMEN OUDISI ELECTRIC CO LTD"/>
        <s v="SHENZHEN RIFDA LCD CO LTD"/>
        <s v="GUANG DONG RIFENG ELE CABLE CO LTD"/>
        <s v="RISHENG ENTERPRISE INTL CO"/>
        <s v="ZHEJIANG RONGKANG R &amp; P TECH CO LTD"/>
        <s v="ROYAL ELECTRONIC FACTORY CO LTD"/>
        <s v="RUBTOP HONG KONG INERNATIONAL LTD"/>
        <s v="DONGGUAN SAIDAGLASS CO LTD"/>
        <s v="ZHEJIANG KINGWANG INDUSTRIAL CO LTD"/>
        <s v="SPARKLING DRINK SYSTEMS INNOVATION"/>
        <s v="SEMCO CO Ltd"/>
        <s v="SWIFT TONE TECHNOLOGY INC"/>
        <s v="CHANGZHOU SHENGHUI ELE CO LTD"/>
        <s v="SHOUJI TOOLING FACTORY LIMITED"/>
        <s v="SIMATELEX MANUFACTORY CO"/>
        <s v="GUANGDONG G TOP IMPORT AND EXPORT"/>
        <s v="SING FAI SCREWS &amp; METAL WORKS"/>
        <s v="SINO JAPAN ELECTRIC HEATER CO LTD"/>
        <s v="SMART ELECTRIC MOTOR CO LTD"/>
        <s v="SMART TECH INDUSTRIAL LIMITED"/>
        <s v="SPECIALIFE INDUSTRIES LTD"/>
        <s v="SOURCING SOLUTIONS INC"/>
        <s v="SUCCESS METAL PRODUCTS COMPANY"/>
        <s v="DOMOVISION AG"/>
        <s v="SUN CUPID INDUSTRIES LTD"/>
        <s v="SUN FAI INDUSTRIAL CO"/>
        <s v="SUN LUEN ELECTRICAL MANUFACTUR"/>
        <s v="SUN TAT MODEL DESIGN LIMITED"/>
        <s v="NINGBO SUNNY ELECTRICAL HEATING"/>
        <s v="SUNSTRONG INTERNATIONAL IND LTD"/>
        <s v="SUZHOU DELUXE ELECTRIC CO LTD"/>
        <s v="TA HSING ELECTRIC WIRE &amp; CABLE"/>
        <s v="TEAM CONCEPT HK INDUSTRY LIMITED"/>
        <s v="TECH LINK SILICONES CO LTD"/>
        <s v="TELEFIELD LTD"/>
        <s v="THERMASTER ELECTRONIC (XIAMEN) LTD"/>
        <s v="THERMOKEY ELECTRIC INDUSTRIAL CORP"/>
        <s v="NINGBO TIANBO GANGLIAN ELECTRONICS"/>
        <s v="TIFFANY MATERIALS LTD"/>
        <s v="TK INTERNATIONAL (BVI) LTD"/>
        <s v="TOWER SWITCHES Ltd"/>
        <s v="ZHONGSHAN TRANSTEK TRADING CO LTD"/>
        <s v="TSANN KUEN ZHANGZHOU  ENTREPRISE"/>
        <s v="PT STAR COMGISTIC INDONESIA"/>
        <s v="TSUN NGAI TOOLS COMPANY"/>
        <s v="TAEYANG SAIGON CO LTD"/>
        <s v="Uni-Splendor Corporation"/>
        <s v="UNITED RUBBER FACTORY LTD"/>
        <s v="UNIWELL ELECTRONIC LTD"/>
        <s v="V MOTOR LIMITED"/>
        <s v="VIGOR PRECISION LTD"/>
        <s v="VOLUME TABLEWARE LTD"/>
        <s v="VSA ELECTRONICS TECHNOLOGY"/>
        <s v="VS ELECTRONICS ZHUHAI CO LTD"/>
        <s v="UPWILL ENTERPRISES LIMITED"/>
        <s v="WAI SHING INDUSTRIAL (HK) LTD"/>
        <s v="ZHEJIANG WANGUAN MOTOR CO LTD"/>
        <s v="SHANGHAI WAN SHENG"/>
        <s v="WANG CHUN INDUSTRIAL LTD"/>
        <s v="ZHEJIANG XINGPENG IMP &amp; EXP CO LTD"/>
        <s v="WESTA ELECTRIC APPLIANCES CO LTD"/>
        <s v="WIK FAR EAST LTD"/>
        <s v="WIK Indonésia"/>
        <s v="WING KEUNG METAL FACTORY"/>
        <s v="WINNINGTON METAL &amp; PLASTIC M.CO LTD"/>
        <s v="WISEFAME INTERNATIONAL LTD"/>
        <s v="WOO FUNG METAL WORKS LTD"/>
        <s v="WOR BIZ TRADING CO LTD"/>
        <s v="X J GROUP LIMITED"/>
        <s v="CHANGZHOU INOXON METALTECH CO LTD"/>
        <s v="GUANGZHOU XING BAI JIA GLASS CO LTD"/>
        <s v="Ya Horng Electronic Co., Ltd."/>
        <s v="PEARL SUMMIT LIMITED"/>
        <s v="SHANGHAI YING BAO PLASTIC HOSE LTD"/>
        <s v="JIANGMEN YINGDE TOUGHENED GLASS"/>
        <s v="SHANGHAI YIWEI TRADE CO LTD"/>
        <s v="DONGGUAN YONG TAI DIE CASTING"/>
        <s v="YORKWELL INDUSTRIES LIMITED"/>
        <s v="YOU LONG ELECTRICAL INDUSTRIAL LTD"/>
        <s v="YOUNG AN WING"/>
        <s v="ZHEJIANG YUELI ELECTRICAL CO LTD"/>
        <s v="ZIPPY TECHNOLOGY CORP"/>
        <s v="ABIS MOLD TECHNOLOGIY"/>
        <s v="BONAKA LIMITED"/>
        <s v="BRAND &amp; MARK INDUSTRIAL LTD"/>
        <s v="BREMED LIMITED"/>
        <s v="HWI INTERNATIONAL LIMITED"/>
        <s v="CAMFORD HOME PRODUCTS LIMITED"/>
        <s v="CENTURY INDUSTRIAL (ASIA) LIMITED"/>
        <s v="CHANG SHENG ELECTRICAL APPLIANCE CO"/>
        <s v="CHAU'S ELECT. CO LTD"/>
        <s v="CHIAPHUA INDUSTRIES LIMITED"/>
        <s v="CHINA WISDOM LIMITED"/>
        <s v="CIXI CITY TIMER CO LTD"/>
        <s v="CHANG JIANG PLASTIC MOULDS CO"/>
        <s v="CO WIN GLOBAL Ltd"/>
        <s v="COTTON JP"/>
        <s v="DAISAN S.J. CO. LTD."/>
        <s v="DEL MANUFACTURING LTD DEFOND"/>
        <s v="DOLSAN CO LTD"/>
        <s v="DOMEL ELECTRIC MOTORS SUZHOU CO LTD"/>
        <s v="HUROM LS CO LTD"/>
        <s v="DONGJIN TABLEWARE CO LTD"/>
        <s v="SHENZHEN DURABLE MANUFACTURING LTD"/>
        <s v="XIAMEN COMFORT SCIENCE &amp; TEC CO LTD"/>
        <s v="ELITE ENTERPRISES HK CO LTD"/>
        <s v="E ANDE HK LTD"/>
        <s v="EXCELLENT ASSOCIATION LTD"/>
        <s v="FLYING DRAGON ELECTRONIC CO LTD"/>
        <s v="FOB INSTRUMENTS LTD"/>
        <s v="FOREIGN TRADE CO. OF SUZHOU"/>
        <s v="FOSHAN NANHAI HEFENG ELECTRO"/>
        <s v="GENG JENG INDUSTRIAL Co Ltd"/>
        <s v="GIGAFLASH LIMITED"/>
        <s v="ZHEJIANG GKO ALUMINIUM CO LTD"/>
        <s v="GLOBAL EMS  H K LTD"/>
        <s v="SHUNDE GOLDEN LIGHT ELECTRIC"/>
        <s v="GOOD THINGS INTERNATIONAL LTD"/>
        <s v="GUAN YING HK HOLDINGS LIMITED"/>
        <s v="ZHANGJIAGANG GUANGFENG GLASS CO LTD"/>
        <s v="HANA SEMICONDUCTOR INTERNATIONAL"/>
        <s v="ZHEJIANG HOTSUN ALUMINUM INDUSTRY"/>
        <s v="HARRY LEUNG &amp; CO. LTD"/>
        <s v="HANGZHOU HENGYE MOTOR MF CO LTD"/>
        <s v="HING WAH"/>
        <s v="HEADWAY ELECTRICAL HEAT COMPONENTS"/>
        <s v="HOLTEK SEMICONDUCTOR INC"/>
        <s v="HONG BANG INDUSTRIAL COMPANY CO LTD"/>
        <s v="HONGRITA PLASTIC MOULD LTD."/>
        <s v="NINGBO HUANHAI ELECTRIC APPLIANCES"/>
        <s v="HUBDIC CO LTD"/>
        <s v="HUNG TAI METAL MANUFACTORY"/>
        <s v="IMT"/>
        <s v="JIANG KOU ELECTRIC APPL"/>
        <s v="TONGXIANG JIANMIN FILTER MATERIAL"/>
        <s v="SHENZHEN JINGHUA DISPLAYS CO.L"/>
        <s v="JUNG CHUEN"/>
        <s v="JUNG CHUEN BAKELITE &amp; PLASTIC"/>
        <s v="KANETA ELECTROHEAT TECHNOLOGIES"/>
        <s v="KASMAIN CO  LTD"/>
        <s v="SHENZHEN KELIDA INDUSTRIAL CO LTD"/>
        <s v="KING WIN HOULD PLASTIC PRODUCT CO"/>
        <s v="CHINA KODY (GROUP) LTD"/>
        <s v="KUO JUN ELECTRICAL CO LTD"/>
        <s v="KWONG FAI RUBBER PRODUCTS LTD"/>
        <s v="LADS-PRO INC."/>
        <s v="LISHENGDA IRON &amp; STEEL PROCESS LTD"/>
        <s v="LIVINGS INSPIRATION LIMITED"/>
        <s v="MANNIX PRINTING COMPANY LTD"/>
        <s v="MASTER HOUSEHOLD"/>
        <s v="MERRY CHANCE INDUSTRIES LTD"/>
        <s v="MEYER MARKETING CO.LTD"/>
        <s v="MICROCHIP TECHNOLOGY IRELAND"/>
        <s v="SHENZHEN MOSO POWER SUPPLY"/>
        <s v="MULTIWOOD INDUSTRIAL COMPANY LTD"/>
        <s v="NEC ELECTRONICS EUROPE GMBH"/>
        <s v="NEW WIDETECH INDUSTRIES CO.,LTD"/>
        <s v="NIPPON CIRCUITS LIMITED"/>
        <s v="NLIGHT LASER SHANGHAI CO LTD"/>
        <s v="NOVALUX HK ELECTRICS LTD"/>
        <s v="PACIFIC RUBBER WORKS CO LTD"/>
        <s v="PANTENE"/>
        <s v="PROTRONICS"/>
        <s v="PT MASPION"/>
        <s v="RI XING COMPANY LIMITED"/>
        <s v="RIGHT AIM LIMITED"/>
        <s v="SAGEM COMMUNICATIONS"/>
        <s v="SAM MEI ENTERPRISES (HK) CO."/>
        <s v="SAN GUANG ELECTRONICS CO LTD"/>
        <s v="SANWALL ELECTRIC PRODUCTS CO LTD"/>
        <s v="XINGTAI SANXIA CAST IRON CO LTD"/>
        <s v="SANYO COMPONENT EUROPE GMBH"/>
        <s v="SHENZHEN SAPAC INDUSTRY CO LTD"/>
        <s v="SHANGHAI XING XIN COOKWARE CO LTD"/>
        <s v="SHENZHEN SEA STAR TECHNOLOGY CO LTD"/>
        <s v="SILVER STAR INTERNATIONAL LTD"/>
        <s v="SINCE HARDWARE (GUANGZHOU) CO LTD"/>
        <s v="SOLUX ASSOCIATES INC"/>
        <s v="SONG CHUAN EUROPE GMBH"/>
        <s v="SHANGHAI SEB ELECTRICAL APPLIANCES"/>
        <s v="SUPERGRACE INTERNATIONAL CO LTD"/>
        <s v="ZHEJIANG SUPOR CO LTD"/>
        <s v="ZHEJIANG SUPOR ELECTRICAL"/>
        <s v="SHAOXING SUPOR ELECTRICAL APP LTD"/>
        <s v="SUPOR VIETNAM CO LTD"/>
        <s v="VIETNAM FAN JOINT STOCK COMPANY"/>
        <s v="Techlink"/>
        <s v="TIANZAO ENTERPRISE HK COMPANY"/>
        <s v="TONIC APPLIANCES LTD"/>
        <s v="TOP LINE SOURCES INTER CO LTD"/>
        <s v="TRANWO TECHNOLOGY CO LTD"/>
        <s v="TSANN KUEN CHINA ENTERPRISE"/>
        <s v="STAR COMGISTIC CAPITAL CO LTD"/>
        <s v="TSANN KUEN ENTERPRISE CO LTD"/>
        <s v="UNITEC TOOLING (HK) LIMITED"/>
        <s v="VIEW DELUXE COMPANY LTD"/>
        <s v="VISON CHINA INDUSTRIAL"/>
        <s v="WAH HING FAI INDUSTRIAL COMPANY LTD"/>
        <s v="WAH HING TRANSFORMER MFY LTD"/>
        <s v="CHINA NAL AEROTECHNOLOGY IMP&amp;EXP"/>
        <s v="WELL HOPES TOOLING MANUF. CO LTD"/>
        <s v="WIN KO HONG KONG CO LTD"/>
        <s v="WINSON COMPANY"/>
        <s v="WUHAN CWH SUPOR CO LTD"/>
        <s v="XIAMEN JUN YI METAL CO LTD"/>
        <s v="YICK LEE INTERNATIONAL (H.K.)"/>
        <s v="YICKLEE PLASTIC MOULD"/>
        <s v="ZHEJIANG SUPOR RUBBER &amp; PLASTIC"/>
        <s v="CHAOZHOU ZHONGYE CERAMIC CO LTD"/>
        <s v="ZOPPAS INDUSTRIES HANGZHOU LTD"/>
        <s v="HONOR BEST LTD"/>
        <s v="JACK POT APPLIANCE LTD"/>
        <s v="APITA UNY HK CO LTD"/>
        <s v="ZHEJIANG SKYWELLELECTRICAL APP CO"/>
        <s v="METROPOLITAN"/>
        <s v="Lourdes Food"/>
        <s v="G.D FOSHAN FOREIGN ECONOMIC"/>
        <s v="QIANYANG TRADING COMPANY LTD"/>
        <s v="SETO DESIGN &amp; CONSTRUCTION LTD"/>
        <s v="SCIENTIFIC ELECTRONICS LTD"/>
        <s v="TOP UNI LTD"/>
        <s v="SINO LUCK INDUSTRIES LIMITED"/>
        <s v="THE WING ON DEPARTMENT STORES"/>
        <s v="SHANGHAI TIGER-BORN ELECTRONIC"/>
        <s v="SHANTOU JINGHUA CO LTD"/>
        <s v="CHEOK NGAI CHIT KAI CHONG SAO CONG"/>
        <s v="DISPLAY SOLUTION"/>
        <s v="DRAGON TOWN ENTERPRISES HK LTD"/>
        <s v="Easynet International Corporat"/>
        <s v="Mayenne Food"/>
        <s v="CHINA GUANGDONG INTERNATIONAL"/>
        <s v="TA LIMITED"/>
        <s v="SHUI FUNG MANUFACTURING CO LTD"/>
        <s v="AZEN CREATIVE"/>
        <s v="STADIUM ASIA LIMITED"/>
        <s v="Elecpro (HK) Indust Ltd"/>
        <s v="LECCO CORPORATION"/>
        <s v="SAMLUNG INDUSTRIAL Ltd"/>
        <s v="TRADEWAY INDUSTRIAL CO LTD"/>
        <s v="KJI INDUSTRIAL LIMITED CN - Ch"/>
        <s v="Fournisseur non gere"/>
        <s v="BONAKA"/>
        <s v="TOX PRESSOTECHNIK"/>
        <s v="THE FRENCH CHAMBER OF COMMERCE AND"/>
        <s v="LUCKY LOYAL INDUSTRIAL LIMITED"/>
        <s v="SHANGHAI TRIONES INCORPORATION"/>
        <s v="SELF CREATION ADVERTISING"/>
        <s v="HUAJIE HIMAKE"/>
        <s v="SHEL ASIA MANUFACTURING COMPANY"/>
        <s v="MIDEA"/>
        <s v="HUBDIC"/>
        <s v="MAYENNE-031-055"/>
        <s v="WELTREND TECHNOLOGY CORP"/>
        <s v="DES HK COMPANY LTD"/>
        <s v="IBL PRODUCTS CO.LTD"/>
        <s v="ALUNITES"/>
        <s v="SEB ASIA LTD"/>
        <s v="PESOTEC LIMITED"/>
        <s v="MINDSHARE HONG KONG LTD."/>
        <s v="Arno Food"/>
        <s v="LINKCO DEEP FRYER LIMITED"/>
        <s v="WIN WELL INDUSTRIAL CO"/>
        <s v="ELEC TECH INTERNATIONAL CO LTD"/>
        <s v="BETTER ELECTRICAL PRODUCTS HK CO"/>
        <s v="MISCELLANEOUS"/>
        <s v="GOLIN HARRIS INTERNATIONAL LIMITED"/>
        <s v="KEENSOUND INDUSTRIES LTD"/>
        <s v="Division logistique SEB"/>
        <s v="NEW WIDETECH"/>
        <s v="ITT CANNON (XIAMEN) ELECTRONIC IND"/>
        <s v="SHARP SING LTD"/>
        <s v="LOGISTIC TEFAL Rumilly"/>
        <s v="CHUNG TA RUBBER SOLUTION INDUS"/>
        <s v="KWONFAI OFFSET PRINTING CO LTD"/>
        <s v="PACIFIC SMART ENTERPRISES"/>
        <s v="ARIBA INC."/>
        <s v="Vivaki Communications SAS"/>
        <s v="ALSY SA"/>
        <s v="SYNERGY MARKETING"/>
        <s v="JIANGSU XIUQIANG GLASSWORK"/>
        <s v="MATCH IDEA BOX LTD"/>
        <s v="A8374562 D.OV22LID BANQUET EASY CARE BLA"/>
        <s v="ADISON"/>
        <s v="LUEN MING ELECTRIC &amp; PLASTIC WORKS"/>
        <s v="AUTOSERVIZI BORRONI"/>
        <s v="JAPAN HOME"/>
        <s v="SHENZHEN JINSUNWAY MOULD CO LTD"/>
        <s v="SHINE LEADER INDUSTRIAL LTD"/>
        <s v="NINGBO WELL METALS CO LTD"/>
        <s v="RAYMOND INDUSTRY LIMITED"/>
        <s v="CHAN TEAM INDUSTRIAL"/>
        <s v="HAND &amp; HEART"/>
        <s v="SEMK INDUSTRIAL CO LTD"/>
        <s v="PRODOO"/>
        <s v="GLOBAL ELECTRIC COMPANY"/>
        <s v="WAYMAN ASIA LIMITED"/>
        <s v="XIAMEN HONG MEI ELECTRONIC CO"/>
        <s v="E9729812 SET 10P PRO SERIES SS RUSSIA"/>
        <s v="CHOON NANG ELECT. APPLI.  MFY. LTD"/>
        <s v="KEON CO LTD"/>
        <s v="KINGCLEAN"/>
        <s v="Sun Luen"/>
        <s v="SAMKWANG GLASS CO LTD"/>
        <s v="NEXT PUBLICATIONS LIMITED"/>
        <s v="DONGGUAN EVER UNITED ELECTRIC"/>
        <s v="CHEERS HONG KONG LTD"/>
        <s v="HAYCO MANUFACTURING LTD"/>
        <s v="SEB ASIA LTD., TAIWAN BRANCH"/>
        <s v="KUO JUN"/>
        <s v="ZHONGXIN ELECTRICAL MACHINERY CO"/>
        <s v="HIFACER CO.LTD"/>
        <s v="CHANG CHUN PLASTICS CO LTD"/>
        <s v="GORDIAN NONWOVENS TECHNOLOGY LTD"/>
        <s v="ROYAL SUPERMARKET COMPANY LIMITED"/>
        <s v="UNIFORM CENTRE FACTORY"/>
        <s v="KINGSHARE TECHNOLOGY LTD"/>
        <s v="CHILDREN OF THE MEKONG"/>
        <s v="PUBLICIS WORLDWIDE HONG KONG LTD"/>
        <s v="LEADERS HONG KONG LEATHER LTD"/>
        <s v="SUN MOTOR INDUSTRIAL CO  LTD"/>
        <s v="PUBLICIS CONSEIL"/>
        <s v="ACE SOUND ENTERPRISE CO.LTD"/>
        <s v="SUMENG CLEANING APPLIANCE (SUZHOU)"/>
        <s v="LONGHAI JUN-YI METAL ENTERPRIS"/>
        <s v="NANTONG XINRONG GLASS PRODUCTS"/>
        <s v="THERMOS H.K. LIMITED"/>
        <s v="SEB THAILAND ltd"/>
        <s v="ALBERGO BELVEDERE PALLANZA SRI"/>
        <s v="VESTA ELECTRICAL APPLIANCE MFG CO"/>
        <s v="SY SOLUTIONS LIMITED"/>
        <s v="NINGBO WIN WAY CO LTD"/>
        <s v="SOUTHERN ALUMINIUM INDUSTRY"/>
        <s v="SEB TRADING (SHANGAI) CO"/>
        <s v="EMERSON APPLIANCE SOLUTIONS"/>
        <s v="WELLHOPE TRADING COMPANY Ltd"/>
        <s v="SAGEM"/>
        <s v="ELECTRONICS CIRCUIT WORLD CO LTD"/>
        <s v="SEB SAS"/>
        <s v="SSEAC"/>
        <s v="SURFACE MOUNT TECHNOLOGY LTD"/>
        <s v="I COOK ALVARADO HOLDINGS LTD"/>
        <s v="NEW YAOHAN"/>
        <s v="CHILY PRECISION INDUSTRIAL CO"/>
        <s v="JINLONG ELECTRICAL SUPERMARKET LTD"/>
        <s v="GPI INTERNATIONAL LIMITED"/>
        <s v="TRANWO"/>
        <s v="MPEG HK LIMITED"/>
        <s v="STRATEGIC COMMUNICATIONS CONSULTANT"/>
        <s v="RELIABLE PARTNER CO LTD"/>
        <s v="INNERWORKINGS France"/>
        <s v="SOGO HONG KONG CO LTD"/>
        <s v="TELEVISION BROADCASTS LIMITED"/>
        <s v="SAMEX CO LTD"/>
        <s v="TOP-UP INDUSTRY CORP"/>
        <s v="KAI WAY ENTERPRISE CO LTD"/>
        <s v="1ST ASIA DIRECT MARKETING &amp; ADVERT"/>
        <s v="XG OPERATION INTL LTD"/>
        <s v="WAH TAK DECORATION &amp; DESIGN CO"/>
        <s v="CANADA HANDS COMPANY"/>
        <s v="WING ON - YONG AN"/>
        <s v="SEB INTERNATIONAL SERVICE SAS"/>
        <s v="MINDSHARE HONG KONG LTD"/>
        <s v="LAGOSTINA  SPA"/>
        <s v="HONG KONG DOLLARSAVER"/>
        <s v="ARIBA INC"/>
        <s v="SHANGHAI MORGAN MATROC TECHNICAL"/>
        <s v="UNITED CONCEPT PRINTING SPECIALIST"/>
      </sharedItems>
    </cacheField>
    <cacheField name="shortname" numFmtId="0">
      <sharedItems containsBlank="1" count="382">
        <s v="ABDOOLALLY"/>
        <s v="ABLEK"/>
        <s v="ABUNDANCE"/>
        <s v="ACE DONGNAN"/>
        <s v="AIRMATE"/>
        <s v="AIRTEK"/>
        <s v="ALLAN"/>
        <s v="ALLY"/>
        <s v="ALPHA"/>
        <s v="ALTRUST TOOLING"/>
        <s v="ANGU GROUP"/>
        <s v="ANLIAN"/>
        <s v="ARTFAIR"/>
        <s v="ASD"/>
        <s v="ASIA BRIGHT"/>
        <s v="ATHOS"/>
        <s v="AUONE"/>
        <s v="AWECO"/>
        <s v="BAOLI COLOUR"/>
        <s v="BI GOLD"/>
        <s v="BKZ HK"/>
        <s v="BLUE ELECTRO"/>
        <s v="CAMEWOULD"/>
        <s v="CCI"/>
        <s v="CHAU&quot;S"/>
        <s v="CHEUK KIT"/>
        <s v="CHI FUNG"/>
        <s v="CHIAPHUA"/>
        <s v="CHING MING DIE CAST"/>
        <s v="CHUNG FU HARDWARE"/>
        <s v="CHUNG MEI"/>
        <s v="CHUNJU"/>
        <s v="CINDERSON"/>
        <s v="COILS"/>
        <s v="COWAY"/>
        <s v="CRASTAL"/>
        <s v="CUORI"/>
        <s v="DA WANG YE"/>
        <s v="DAILYWIN"/>
        <s v="DALONG"/>
        <s v="DAVE PLASTIC"/>
        <s v="DAWEI"/>
        <s v="DB PRODUCTS"/>
        <s v="DCH"/>
        <s v="DECHANG"/>
        <s v="DEFOND"/>
        <s v="DEFOND COMPONENTS"/>
        <s v="DICKSON"/>
        <s v="DICKSON CIRCUIT"/>
        <s v="DOCOME GLASS"/>
        <s v="DONGNAN"/>
        <s v="DONLIM"/>
        <s v="DS MOTOR"/>
        <s v="E &amp; E"/>
        <s v="EASTERN SOURCES"/>
        <s v="EASYNET"/>
        <s v="ELECPRO"/>
        <s v="ELECTECH"/>
        <s v="EMPEROR"/>
        <s v="ENTECH"/>
        <s v="ETERNAL"/>
        <s v="EUP"/>
        <s v="EVER KING"/>
        <s v="EVERSHINE"/>
        <s v="EXCELIGHT"/>
        <s v="FAIRFORM"/>
        <s v="FANRONG"/>
        <s v="FATIA"/>
        <s v="FINE CERAMIC"/>
        <s v="FOCUS"/>
        <s v="FORTUNE ART"/>
        <s v="FRIENDSHIP"/>
        <s v="FU TIAN"/>
        <s v="FUJITECH"/>
        <s v="FUXIN"/>
        <s v="GALANZ"/>
        <s v="GEARING"/>
        <s v="GEW"/>
        <s v="GLOBAL CIRCUITS BOARDS"/>
        <s v="GLOBAL TAT"/>
        <s v="GOLD TUNING"/>
        <s v="GOLDRIC"/>
        <s v="GUANG LONG"/>
        <s v="GUANG YONG"/>
        <s v="GUL TZ"/>
        <s v="HAIYAN DONGHAI"/>
        <s v="HALLSMART"/>
        <s v="HANG SHUN HING"/>
        <s v="HANOOL"/>
        <s v="HEIGER"/>
        <s v="HEISHAN GLASS"/>
        <s v="HENGDA"/>
        <s v="HENGHE"/>
        <s v="HENSEN GLASS"/>
        <s v="HI TECH PRECISION"/>
        <s v="HIFACER"/>
        <s v="HOLLYLAND"/>
        <s v="HOMEWELL"/>
        <s v="HOMEZEST"/>
        <s v="HONG BANG"/>
        <s v="HONG SHING"/>
        <s v="HONGRITA"/>
        <s v="HONGYI"/>
        <s v="HONSUN"/>
        <s v="HOP SHING"/>
        <s v="HOPEET"/>
        <s v="HOUSEWARES 2000"/>
        <s v="HOWELL"/>
        <s v="HUAZHONG PLASTICS"/>
        <s v="HUIERJIA"/>
        <s v="HYSEN"/>
        <s v="IBL"/>
        <s v="IDEARHANYU"/>
        <s v="IMS"/>
        <s v="IMS Far East"/>
        <s v="J&amp;P HONG KONG"/>
        <s v="JACK POT"/>
        <s v="JIANLONG METAL"/>
        <s v="JINSUWAY MOULD"/>
        <s v="JOHNSON"/>
        <s v="JOIN STAR"/>
        <s v="JOYFU"/>
        <s v="JPK"/>
        <s v="JUNJIA"/>
        <s v="JUNWILL"/>
        <s v="KAI SUH SUH"/>
        <s v="KASCO"/>
        <s v="KEEN HING"/>
        <s v="KELSON"/>
        <s v="KENFORD"/>
        <s v="KEUNG SING MOULD"/>
        <s v="KIN SUN MOULDING"/>
        <s v="KINGCLEAN"/>
        <s v="KJI"/>
        <s v="KONSTAR"/>
        <s v="KOREA CLAD TECH"/>
        <s v="KRELL"/>
        <s v="KUNSHAN XINBAO"/>
        <s v="KUPO"/>
        <s v="KWONG TAI"/>
        <s v="KWONNIE"/>
        <s v="LEONI CHANGZHOU"/>
        <s v="LEONI XIAMEN"/>
        <s v="LIANTEK"/>
        <s v="LINKFAIR"/>
        <s v="LISI"/>
        <s v="LOMAK"/>
        <s v="LUNDAR"/>
        <s v="MAIN POWER"/>
        <s v="MALAPLAST"/>
        <s v="MAXTRONIX"/>
        <s v="MERCHANT"/>
        <s v="METROPOLITAN"/>
        <s v="MEYER"/>
        <s v="MIDEA"/>
        <s v="MINGLE"/>
        <s v="MOBICON"/>
        <s v="MONTERY"/>
        <s v="MOTOR ELECTRIC"/>
        <s v="NAM CHING GLASS"/>
        <s v="NEW LEAF"/>
        <s v="NIFCO"/>
        <s v="NINGBO BANGSHOU"/>
        <s v="NY HANG"/>
        <s v="OLYMPIC COUNTRY"/>
        <s v="OMAN"/>
        <s v="ONYX"/>
        <s v="OXYGEN"/>
        <s v="PACRIM"/>
        <s v="PAKMANE BRUSH"/>
        <s v="PATELEC"/>
        <s v="PAYER"/>
        <s v="PCI SHANGHAI"/>
        <s v="PERENNIAL"/>
        <s v="POVOS"/>
        <s v="POWER MOTOR"/>
        <s v="PRECISION PRODUCTS"/>
        <s v="PRO TENT"/>
        <s v="PRODOO"/>
        <s v="PROSPEROUS"/>
        <s v="PT MITRA"/>
        <s v="QIANCAI"/>
        <s v="QIBAO"/>
        <s v="RIFDA"/>
        <s v="RIFENG"/>
        <s v="RISHENG"/>
        <s v="RONGKANG"/>
        <s v="ROYAL ELECTRONIC"/>
        <s v="RUBTOP"/>
        <s v="SAIDA"/>
        <s v="SANBO"/>
        <s v="SDS"/>
        <s v="SEMCO"/>
        <s v="SHENGHUI"/>
        <s v="SHOUJI TOOLING"/>
        <s v="SIMATELEX"/>
        <s v="SINCERE HOME"/>
        <s v="SING FAI SCREWS"/>
        <s v="SINO JAPAN"/>
        <s v="SMART ELECTRIC"/>
        <s v="SMART TECH"/>
        <s v="SPECIALIFE"/>
        <s v="SSI"/>
        <s v="SUCCESS METAL"/>
        <s v="SUN CUPID"/>
        <s v="SUN FAI"/>
        <s v="SUN LUEN"/>
        <s v="SUN TAT MODEL"/>
        <s v="SUNNY"/>
        <s v="SUNSTRONG"/>
        <s v="SUZHOU DELUXE"/>
        <s v="TA HSING"/>
        <s v="TEAM CONCEPT"/>
        <s v="TECHLINK"/>
        <s v="TELEFIELD"/>
        <s v="THERMASTER"/>
        <s v="THERMOKEY"/>
        <s v="TIANBO GANGLIAN"/>
        <s v="TIFFANY"/>
        <s v="TK INTERNATIONAL"/>
        <s v="TOWER SWITCHES"/>
        <s v="TRANSTEK"/>
        <s v="TSANN KUEN"/>
        <s v="TSUN NGAI TOOLS"/>
        <s v="TYS"/>
        <s v="UNI-SPLENDOR"/>
        <s v="UNITED RUBBER"/>
        <s v="UNIWELL"/>
        <s v="V MOTOR"/>
        <s v="VIGOR"/>
        <s v="VOLUME TABLEWARE"/>
        <s v="VS"/>
        <s v="WAI SHING"/>
        <s v="WAN GUAN"/>
        <s v="WAN SHENG"/>
        <s v="WANG CHUN"/>
        <s v="WEIHUA"/>
        <s v="WESTA"/>
        <s v="WIK"/>
        <s v="WING KEUNG"/>
        <s v="WINNINGTON"/>
        <s v="WISEFAME"/>
        <s v="WOO FUNG"/>
        <s v="WOR BIZ"/>
        <s v="X J GROUP"/>
        <s v="XILIN"/>
        <s v="XING BAI JIA GLASS"/>
        <s v="YA HORNG"/>
        <s v="YIDA"/>
        <s v="YING BAO"/>
        <s v="YINGDE"/>
        <s v="YIWEI"/>
        <s v="YONG TAI"/>
        <s v="YORKWELL"/>
        <s v="YOU LONG"/>
        <s v="YOUNG AN"/>
        <s v="YUE LI"/>
        <s v="ZIPPY"/>
        <s v="ABIS MOLD"/>
        <s v="BONAKA"/>
        <s v="BRAND &amp; MARK"/>
        <s v="BREMED"/>
        <s v="BREVILLE"/>
        <s v="CAMFORD"/>
        <s v="CENTURY"/>
        <s v="CHANG SHENG"/>
        <s v="CHIAPHUA INDUSTRIES"/>
        <s v="CHINA WISDOM"/>
        <s v="CITY TIMER"/>
        <s v="CJ MOULDS"/>
        <s v="CO WIN"/>
        <s v="COTTON"/>
        <s v="DAISAN S.J. CO. LTD."/>
        <s v="DOLSAN"/>
        <s v="DOMEL ELECTRIC"/>
        <s v="DONG AH"/>
        <s v="DONGJIN"/>
        <s v="DURABLE"/>
        <s v="EASEPAL"/>
        <s v="ELITE ENTERPRISES"/>
        <s v="EON"/>
        <s v="EXCELLENT ASSOCIATION"/>
        <s v="FLYING DRAGON"/>
        <s v="FOB"/>
        <s v="FOREIGN TRADE SUZHOU"/>
        <s v="FOSHAN NANHAI HEFENG"/>
        <s v="GENG JENG"/>
        <s v="GIGAFLASH"/>
        <s v="GKO ALUMINIUM"/>
        <s v="GLOBAL EMS"/>
        <s v="GOLDEN LIGHT"/>
        <s v="GOOD THINGS"/>
        <s v="GUAN YING"/>
        <s v="GUANGFENG GLASS"/>
        <s v="HANA SEMICONDUCTOR"/>
        <s v="HAOTAI"/>
        <s v="HARRY LEUNG"/>
        <s v="HENGYE"/>
        <s v="HING WAH"/>
        <s v="HK GLOBALYIELD"/>
        <s v="HOLTEK SEMICONDUCTOR"/>
        <s v="HONGRITA PLASTIC MOULD"/>
        <s v="HUANHAI"/>
        <s v="HUBDIC"/>
        <s v="HUNG TAI METAL"/>
        <s v="IMT"/>
        <s v="JIANG KOU ELECTRIC"/>
        <s v="JIANMIN FILTER MATERIAL"/>
        <s v="JINGHUA DISPLAYS"/>
        <s v="JUNG CHUEN"/>
        <s v="JUNG CHUEN BAKELITE"/>
        <s v="KANETA"/>
        <s v="KASMAIN"/>
        <s v="KELIDA"/>
        <s v="KING WING HOULD PLASTIC"/>
        <s v="KODY"/>
        <s v="KUO JUN"/>
        <s v="KWONG FAI RUBBER"/>
        <s v="LADS-PRO"/>
        <s v="LISHENGDA"/>
        <s v="LIVINGS INSPIRATION"/>
        <s v="MANNIX PRINTING"/>
        <s v="MASTER HOUSEHOLD"/>
        <s v="MERRY CHANCE"/>
        <s v="MEYER MARKETING"/>
        <s v="MICROCHIP"/>
        <s v="MOSO POWER"/>
        <s v="MULTIWOOD"/>
        <s v="NEC ELECTRONICS"/>
        <s v="NEW WIDETECH"/>
        <s v="NIPPON CIRCUITS"/>
        <s v="NLIGHT"/>
        <s v="NOVALUX HK"/>
        <s v="PACIFIC RUBBER"/>
        <s v="PANTENE"/>
        <s v="PROTRONICS"/>
        <s v="PT MASPION"/>
        <s v="RI XING"/>
        <s v="RIGHT AIM"/>
        <s v="SAGEM"/>
        <s v="SAM MEI"/>
        <s v="SAN GUANG"/>
        <s v="SANWALL ELECTRIC PRODUCTS"/>
        <s v="SANXIA"/>
        <s v="SANYO"/>
        <s v="SAPAC"/>
        <s v="SHANGHAI XING XIN"/>
        <s v="SHENZHEN SEA STAR"/>
        <s v="SILVER STAR"/>
        <s v="SINCE HARDWARE"/>
        <s v="SOLUX"/>
        <s v="SONG CHUAN"/>
        <s v="SSEAC"/>
        <s v="SUPERGRACE INTERNATIONAL"/>
        <s v="SUPOR COOKWARE"/>
        <s v="SUPOR ELECTRICAL"/>
        <s v="SUPOR SHAOXING ELE"/>
        <s v="SUPOR VIETNAM"/>
        <s v="SUPOR VIETNAM FAN"/>
        <s v="TIANZAO ENTERPRISE"/>
        <s v="TONIC"/>
        <s v="TOPLINE"/>
        <s v="TRANWO"/>
        <s v="UNITEC TOOLING"/>
        <s v="VIEW DELUXE"/>
        <s v="VISON"/>
        <s v="WAH HING FAI"/>
        <s v="WAH HING TRANSFORMER"/>
        <s v="WEIMAO"/>
        <s v="WELL HOPES TOOLING"/>
        <s v="WIN KO HONG KONG"/>
        <s v="WINSON"/>
        <s v="WUJAN SUPOR"/>
        <s v="XIAMEN JUN YI"/>
        <s v="YICK LEE INTERNATIONAL"/>
        <s v="YICKLEE"/>
        <s v="ZHEJIANG SUPOR"/>
        <s v="ZHEJIANG SUPOR RUBBER &amp; PLASTIC"/>
        <s v="ZHONGYE CERAMIC"/>
        <s v="ZOPPAS"/>
        <m/>
        <s v="TSANN KUEN IND" u="1"/>
      </sharedItems>
    </cacheField>
    <cacheField name="spm" numFmtId="0">
      <sharedItems containsBlank="1" count="10">
        <s v="OLIVIER VALANCE"/>
        <s v="TIK CHUN KWOK"/>
        <s v="RITA LO"/>
        <s v="LILY LI"/>
        <s v="WHAM WAN"/>
        <s v="RUBY YUAN"/>
        <m/>
        <s v="EDELWEISS LAI"/>
        <s v="METTEW YAN"/>
        <s v="JOEY LEUNG"/>
      </sharedItems>
    </cacheField>
    <cacheField name="pm" numFmtId="0">
      <sharedItems containsBlank="1" count="25">
        <s v="KITTY LAI"/>
        <s v="DOUGLAS LAM"/>
        <s v="GODFREY LI"/>
        <s v="JACQUELINE POON"/>
        <s v="JIMMY HO"/>
        <s v="MAY LEE"/>
        <s v="ERIC KWOK"/>
        <s v="TONY WANG"/>
        <s v="WILLIAM TSANG"/>
        <s v="FELICITY YU"/>
        <s v="SINNY CHAN"/>
        <s v="EVA LAI"/>
        <s v="JASMINE YANG"/>
        <s v="DAVID LIM"/>
        <s v="RICKY LAM"/>
        <s v="DENNIS LAM"/>
        <s v="SHOT XU"/>
        <s v="MAVERICK LAU"/>
        <s v="KA WING KELVIN CHAN"/>
        <s v="WENDY HO"/>
        <s v="RUBY YUAN"/>
        <m/>
        <s v="ANTHONY LUI"/>
        <s v="GARY CHAN (PUR)"/>
        <s v="OTHER"/>
      </sharedItems>
    </cacheField>
    <cacheField name="documentid" numFmtId="0">
      <sharedItems containsString="0" containsBlank="1" containsNumber="1" containsInteger="1" minValue="1" maxValue="2650"/>
    </cacheField>
    <cacheField name="doctypename" numFmtId="0">
      <sharedItems containsBlank="1" count="24">
        <s v="Foodstuffs declaration"/>
        <s v="SEF"/>
        <s v="SIF"/>
        <s v="SPR"/>
        <s v="Contract: General Contract"/>
        <s v="Contract: Quality Appendix"/>
        <s v="Contract: Supply Chain Appendix"/>
        <s v="Environmental Declaration"/>
        <s v="Responsible Purchasing Charter"/>
        <s v="LOC (Letter of Confidentiality)"/>
        <s v="Declaration letter of group organization"/>
        <s v="Exclusivity (EA)"/>
        <s v="IP (Intellectual Property)"/>
        <s v="ISO 14001"/>
        <s v="ISO 9001"/>
        <s v="NDA (Non Disclosure Agreement)"/>
        <s v="Other business certifications (ex : FSC for Packaging)"/>
        <s v="Social Audit"/>
        <s v="SSR"/>
        <s v="OHSAS 18001"/>
        <s v="Liability insurance"/>
        <s v="Company Presentation"/>
        <s v="Social Audit CAP"/>
        <m/>
      </sharedItems>
    </cacheField>
    <cacheField name="countbydoc" numFmtId="0">
      <sharedItems containsString="0" containsBlank="1" containsNumber="1" containsInteger="1" minValue="1" maxValue="1"/>
    </cacheField>
    <cacheField name="withoutdocument" numFmtId="0">
      <sharedItems containsString="0" containsBlank="1" containsNumber="1" containsInteger="1" minValue="1" maxValue="1"/>
    </cacheField>
    <cacheField name="levelname" numFmtId="0">
      <sharedItems containsBlank="1"/>
    </cacheField>
    <cacheField name="expireddate" numFmtId="14">
      <sharedItems containsNonDate="0" containsDate="1" containsString="0" containsBlank="1" minDate="2008-05-21T00:00:00" maxDate="2016-01-01T00:00:00"/>
    </cacheField>
    <cacheField name="docdate" numFmtId="14">
      <sharedItems containsNonDate="0" containsDate="1" containsString="0" containsBlank="1" minDate="1996-05-09T00:00:00" maxDate="7012-07-18T00:00:00" count="908">
        <d v="2009-07-07T00:00:00"/>
        <d v="2010-11-11T00:00:00"/>
        <d v="2010-05-14T00:00:00"/>
        <d v="2010-05-10T00:00:00"/>
        <d v="2008-04-28T00:00:00"/>
        <d v="2011-12-31T00:00:00"/>
        <d v="2008-03-12T00:00:00"/>
        <d v="2010-03-24T00:00:00"/>
        <d v="2012-08-08T00:00:00"/>
        <d v="2013-06-01T00:00:00"/>
        <d v="2012-04-25T00:00:00"/>
        <d v="2012-03-06T00:00:00"/>
        <d v="2013-01-29T00:00:00"/>
        <d v="2013-01-01T00:00:00"/>
        <d v="2011-01-01T00:00:00"/>
        <d v="2008-08-18T00:00:00"/>
        <d v="2012-05-23T00:00:00"/>
        <d v="2011-06-08T00:00:00"/>
        <d v="2011-04-06T00:00:00"/>
        <d v="2012-08-07T00:00:00"/>
        <d v="2012-03-22T00:00:00"/>
        <d v="2013-02-04T00:00:00"/>
        <d v="2011-12-01T00:00:00"/>
        <d v="2014-01-17T00:00:00"/>
        <d v="2013-11-02T00:00:00"/>
        <d v="2013-01-31T00:00:00"/>
        <d v="2012-10-15T00:00:00"/>
        <d v="2013-05-27T00:00:00"/>
        <d v="2012-03-30T00:00:00"/>
        <d v="2012-08-24T00:00:00"/>
        <d v="2012-05-28T00:00:00"/>
        <d v="2012-04-18T00:00:00"/>
        <d v="2011-10-10T00:00:00"/>
        <d v="2012-02-21T00:00:00"/>
        <d v="2013-07-16T00:00:00"/>
        <d v="2012-08-15T00:00:00"/>
        <d v="2012-11-12T00:00:00"/>
        <d v="2013-02-28T00:00:00"/>
        <d v="2012-03-01T00:00:00"/>
        <d v="2012-07-20T00:00:00"/>
        <d v="2009-07-19T00:00:00"/>
        <d v="2006-07-18T00:00:00"/>
        <d v="2009-06-26T00:00:00"/>
        <d v="2014-01-21T00:00:00"/>
        <d v="2012-05-17T00:00:00"/>
        <d v="2014-01-20T00:00:00"/>
        <d v="2012-09-04T00:00:00"/>
        <d v="2012-07-01T00:00:00"/>
        <d v="2012-04-20T00:00:00"/>
        <d v="2008-07-17T00:00:00"/>
        <d v="2012-04-11T00:00:00"/>
        <d v="2011-01-31T00:00:00"/>
        <d v="2011-03-11T00:00:00"/>
        <d v="2010-09-27T00:00:00"/>
        <d v="2007-06-28T00:00:00"/>
        <d v="2007-02-07T00:00:00"/>
        <d v="2007-03-01T00:00:00"/>
        <d v="2009-12-10T00:00:00"/>
        <d v="2009-08-25T00:00:00"/>
        <d v="2011-11-05T00:00:00"/>
        <d v="2010-03-30T00:00:00"/>
        <d v="2010-03-31T00:00:00"/>
        <d v="2011-01-27T00:00:00"/>
        <d v="2010-06-24T00:00:00"/>
        <d v="2011-05-12T00:00:00"/>
        <d v="2007-11-26T00:00:00"/>
        <d v="2011-04-20T00:00:00"/>
        <d v="2012-12-20T00:00:00"/>
        <d v="2013-03-25T00:00:00"/>
        <d v="2011-07-21T00:00:00"/>
        <d v="2012-08-30T00:00:00"/>
        <d v="2012-12-31T00:00:00"/>
        <d v="2012-06-06T00:00:00"/>
        <d v="2013-01-28T00:00:00"/>
        <d v="2012-06-15T00:00:00"/>
        <d v="2012-10-01T00:00:00"/>
        <d v="2010-06-05T00:00:00"/>
        <d v="2012-08-03T00:00:00"/>
        <d v="2012-10-10T00:00:00"/>
        <d v="2013-03-15T00:00:00"/>
        <d v="2009-01-09T00:00:00"/>
        <d v="2009-01-17T00:00:00"/>
        <d v="2009-02-12T00:00:00"/>
        <d v="2010-03-27T00:00:00"/>
        <d v="2012-08-20T00:00:00"/>
        <d v="2014-03-17T00:00:00"/>
        <d v="2010-03-23T00:00:00"/>
        <d v="2011-05-24T00:00:00"/>
        <d v="2012-05-20T00:00:00"/>
        <d v="2014-03-18T00:00:00"/>
        <d v="2011-06-01T00:00:00"/>
        <d v="2011-05-01T00:00:00"/>
        <d v="2010-05-30T00:00:00"/>
        <d v="2012-08-09T00:00:00"/>
        <d v="2011-04-21T00:00:00"/>
        <d v="2011-12-29T00:00:00"/>
        <d v="2013-11-14T00:00:00"/>
        <d v="2012-09-24T00:00:00"/>
        <d v="2013-08-08T00:00:00"/>
        <d v="2012-05-04T00:00:00"/>
        <d v="2012-12-19T00:00:00"/>
        <d v="2013-02-01T00:00:00"/>
        <d v="2013-07-26T00:00:00"/>
        <d v="2010-03-29T00:00:00"/>
        <d v="2012-09-26T00:00:00"/>
        <d v="2012-07-16T00:00:00"/>
        <d v="2012-02-27T00:00:00"/>
        <d v="2007-06-20T00:00:00"/>
        <d v="2010-06-15T00:00:00"/>
        <d v="2011-11-24T00:00:00"/>
        <d v="2011-06-10T00:00:00"/>
        <d v="2013-05-28T00:00:00"/>
        <d v="2012-12-13T00:00:00"/>
        <d v="2013-06-24T00:00:00"/>
        <d v="2010-03-08T00:00:00"/>
        <d v="2009-03-26T00:00:00"/>
        <d v="2012-09-05T00:00:00"/>
        <d v="2013-01-21T00:00:00"/>
        <d v="2013-08-13T00:00:00"/>
        <d v="2012-12-07T00:00:00"/>
        <d v="2008-12-09T00:00:00"/>
        <d v="2012-01-31T00:00:00"/>
        <d v="2008-12-16T00:00:00"/>
        <d v="2013-10-31T00:00:00"/>
        <d v="2010-05-18T00:00:00"/>
        <d v="2011-02-25T00:00:00"/>
        <d v="2012-08-16T00:00:00"/>
        <d v="2012-10-11T00:00:00"/>
        <d v="2012-04-30T00:00:00"/>
        <d v="2012-05-16T00:00:00"/>
        <d v="2012-11-01T00:00:00"/>
        <d v="2012-10-08T00:00:00"/>
        <d v="2013-01-14T00:00:00"/>
        <d v="2010-05-31T00:00:00"/>
        <d v="2014-02-28T00:00:00"/>
        <d v="2012-07-17T00:00:00"/>
        <d v="2012-12-17T00:00:00"/>
        <d v="2014-02-18T00:00:00"/>
        <d v="2013-05-01T00:00:00"/>
        <d v="2013-07-01T00:00:00"/>
        <d v="2012-04-23T00:00:00"/>
        <d v="2013-05-30T00:00:00"/>
        <d v="2013-11-08T00:00:00"/>
        <d v="2012-03-20T00:00:00"/>
        <d v="2013-09-09T00:00:00"/>
        <d v="2012-05-01T00:00:00"/>
        <d v="2012-07-05T00:00:00"/>
        <d v="2012-07-03T00:00:00"/>
        <d v="2007-03-09T00:00:00"/>
        <d v="2012-09-10T00:00:00"/>
        <d v="2011-06-06T00:00:00"/>
        <d v="2013-09-12T00:00:00"/>
        <d v="2008-10-29T00:00:00"/>
        <d v="2012-09-01T00:00:00"/>
        <d v="2014-02-06T00:00:00"/>
        <d v="2013-06-28T00:00:00"/>
        <d v="2013-08-14T00:00:00"/>
        <d v="2013-12-30T00:00:00"/>
        <d v="2011-02-15T00:00:00"/>
        <d v="2012-05-09T00:00:00"/>
        <d v="2013-02-18T00:00:00"/>
        <d v="2013-03-19T00:00:00"/>
        <d v="2013-05-24T00:00:00"/>
        <d v="2012-03-13T00:00:00"/>
        <d v="2013-10-01T00:00:00"/>
        <d v="2012-02-20T00:00:00"/>
        <d v="2010-06-19T00:00:00"/>
        <d v="2004-12-14T00:00:00"/>
        <d v="2012-05-08T00:00:00"/>
        <d v="2013-02-05T00:00:00"/>
        <d v="2013-10-24T00:00:00"/>
        <d v="2012-01-12T00:00:00"/>
        <d v="2012-04-10T00:00:00"/>
        <d v="2012-02-17T00:00:00"/>
        <d v="2009-11-27T00:00:00"/>
        <d v="2011-02-23T00:00:00"/>
        <d v="2012-08-17T00:00:00"/>
        <d v="2013-05-12T00:00:00"/>
        <d v="2011-03-02T00:00:00"/>
        <d v="2013-02-20T00:00:00"/>
        <d v="2013-05-14T00:00:00"/>
        <d v="2013-08-19T00:00:00"/>
        <d v="2009-08-10T00:00:00"/>
        <d v="2011-09-08T00:00:00"/>
        <d v="2011-08-03T00:00:00"/>
        <d v="2013-02-27T00:00:00"/>
        <d v="2012-03-17T00:00:00"/>
        <d v="2013-01-30T00:00:00"/>
        <d v="2012-07-06T00:00:00"/>
        <d v="2012-08-31T00:00:00"/>
        <d v="2013-05-29T00:00:00"/>
        <d v="2012-03-02T00:00:00"/>
        <d v="2013-01-22T00:00:00"/>
        <d v="2005-08-02T00:00:00"/>
        <d v="2013-01-17T00:00:00"/>
        <d v="2012-10-14T00:00:00"/>
        <d v="2013-08-16T00:00:00"/>
        <d v="2012-03-26T00:00:00"/>
        <d v="2008-03-31T00:00:00"/>
        <d v="2011-09-15T00:00:00"/>
        <d v="2008-11-14T00:00:00"/>
        <d v="2013-04-20T00:00:00"/>
        <d v="2012-04-16T00:00:00"/>
        <d v="2012-01-03T00:00:00"/>
        <d v="2012-04-05T00:00:00"/>
        <d v="2012-05-10T00:00:00"/>
        <d v="2012-05-07T00:00:00"/>
        <d v="2012-02-08T00:00:00"/>
        <d v="2010-06-07T00:00:00"/>
        <d v="2009-06-24T00:00:00"/>
        <d v="2013-06-17T00:00:00"/>
        <d v="2013-05-23T00:00:00"/>
        <d v="2007-10-04T00:00:00"/>
        <d v="2013-01-18T00:00:00"/>
        <d v="2014-04-17T00:00:00"/>
        <d v="2014-02-13T00:00:00"/>
        <d v="2012-03-09T00:00:00"/>
        <d v="2012-07-24T00:00:00"/>
        <d v="2010-02-08T00:00:00"/>
        <d v="2011-10-27T00:00:00"/>
        <d v="2012-04-17T00:00:00"/>
        <d v="2005-03-29T00:00:00"/>
        <d v="2012-12-01T00:00:00"/>
        <d v="2013-07-30T00:00:00"/>
        <d v="2012-02-04T00:00:00"/>
        <d v="2013-02-21T00:00:00"/>
        <d v="2008-01-17T00:00:00"/>
        <d v="2012-08-04T00:00:00"/>
        <d v="2010-07-23T00:00:00"/>
        <d v="2012-05-26T00:00:00"/>
        <d v="2011-06-16T00:00:00"/>
        <d v="2011-03-22T00:00:00"/>
        <d v="2010-05-07T00:00:00"/>
        <d v="2010-07-27T00:00:00"/>
        <d v="2012-12-12T00:00:00"/>
        <d v="2007-04-09T00:00:00"/>
        <d v="2011-05-23T00:00:00"/>
        <d v="2011-01-14T00:00:00"/>
        <d v="2009-09-11T00:00:00"/>
        <d v="2010-05-22T00:00:00"/>
        <d v="2010-05-08T00:00:00"/>
        <d v="2011-03-21T00:00:00"/>
        <d v="2012-09-14T00:00:00"/>
        <d v="2012-01-01T00:00:00"/>
        <d v="2012-04-06T00:00:00"/>
        <d v="2013-02-07T00:00:00"/>
        <d v="2011-06-14T00:00:00"/>
        <d v="2012-08-13T00:00:00"/>
        <d v="2012-04-01T00:00:00"/>
        <d v="2014-03-07T00:00:00"/>
        <d v="2012-07-07T00:00:00"/>
        <d v="2013-01-07T00:00:00"/>
        <d v="2013-06-07T00:00:00"/>
        <d v="2013-08-12T00:00:00"/>
        <d v="2012-08-02T00:00:00"/>
        <d v="2012-10-30T00:00:00"/>
        <d v="2012-05-18T00:00:00"/>
        <d v="2013-07-02T00:00:00"/>
        <d v="2010-03-09T00:00:00"/>
        <d v="2010-01-01T00:00:00"/>
        <d v="2012-11-20T00:00:00"/>
        <d v="2012-08-06T00:00:00"/>
        <d v="2008-08-01T00:00:00"/>
        <d v="2011-02-24T00:00:00"/>
        <d v="2012-08-10T00:00:00"/>
        <d v="2011-12-30T00:00:00"/>
        <d v="2012-09-25T00:00:00"/>
        <d v="2013-08-05T00:00:00"/>
        <d v="2012-09-27T00:00:00"/>
        <d v="2012-11-29T00:00:00"/>
        <d v="2012-09-23T00:00:00"/>
        <d v="2013-05-13T00:00:00"/>
        <d v="2010-03-20T00:00:00"/>
        <d v="2014-03-24T00:00:00"/>
        <d v="2013-01-09T00:00:00"/>
        <d v="2008-02-29T00:00:00"/>
        <d v="2012-07-27T00:00:00"/>
        <d v="2010-09-23T00:00:00"/>
        <d v="2013-01-08T00:00:00"/>
        <d v="2009-06-16T00:00:00"/>
        <d v="2013-05-31T00:00:00"/>
        <d v="2014-02-11T00:00:00"/>
        <d v="2012-11-28T00:00:00"/>
        <d v="2012-12-18T00:00:00"/>
        <d v="2012-11-06T00:00:00"/>
        <d v="2012-11-21T00:00:00"/>
        <d v="2010-05-13T00:00:00"/>
        <d v="2008-10-16T00:00:00"/>
        <d v="2012-08-28T00:00:00"/>
        <d v="2013-02-25T00:00:00"/>
        <d v="1996-05-09T00:00:00"/>
        <d v="2006-01-01T00:00:00"/>
        <d v="2004-04-23T00:00:00"/>
        <d v="2006-07-09T00:00:00"/>
        <d v="2009-02-27T00:00:00"/>
        <d v="2010-06-03T00:00:00"/>
        <d v="2007-07-08T00:00:00"/>
        <d v="2010-05-06T00:00:00"/>
        <d v="2010-03-22T00:00:00"/>
        <d v="2012-09-03T00:00:00"/>
        <d v="2012-07-08T00:00:00"/>
        <d v="2011-04-15T00:00:00"/>
        <d v="2013-07-10T00:00:00"/>
        <d v="2010-08-18T00:00:00"/>
        <d v="2013-05-11T00:00:00"/>
        <d v="2013-01-16T00:00:00"/>
        <d v="2012-07-12T00:00:00"/>
        <d v="2012-05-14T00:00:00"/>
        <d v="2012-04-13T00:00:00"/>
        <d v="2009-05-18T00:00:00"/>
        <d v="2011-01-05T00:00:00"/>
        <d v="2011-11-17T00:00:00"/>
        <d v="2010-09-09T00:00:00"/>
        <d v="2011-07-20T00:00:00"/>
        <d v="2010-12-11T00:00:00"/>
        <d v="2012-09-13T00:00:00"/>
        <d v="2008-05-14T00:00:00"/>
        <d v="2012-04-26T00:00:00"/>
        <d v="2012-05-24T00:00:00"/>
        <d v="2008-07-14T00:00:00"/>
        <d v="2012-04-24T00:00:00"/>
        <d v="2013-01-23T00:00:00"/>
        <d v="2012-03-03T00:00:00"/>
        <d v="2013-06-14T00:00:00"/>
        <d v="2013-07-08T00:00:00"/>
        <d v="2013-07-14T00:00:00"/>
        <d v="2010-09-16T00:00:00"/>
        <d v="2013-05-20T00:00:00"/>
        <d v="2013-05-08T00:00:00"/>
        <d v="2012-12-24T00:00:00"/>
        <d v="2010-01-11T00:00:00"/>
        <d v="2011-03-31T00:00:00"/>
        <d v="2011-05-26T00:00:00"/>
        <d v="2008-10-20T00:00:00"/>
        <d v="2010-04-01T00:00:00"/>
        <d v="2012-04-02T00:00:00"/>
        <d v="2012-02-06T00:00:00"/>
        <d v="2012-04-19T00:00:00"/>
        <d v="2012-08-14T00:00:00"/>
        <d v="2012-05-02T00:00:00"/>
        <d v="2012-05-29T00:00:00"/>
        <d v="2010-05-01T00:00:00"/>
        <d v="2008-02-12T00:00:00"/>
        <d v="2010-05-26T00:00:00"/>
        <d v="2009-06-15T00:00:00"/>
        <d v="2009-05-06T00:00:00"/>
        <d v="2008-08-28T00:00:00"/>
        <d v="2010-12-15T00:00:00"/>
        <d v="2012-06-20T00:00:00"/>
        <d v="2013-06-21T00:00:00"/>
        <d v="2012-02-16T00:00:00"/>
        <d v="2010-05-15T00:00:00"/>
        <d v="2012-03-23T00:00:00"/>
        <d v="2010-10-13T00:00:00"/>
        <d v="2012-07-23T00:00:00"/>
        <d v="2009-02-11T00:00:00"/>
        <d v="2013-08-09T00:00:00"/>
        <d v="2012-03-11T00:00:00"/>
        <d v="2011-03-17T00:00:00"/>
        <d v="2011-10-03T00:00:00"/>
        <d v="2009-04-07T00:00:00"/>
        <d v="2010-05-21T00:00:00"/>
        <d v="2010-09-28T00:00:00"/>
        <d v="2013-01-24T00:00:00"/>
        <d v="2012-12-15T00:00:00"/>
        <d v="2010-03-25T00:00:00"/>
        <d v="2010-09-21T00:00:00"/>
        <d v="2012-07-09T00:00:00"/>
        <d v="2012-02-13T00:00:00"/>
        <d v="2010-11-01T00:00:00"/>
        <d v="2010-07-20T00:00:00"/>
        <d v="2009-04-30T00:00:00"/>
        <d v="2007-06-12T00:00:00"/>
        <d v="2010-09-06T00:00:00"/>
        <d v="2012-02-23T00:00:00"/>
        <d v="2008-11-20T00:00:00"/>
        <d v="2007-10-01T00:00:00"/>
        <d v="2011-06-29T00:00:00"/>
        <d v="2011-11-29T00:00:00"/>
        <d v="2013-06-09T00:00:00"/>
        <d v="2013-07-09T00:00:00"/>
        <d v="2010-04-02T00:00:00"/>
        <d v="2012-03-19T00:00:00"/>
        <d v="2013-03-13T00:00:00"/>
        <d v="2013-11-22T00:00:00"/>
        <d v="2013-12-02T00:00:00"/>
        <d v="2011-11-22T00:00:00"/>
        <d v="2013-06-29T00:00:00"/>
        <d v="2013-11-15T00:00:00"/>
        <d v="2011-12-22T00:00:00"/>
        <d v="2012-05-11T00:00:00"/>
        <d v="2013-06-20T00:00:00"/>
        <d v="2009-02-06T00:00:00"/>
        <d v="2010-03-02T00:00:00"/>
        <d v="2010-03-17T00:00:00"/>
        <d v="2010-02-12T00:00:00"/>
        <d v="2013-04-23T00:00:00"/>
        <d v="2013-08-06T00:00:00"/>
        <d v="2012-08-01T00:00:00"/>
        <d v="2010-03-26T00:00:00"/>
        <d v="2011-02-26T00:00:00"/>
        <d v="2011-01-28T00:00:00"/>
        <d v="2011-06-23T00:00:00"/>
        <d v="2010-12-01T00:00:00"/>
        <d v="2007-12-03T00:00:00"/>
        <d v="2011-08-04T00:00:00"/>
        <d v="2013-01-25T00:00:00"/>
        <d v="2012-11-07T00:00:00"/>
        <d v="2008-12-04T00:00:00"/>
        <d v="2013-08-11T00:00:00"/>
        <d v="2011-03-04T00:00:00"/>
        <d v="2013-03-26T00:00:00"/>
        <d v="2012-07-02T00:00:00"/>
        <d v="2012-06-07T00:00:00"/>
        <d v="2012-06-08T00:00:00"/>
        <d v="2011-09-23T00:00:00"/>
        <d v="2009-09-07T00:00:00"/>
        <d v="2014-01-18T00:00:00"/>
        <d v="2012-01-17T00:00:00"/>
        <d v="2009-04-01T00:00:00"/>
        <d v="2012-06-14T00:00:00"/>
        <d v="2012-12-11T00:00:00"/>
        <d v="2012-06-13T00:00:00"/>
        <d v="2008-10-13T00:00:00"/>
        <d v="2011-03-07T00:00:00"/>
        <d v="2011-10-11T00:00:00"/>
        <d v="2011-09-09T00:00:00"/>
        <d v="2014-02-12T00:00:00"/>
        <d v="2012-06-28T00:00:00"/>
        <d v="2013-06-03T00:00:00"/>
        <d v="2013-06-04T00:00:00"/>
        <d v="2013-05-16T00:00:00"/>
        <d v="2010-06-09T00:00:00"/>
        <d v="2009-06-09T00:00:00"/>
        <d v="2013-01-12T00:00:00"/>
        <d v="2012-03-07T00:00:00"/>
        <d v="2012-11-04T00:00:00"/>
        <d v="2012-02-02T00:00:00"/>
        <d v="2009-05-21T00:00:00"/>
        <d v="2007-06-05T00:00:00"/>
        <d v="2012-11-22T00:00:00"/>
        <d v="2013-06-15T00:00:00"/>
        <d v="2012-03-21T00:00:00"/>
        <d v="2013-03-30T00:00:00"/>
        <d v="2012-03-15T00:00:00"/>
        <d v="2008-02-18T00:00:00"/>
        <d v="2010-06-18T00:00:00"/>
        <d v="2009-08-12T00:00:00"/>
        <d v="2010-01-03T00:00:00"/>
        <d v="2011-04-04T00:00:00"/>
        <d v="2012-12-03T00:00:00"/>
        <d v="2008-02-16T00:00:00"/>
        <d v="2013-06-19T00:00:00"/>
        <d v="2013-03-12T00:00:00"/>
        <d v="2012-09-17T00:00:00"/>
        <d v="2010-04-09T00:00:00"/>
        <d v="2009-04-24T00:00:00"/>
        <d v="2011-12-26T00:00:00"/>
        <d v="2009-01-16T00:00:00"/>
        <d v="2013-10-23T00:00:00"/>
        <d v="2011-12-28T00:00:00"/>
        <d v="2011-12-19T00:00:00"/>
        <d v="2011-12-12T00:00:00"/>
        <d v="2011-12-25T00:00:00"/>
        <d v="2012-08-18T00:00:00"/>
        <d v="2013-04-02T00:00:00"/>
        <d v="2010-01-26T00:00:00"/>
        <d v="2013-04-19T00:00:00"/>
        <d v="2013-09-03T00:00:00"/>
        <d v="2010-07-19T00:00:00"/>
        <d v="2008-11-25T00:00:00"/>
        <d v="2009-03-09T00:00:00"/>
        <d v="2010-03-05T00:00:00"/>
        <d v="2011-03-01T00:00:00"/>
        <d v="2012-08-29T00:00:00"/>
        <d v="2012-03-31T00:00:00"/>
        <d v="2011-06-22T00:00:00"/>
        <d v="2009-04-27T00:00:00"/>
        <d v="2012-07-31T00:00:00"/>
        <d v="2013-05-26T00:00:00"/>
        <d v="2012-01-11T00:00:00"/>
        <d v="2012-12-28T00:00:00"/>
        <d v="2012-05-05T00:00:00"/>
        <d v="2010-03-11T00:00:00"/>
        <d v="2010-02-26T00:00:00"/>
        <d v="2010-01-22T00:00:00"/>
        <d v="2009-02-01T00:00:00"/>
        <d v="2009-02-02T00:00:00"/>
        <d v="2012-09-02T00:00:00"/>
        <d v="2013-09-27T00:00:00"/>
        <d v="2008-03-06T00:00:00"/>
        <d v="2011-04-03T00:00:00"/>
        <d v="2013-06-13T00:00:00"/>
        <d v="2013-08-01T00:00:00"/>
        <d v="2008-12-06T00:00:00"/>
        <d v="2012-03-16T00:00:00"/>
        <d v="2012-12-21T00:00:00"/>
        <d v="2012-11-19T00:00:00"/>
        <d v="2013-03-18T00:00:00"/>
        <d v="2009-03-23T00:00:00"/>
        <d v="2008-01-15T00:00:00"/>
        <d v="2012-06-10T00:00:00"/>
        <d v="2011-04-10T00:00:00"/>
        <d v="2012-05-21T00:00:00"/>
        <d v="2007-11-12T00:00:00"/>
        <d v="2013-02-26T00:00:00"/>
        <d v="2012-02-15T00:00:00"/>
        <d v="2013-03-14T00:00:00"/>
        <d v="2011-12-02T00:00:00"/>
        <d v="2011-12-05T00:00:00"/>
        <d v="2011-11-28T00:00:00"/>
        <d v="2012-10-09T00:00:00"/>
        <d v="2013-02-22T00:00:00"/>
        <d v="2012-04-15T00:00:00"/>
        <d v="2013-01-15T00:00:00"/>
        <d v="2013-04-17T00:00:00"/>
        <d v="2013-10-18T00:00:00"/>
        <d v="2013-11-13T00:00:00"/>
        <d v="2013-09-07T00:00:00"/>
        <d v="2013-03-08T00:00:00"/>
        <d v="2013-09-10T00:00:00"/>
        <d v="2010-08-30T00:00:00"/>
        <d v="2012-03-08T00:00:00"/>
        <d v="2012-07-13T00:00:00"/>
        <d v="2013-08-20T00:00:00"/>
        <d v="2007-04-24T00:00:00"/>
        <d v="2011-09-12T00:00:00"/>
        <d v="2013-04-07T00:00:00"/>
        <d v="2008-12-23T00:00:00"/>
        <d v="2012-02-28T00:00:00"/>
        <d v="2007-12-25T00:00:00"/>
        <d v="2011-03-16T00:00:00"/>
        <d v="2011-06-11T00:00:00"/>
        <d v="2009-06-23T00:00:00"/>
        <d v="2008-08-27T00:00:00"/>
        <d v="2008-07-24T00:00:00"/>
        <d v="2009-05-19T00:00:00"/>
        <d v="2013-11-17T00:00:00"/>
        <d v="2013-10-11T00:00:00"/>
        <d v="2013-10-07T00:00:00"/>
        <d v="2012-05-22T00:00:00"/>
        <d v="2011-08-01T00:00:00"/>
        <d v="2011-08-25T00:00:00"/>
        <d v="2011-06-03T00:00:00"/>
        <d v="2012-06-02T00:00:00"/>
        <d v="2011-06-02T00:00:00"/>
        <d v="2010-06-04T00:00:00"/>
        <d v="2013-01-02T00:00:00"/>
        <d v="2009-01-01T00:00:00"/>
        <d v="2013-03-22T00:00:00"/>
        <d v="2010-05-28T00:00:00"/>
        <d v="2013-03-01T00:00:00"/>
        <d v="2012-08-25T00:00:00"/>
        <d v="2011-03-20T00:00:00"/>
        <d v="2012-01-24T00:00:00"/>
        <d v="2010-08-27T00:00:00"/>
        <d v="2010-09-02T00:00:00"/>
        <d v="2010-08-05T00:00:00"/>
        <d v="2013-03-23T00:00:00"/>
        <d v="2012-02-29T00:00:00"/>
        <d v="2013-06-10T00:00:00"/>
        <d v="2012-05-30T00:00:00"/>
        <d v="2002-10-24T00:00:00"/>
        <d v="2012-01-04T00:00:00"/>
        <d v="2010-09-26T00:00:00"/>
        <d v="2009-11-09T00:00:00"/>
        <d v="2010-01-21T00:00:00"/>
        <d v="2013-08-15T00:00:00"/>
        <d v="2012-06-05T00:00:00"/>
        <d v="2006-01-25T00:00:00"/>
        <d v="2013-05-07T00:00:00"/>
        <d v="2011-10-07T00:00:00"/>
        <d v="2011-09-24T00:00:00"/>
        <d v="2011-06-27T00:00:00"/>
        <d v="2013-03-28T00:00:00"/>
        <d v="2009-11-06T00:00:00"/>
        <d v="2012-10-25T00:00:00"/>
        <d v="2009-10-21T00:00:00"/>
        <d v="2012-08-05T00:00:00"/>
        <d v="2010-01-29T00:00:00"/>
        <d v="2009-01-06T00:00:00"/>
        <d v="2013-06-26T00:00:00"/>
        <d v="2010-03-03T00:00:00"/>
        <d v="2012-07-19T00:00:00"/>
        <d v="2013-02-06T00:00:00"/>
        <d v="2013-09-04T00:00:00"/>
        <d v="2012-11-26T00:00:00"/>
        <d v="2013-04-22T00:00:00"/>
        <d v="2013-10-29T00:00:00"/>
        <d v="2014-02-21T00:00:00"/>
        <d v="2011-11-14T00:00:00"/>
        <d v="2009-09-21T00:00:00"/>
        <d v="2012-08-27T00:00:00"/>
        <d v="2013-03-11T00:00:00"/>
        <d v="2012-11-15T00:00:00"/>
        <d v="2012-10-05T00:00:00"/>
        <d v="2014-04-03T00:00:00"/>
        <d v="2013-12-01T00:00:00"/>
        <d v="2007-12-14T00:00:00"/>
        <d v="2009-01-13T00:00:00"/>
        <d v="2010-01-23T00:00:00"/>
        <d v="2008-12-31T00:00:00"/>
        <d v="2012-02-24T00:00:00"/>
        <d v="2008-07-02T00:00:00"/>
        <d v="2012-08-23T00:00:00"/>
        <d v="2009-11-25T00:00:00"/>
        <d v="2013-03-05T00:00:00"/>
        <d v="2012-07-10T00:00:00"/>
        <d v="2012-07-18T00:00:00"/>
        <d v="2013-09-25T00:00:00"/>
        <d v="2011-10-06T00:00:00"/>
        <d v="2010-05-20T00:00:00"/>
        <d v="2010-04-07T00:00:00"/>
        <d v="2006-08-31T00:00:00"/>
        <d v="2009-11-05T00:00:00"/>
        <d v="2011-11-01T00:00:00"/>
        <d v="2014-02-17T00:00:00"/>
        <d v="2013-10-08T00:00:00"/>
        <d v="2013-05-10T00:00:00"/>
        <d v="2009-12-21T00:00:00"/>
        <d v="2013-06-18T00:00:00"/>
        <d v="2013-08-22T00:00:00"/>
        <d v="2010-04-26T00:00:00"/>
        <d v="2012-10-16T00:00:00"/>
        <d v="2013-07-11T00:00:00"/>
        <d v="2014-01-22T00:00:00"/>
        <d v="2009-03-24T00:00:00"/>
        <d v="2012-05-12T00:00:00"/>
        <d v="2013-09-05T00:00:00"/>
        <d v="2013-09-02T00:00:00"/>
        <d v="2012-11-17T00:00:00"/>
        <d v="2010-04-16T00:00:00"/>
        <d v="2009-07-16T00:00:00"/>
        <d v="2013-04-11T00:00:00"/>
        <d v="2007-10-11T00:00:00"/>
        <d v="2008-11-10T00:00:00"/>
        <d v="2010-06-29T00:00:00"/>
        <d v="2007-09-22T00:00:00"/>
        <d v="2013-05-21T00:00:00"/>
        <d v="2012-09-19T00:00:00"/>
        <d v="2008-01-22T00:00:00"/>
        <d v="2014-03-03T00:00:00"/>
        <d v="2012-05-03T00:00:00"/>
        <d v="2012-11-23T00:00:00"/>
        <d v="2009-04-16T00:00:00"/>
        <d v="2013-03-06T00:00:00"/>
        <d v="2010-04-10T00:00:00"/>
        <d v="2009-11-12T00:00:00"/>
        <d v="2012-06-22T00:00:00"/>
        <d v="2012-09-06T00:00:00"/>
        <d v="2013-03-03T00:00:00"/>
        <d v="2012-09-11T00:00:00"/>
        <d v="2014-04-24T00:00:00"/>
        <d v="2009-03-12T00:00:00"/>
        <d v="2010-03-01T00:00:00"/>
        <d v="2010-05-27T00:00:00"/>
        <d v="2009-01-22T00:00:00"/>
        <d v="2010-12-20T00:00:00"/>
        <d v="2014-03-11T00:00:00"/>
        <d v="2013-10-04T00:00:00"/>
        <d v="2011-04-01T00:00:00"/>
        <d v="2011-04-11T00:00:00"/>
        <d v="2009-06-29T00:00:00"/>
        <d v="2012-10-31T00:00:00"/>
        <d v="2012-03-25T00:00:00"/>
        <d v="2011-06-13T00:00:00"/>
        <d v="2013-03-20T00:00:00"/>
        <d v="2012-06-12T00:00:00"/>
        <d v="2010-05-17T00:00:00"/>
        <d v="2009-07-13T00:00:00"/>
        <d v="2009-01-10T00:00:00"/>
        <d v="2014-03-13T00:00:00"/>
        <d v="2009-12-15T00:00:00"/>
        <d v="2013-07-24T00:00:00"/>
        <d v="2013-03-21T00:00:00"/>
        <d v="2013-11-11T00:00:00"/>
        <d v="2012-03-27T00:00:00"/>
        <d v="2012-02-25T00:00:00"/>
        <d v="2012-09-07T00:00:00"/>
        <d v="2012-04-12T00:00:00"/>
        <d v="2007-11-10T00:00:00"/>
        <d v="2009-06-06T00:00:00"/>
        <d v="2011-09-29T00:00:00"/>
        <d v="2013-05-03T00:00:00"/>
        <d v="2012-08-22T00:00:00"/>
        <d v="2010-06-02T00:00:00"/>
        <d v="2010-04-20T00:00:00"/>
        <d v="2012-10-17T00:00:00"/>
        <d v="2011-07-27T00:00:00"/>
        <d v="2010-03-18T00:00:00"/>
        <d v="2010-04-19T00:00:00"/>
        <d v="2011-02-22T00:00:00"/>
        <d v="2011-03-28T00:00:00"/>
        <d v="2012-06-25T00:00:00"/>
        <d v="2013-07-04T00:00:00"/>
        <d v="2012-03-05T00:00:00"/>
        <d v="2009-12-02T00:00:00"/>
        <d v="2009-12-09T00:00:00"/>
        <d v="2009-06-30T00:00:00"/>
        <d v="2013-09-17T00:00:00"/>
        <d v="2012-03-12T00:00:00"/>
        <d v="2013-01-03T00:00:00"/>
        <d v="2013-05-15T00:00:00"/>
        <d v="2013-10-22T00:00:00"/>
        <d v="2006-12-21T00:00:00"/>
        <d v="2011-10-13T00:00:00"/>
        <d v="2008-08-25T00:00:00"/>
        <d v="2011-11-23T00:00:00"/>
        <d v="2013-11-01T00:00:00"/>
        <d v="2011-03-19T00:00:00"/>
        <d v="2012-09-08T00:00:00"/>
        <d v="2012-05-15T00:00:00"/>
        <d v="2011-03-08T00:00:00"/>
        <d v="2010-03-10T00:00:00"/>
        <d v="2013-11-26T00:00:00"/>
        <d v="2014-01-15T00:00:00"/>
        <d v="2008-07-12T00:00:00"/>
        <d v="2008-01-24T00:00:00"/>
        <d v="2011-12-21T00:00:00"/>
        <d v="2011-12-27T00:00:00"/>
        <d v="2013-07-29T00:00:00"/>
        <d v="2010-04-17T00:00:00"/>
        <d v="2008-06-23T00:00:00"/>
        <d v="2012-09-18T00:00:00"/>
        <d v="2012-04-09T00:00:00"/>
        <d v="2011-10-28T00:00:00"/>
        <d v="2011-01-04T00:00:00"/>
        <d v="2013-11-10T00:00:00"/>
        <d v="2012-12-05T00:00:00"/>
        <d v="2009-01-20T00:00:00"/>
        <d v="2013-12-11T00:00:00"/>
        <d v="2012-02-22T00:00:00"/>
        <d v="2012-01-06T00:00:00"/>
        <d v="2009-07-31T00:00:00"/>
        <d v="2014-03-20T00:00:00"/>
        <d v="2011-12-06T00:00:00"/>
        <d v="2008-11-28T00:00:00"/>
        <d v="2014-04-15T00:00:00"/>
        <d v="2012-03-29T00:00:00"/>
        <d v="2013-09-01T00:00:00"/>
        <d v="2013-10-21T00:00:00"/>
        <d v="2008-12-15T00:00:00"/>
        <d v="2008-11-01T00:00:00"/>
        <d v="2013-07-15T00:00:00"/>
        <d v="2013-07-18T00:00:00"/>
        <d v="2014-01-29T00:00:00"/>
        <d v="2013-09-24T00:00:00"/>
        <d v="2012-06-26T00:00:00"/>
        <d v="2012-11-09T00:00:00"/>
        <d v="2012-06-19T00:00:00"/>
        <d v="2012-06-11T00:00:00"/>
        <d v="2010-07-08T00:00:00"/>
        <d v="2009-07-01T00:00:00"/>
        <d v="2010-05-25T00:00:00"/>
        <d v="2013-10-05T00:00:00"/>
        <d v="2013-10-15T00:00:00"/>
        <d v="2008-11-05T00:00:00"/>
        <d v="2012-02-14T00:00:00"/>
        <d v="2012-01-14T00:00:00"/>
        <d v="2011-06-24T00:00:00"/>
        <d v="2010-06-14T00:00:00"/>
        <d v="2010-01-28T00:00:00"/>
        <d v="2013-04-25T00:00:00"/>
        <d v="2012-09-20T00:00:00"/>
        <d v="2013-05-17T00:00:00"/>
        <d v="2014-03-14T00:00:00"/>
        <d v="2007-09-05T00:00:00"/>
        <d v="2013-03-09T00:00:00"/>
        <d v="2008-08-15T00:00:00"/>
        <d v="2006-09-14T00:00:00"/>
        <d v="2009-11-03T00:00:00"/>
        <d v="2010-06-27T00:00:00"/>
        <d v="2010-10-05T00:00:00"/>
        <d v="2010-08-10T00:00:00"/>
        <d v="2010-02-05T00:00:00"/>
        <d v="2010-12-06T00:00:00"/>
        <d v="2012-09-09T00:00:00"/>
        <d v="2008-07-09T00:00:00"/>
        <d v="2013-04-15T00:00:00"/>
        <d v="2012-11-02T00:00:00"/>
        <d v="2013-11-04T00:00:00"/>
        <d v="2011-06-09T00:00:00"/>
        <d v="2011-02-16T00:00:00"/>
        <d v="2008-09-25T00:00:00"/>
        <d v="2010-06-10T00:00:00"/>
        <d v="2011-03-24T00:00:00"/>
        <d v="2010-10-26T00:00:00"/>
        <d v="2011-05-27T00:00:00"/>
        <d v="2013-06-08T00:00:00"/>
        <d v="2010-06-23T00:00:00"/>
        <d v="2011-05-20T00:00:00"/>
        <d v="2014-01-08T00:00:00"/>
        <d v="2014-01-01T00:00:00"/>
        <d v="2011-04-19T00:00:00"/>
        <d v="2009-01-14T00:00:00"/>
        <d v="2011-10-20T00:00:00"/>
        <d v="2012-05-31T00:00:00"/>
        <d v="2008-07-15T00:00:00"/>
        <d v="2002-09-27T00:00:00"/>
        <d v="2013-11-27T00:00:00"/>
        <d v="2013-11-29T00:00:00"/>
        <d v="2009-05-29T00:00:00"/>
        <d v="2011-12-16T00:00:00"/>
        <d v="2011-09-02T00:00:00"/>
        <d v="2012-01-19T00:00:00"/>
        <d v="2012-01-18T00:00:00"/>
        <d v="2009-06-17T00:00:00"/>
        <d v="2012-05-25T00:00:00"/>
        <d v="2009-09-17T00:00:00"/>
        <d v="2009-01-05T00:00:00"/>
        <d v="2010-11-30T00:00:00"/>
        <d v="2013-02-19T00:00:00"/>
        <d v="2013-08-31T00:00:00"/>
        <d v="2009-09-09T00:00:00"/>
        <d v="2013-11-28T00:00:00"/>
        <d v="2009-12-11T00:00:00"/>
        <d v="2012-07-30T00:00:00"/>
        <d v="2012-12-06T00:00:00"/>
        <d v="2012-06-01T00:00:00"/>
        <d v="2011-05-31T00:00:00"/>
        <d v="2011-12-08T00:00:00"/>
        <d v="2011-03-10T00:00:00"/>
        <d v="2011-07-25T00:00:00"/>
        <d v="2014-01-13T00:00:00"/>
        <d v="2006-06-28T00:00:00"/>
        <d v="2010-06-11T00:00:00"/>
        <d v="2012-11-14T00:00:00"/>
        <d v="2010-07-21T00:00:00"/>
        <d v="2010-12-08T00:00:00"/>
        <d v="2012-09-21T00:00:00"/>
        <d v="2010-02-22T00:00:00"/>
        <d v="2013-09-16T00:00:00"/>
        <d v="2009-04-20T00:00:00"/>
        <d v="2012-12-22T00:00:00"/>
        <d v="2011-12-14T00:00:00"/>
        <d v="2009-04-17T00:00:00"/>
        <d v="2008-08-26T00:00:00"/>
        <d v="2010-06-01T00:00:00"/>
        <d v="2011-05-16T00:00:00"/>
        <d v="2010-01-10T00:00:00"/>
        <d v="2012-04-21T00:00:00"/>
        <d v="2011-09-05T00:00:00"/>
        <d v="2012-11-16T00:00:00"/>
        <d v="2008-12-05T00:00:00"/>
        <d v="2013-12-14T00:00:00"/>
        <d v="2008-12-14T00:00:00"/>
        <d v="2011-09-26T00:00:00"/>
        <d v="2012-09-28T00:00:00"/>
        <d v="2013-07-23T00:00:00"/>
        <d v="2012-03-10T00:00:00"/>
        <d v="2014-01-16T00:00:00"/>
        <d v="2014-04-09T00:00:00"/>
        <d v="2012-06-29T00:00:00"/>
        <d v="2012-02-26T00:00:00"/>
        <d v="2012-02-03T00:00:00"/>
        <d v="2014-03-28T00:00:00"/>
        <d v="2009-05-11T00:00:00"/>
        <d v="2010-08-12T00:00:00"/>
        <d v="2009-06-04T00:00:00"/>
        <d v="2008-05-09T00:00:00"/>
        <d v="2008-05-10T00:00:00"/>
        <d v="2009-05-15T00:00:00"/>
        <d v="2011-12-09T00:00:00"/>
        <d v="2009-02-16T00:00:00"/>
        <d v="2011-10-21T00:00:00"/>
        <d v="2011-05-03T00:00:00"/>
        <d v="2011-05-11T00:00:00"/>
        <d v="2011-04-13T00:00:00"/>
        <d v="2011-03-15T00:00:00"/>
        <d v="2008-05-28T00:00:00"/>
        <d v="2012-10-12T00:00:00"/>
        <d v="2011-10-01T00:00:00"/>
        <d v="2010-09-07T00:00:00"/>
        <d v="2013-09-19T00:00:00"/>
        <d v="2007-03-21T00:00:00"/>
        <d v="2011-12-15T00:00:00"/>
        <d v="2010-06-26T00:00:00"/>
        <d v="2007-11-29T00:00:00"/>
        <d v="2010-07-13T00:00:00"/>
        <d v="2012-04-27T00:00:00"/>
        <d v="2013-04-10T00:00:00"/>
        <d v="2009-10-22T00:00:00"/>
        <d v="2009-11-01T00:00:00"/>
        <d v="2013-01-11T00:00:00"/>
        <d v="2010-01-05T00:00:00"/>
        <d v="2009-12-28T00:00:00"/>
        <d v="2009-10-16T00:00:00"/>
        <d v="2012-10-26T00:00:00"/>
        <d v="2012-06-27T00:00:00"/>
        <d v="2011-01-09T00:00:00"/>
        <d v="2009-05-25T00:00:00"/>
        <d v="2004-07-29T00:00:00"/>
        <d v="2014-01-07T00:00:00"/>
        <d v="2009-05-14T00:00:00"/>
        <d v="2014-04-16T00:00:00"/>
        <d v="2013-12-31T00:00:00"/>
        <d v="2012-10-03T00:00:00"/>
        <d v="2009-05-08T00:00:00"/>
        <d v="2011-11-30T00:00:00"/>
        <d v="2008-01-11T00:00:00"/>
        <d v="2011-04-07T00:00:00"/>
        <d v="2011-03-25T00:00:00"/>
        <d v="2009-05-05T00:00:00"/>
        <d v="2009-09-10T00:00:00"/>
        <d v="2010-01-27T00:00:00"/>
        <d v="2010-07-06T00:00:00"/>
        <m/>
        <d v="7012-07-17T00:00:00" u="1"/>
      </sharedItems>
    </cacheField>
    <cacheField name="docname" numFmtId="0">
      <sharedItems containsBlank="1"/>
    </cacheField>
    <cacheField name="docext" numFmtId="0">
      <sharedItems containsBlank="1"/>
    </cacheField>
    <cacheField name="uploaddate" numFmtId="14">
      <sharedItems containsNonDate="0" containsDate="1" containsString="0" containsBlank="1" minDate="2014-03-03T00:00:00" maxDate="2014-04-30T00:00:00"/>
    </cacheField>
    <cacheField name="userid" numFmtId="0">
      <sharedItems containsBlank="1"/>
    </cacheField>
    <cacheField name="remarks" numFmtId="0">
      <sharedItems containsBlank="1"/>
    </cacheField>
    <cacheField name="version" numFmtId="0">
      <sharedItems containsBlank="1"/>
    </cacheField>
    <cacheField name="paymentterm" numFmtId="0">
      <sharedItems containsBlank="1"/>
    </cacheField>
    <cacheField name="leadtime" numFmtId="0">
      <sharedItems containsString="0" containsBlank="1" containsNumber="1" containsInteger="1" minValue="0" maxValue="90"/>
    </cacheField>
    <cacheField name="sasl" numFmtId="0">
      <sharedItems containsString="0" containsBlank="1" containsNumber="1" containsInteger="1" minValue="0" maxValue="95"/>
    </cacheField>
    <cacheField name="nqsu" numFmtId="0">
      <sharedItems containsString="0" containsBlank="1" containsNumber="1" containsInteger="1" minValue="0" maxValue="50000"/>
    </cacheField>
    <cacheField name="projectname" numFmtId="0">
      <sharedItems containsBlank="1"/>
    </cacheField>
    <cacheField name="auditby" numFmtId="0">
      <sharedItems containsBlank="1" count="3">
        <m/>
        <s v="SEB Asia"/>
        <s v="SGS"/>
      </sharedItems>
    </cacheField>
    <cacheField name="audittype" numFmtId="0">
      <sharedItems containsBlank="1" count="2">
        <m/>
        <s v="Initial"/>
      </sharedItems>
    </cacheField>
    <cacheField name="auditgrade" numFmtId="0">
      <sharedItems containsBlank="1" count="3">
        <m/>
        <s v="Critical"/>
        <s v="Major"/>
      </sharedItems>
    </cacheField>
    <cacheField name="score" numFmtId="0">
      <sharedItems containsString="0" containsBlank="1" containsNumber="1" containsInteger="1" minValue="18" maxValue="96" count="50">
        <m/>
        <n v="66"/>
        <n v="63"/>
        <n v="87"/>
        <n v="90"/>
        <n v="76"/>
        <n v="83"/>
        <n v="86"/>
        <n v="69"/>
        <n v="78"/>
        <n v="75"/>
        <n v="72"/>
        <n v="68"/>
        <n v="79"/>
        <n v="85"/>
        <n v="80"/>
        <n v="73"/>
        <n v="82"/>
        <n v="65"/>
        <n v="77"/>
        <n v="67"/>
        <n v="39"/>
        <n v="49"/>
        <n v="84"/>
        <n v="91"/>
        <n v="81"/>
        <n v="70"/>
        <n v="74"/>
        <n v="71"/>
        <n v="37"/>
        <n v="64"/>
        <n v="60"/>
        <n v="55"/>
        <n v="58"/>
        <n v="59"/>
        <n v="88"/>
        <n v="18"/>
        <n v="61"/>
        <n v="62"/>
        <n v="89"/>
        <n v="56"/>
        <n v="53"/>
        <n v="33"/>
        <n v="92"/>
        <n v="41"/>
        <n v="52"/>
        <n v="54"/>
        <n v="43"/>
        <n v="94"/>
        <n v="96"/>
      </sharedItems>
    </cacheField>
    <cacheField name="myyear" numFmtId="0">
      <sharedItems containsString="0" containsBlank="1" containsNumber="1" containsInteger="1" minValue="2010" maxValue="2014" count="6">
        <m/>
        <n v="2012"/>
        <n v="2013"/>
        <n v="2014"/>
        <n v="2010"/>
        <n v="2011"/>
      </sharedItems>
    </cacheField>
    <cacheField name="turnovery" numFmtId="0">
      <sharedItems containsString="0" containsBlank="1" containsNumber="1" minValue="251000" maxValue="5650000000" count="163">
        <m/>
        <n v="38000000"/>
        <n v="30000000"/>
        <n v="13000000"/>
        <n v="27000000"/>
        <n v="29000000"/>
        <n v="250000000"/>
        <n v="159000000"/>
        <n v="166000000"/>
        <n v="2000000"/>
        <n v="1500000"/>
        <n v="330000000"/>
        <n v="25000000"/>
        <n v="62000000"/>
        <n v="10545420"/>
        <n v="3300000"/>
        <n v="300000000"/>
        <n v="12410000"/>
        <n v="9000000"/>
        <n v="7000000"/>
        <n v="6500000"/>
        <n v="26100000"/>
        <n v="32100000"/>
        <n v="8800000"/>
        <n v="10000000"/>
        <n v="40000000"/>
        <n v="41000000"/>
        <n v="41500000"/>
        <n v="22000000"/>
        <n v="82000000"/>
        <n v="85000000"/>
        <n v="8500000"/>
        <n v="96000000"/>
        <n v="105000000"/>
        <n v="1300000"/>
        <n v="34500000"/>
        <n v="130000000"/>
        <n v="110000000"/>
        <n v="68000000"/>
        <n v="150000000"/>
        <n v="200000000"/>
        <n v="58480000"/>
        <n v="450000"/>
        <n v="360000"/>
        <n v="70000000"/>
        <n v="65000000"/>
        <n v="3870967.8"/>
        <n v="6200000"/>
        <n v="35000000"/>
        <n v="44000000"/>
        <n v="88700000"/>
        <n v="91000000"/>
        <n v="3500000"/>
        <n v="4500000"/>
        <n v="26200000"/>
        <n v="810000000"/>
        <n v="60000000"/>
        <n v="18000000"/>
        <n v="19000000"/>
        <n v="122000000"/>
        <n v="686000000"/>
        <n v="6800000"/>
        <n v="49000000"/>
        <n v="50000000"/>
        <n v="80000000"/>
        <n v="280000000"/>
        <n v="14000000"/>
        <n v="32000000"/>
        <n v="8000000"/>
        <n v="20000000"/>
        <n v="5000000"/>
        <n v="51000000"/>
        <n v="25454500"/>
        <n v="11000000"/>
        <n v="9500000"/>
        <n v="55000000"/>
        <n v="75000000"/>
        <n v="420000000"/>
        <n v="100000000"/>
        <n v="2200000"/>
        <n v="28000000"/>
        <n v="24000000"/>
        <n v="42000000"/>
        <n v="23800000"/>
        <n v="76700000"/>
        <n v="84000000"/>
        <n v="77000000"/>
        <n v="45000000"/>
        <n v="63000000"/>
        <n v="43000000"/>
        <n v="26000000"/>
        <n v="52000000"/>
        <n v="33000000"/>
        <n v="6700000"/>
        <n v="40300000"/>
        <n v="46300000"/>
        <n v="36000000"/>
        <n v="18800000"/>
        <n v="12000000"/>
        <n v="120000000"/>
        <n v="21000000"/>
        <n v="117000000"/>
        <n v="6000000"/>
        <n v="54000000"/>
        <n v="2000000000"/>
        <n v="160000000"/>
        <n v="15000000"/>
        <n v="2880000"/>
        <n v="16700000"/>
        <n v="700000000"/>
        <n v="600000000"/>
        <n v="58000000"/>
        <n v="5900000"/>
        <n v="23000000"/>
        <n v="47000000"/>
        <n v="16500000"/>
        <n v="115000000"/>
        <n v="85714285.700000003"/>
        <n v="39000000"/>
        <n v="3100000"/>
        <n v="43886000"/>
        <n v="800000"/>
        <n v="18500000"/>
        <n v="140000000"/>
        <n v="288000000"/>
        <n v="40342000"/>
        <n v="307468"/>
        <n v="1600000"/>
        <n v="220000000"/>
        <n v="251000"/>
        <n v="170000000"/>
        <n v="65929120"/>
        <n v="3600000"/>
        <n v="3400000"/>
        <n v="13500000"/>
        <n v="72000000"/>
        <n v="16000000"/>
        <n v="14300000"/>
        <n v="19730000"/>
        <n v="78000000"/>
        <n v="98000000"/>
        <n v="48000000"/>
        <n v="34694000"/>
        <n v="700000"/>
        <n v="300000"/>
        <n v="28500000"/>
        <n v="26500000"/>
        <n v="53000000"/>
        <n v="67000000"/>
        <n v="5650000000"/>
        <n v="5000000000"/>
        <n v="2500000"/>
        <n v="224000000"/>
        <n v="10500000"/>
        <n v="11100000"/>
        <n v="40760000"/>
        <n v="400000000"/>
        <n v="650000000"/>
        <n v="7936507.9369999999"/>
        <n v="7936507.9365079403"/>
        <n v="15500000"/>
        <n v="500000"/>
        <n v="158700000"/>
      </sharedItems>
    </cacheField>
    <cacheField name="turnovery1" numFmtId="0">
      <sharedItems containsString="0" containsBlank="1" containsNumber="1" minValue="0" maxValue="4520000000" count="219">
        <m/>
        <n v="37851851"/>
        <n v="23196516"/>
        <n v="10000000"/>
        <n v="12000000"/>
        <n v="25000000"/>
        <n v="27000000"/>
        <n v="230000000"/>
        <n v="250000000"/>
        <n v="311000000"/>
        <n v="285000000"/>
        <n v="1800000"/>
        <n v="2000000"/>
        <n v="320000000"/>
        <n v="25846314.809999999"/>
        <n v="22000000"/>
        <n v="58000000"/>
        <n v="10760633"/>
        <n v="11910413"/>
        <n v="2900000"/>
        <n v="260000000"/>
        <n v="10990000"/>
        <n v="8000000"/>
        <n v="85065.41"/>
        <n v="26600000"/>
        <n v="6150000"/>
        <n v="6086000"/>
        <n v="17400000"/>
        <n v="29200000"/>
        <n v="32570000"/>
        <n v="40000000"/>
        <n v="21500000"/>
        <n v="91000000"/>
        <n v="82000000"/>
        <n v="7800000"/>
        <n v="26000000"/>
        <n v="88000000"/>
        <n v="95000000"/>
        <n v="1300000"/>
        <n v="35100000"/>
        <n v="160000000"/>
        <n v="110000000"/>
        <n v="100000000"/>
        <n v="61600000"/>
        <n v="140000000"/>
        <n v="180000000"/>
        <n v="52030000"/>
        <n v="400000"/>
        <n v="300000"/>
        <n v="59130000"/>
        <n v="56000000"/>
        <n v="2580645.1"/>
        <n v="35000000"/>
        <n v="3700000"/>
        <n v="24000000"/>
        <n v="38000000"/>
        <n v="80600000"/>
        <n v="26190000"/>
        <n v="775000000"/>
        <n v="714000000"/>
        <n v="60000000"/>
        <n v="42000000"/>
        <n v="17000000"/>
        <n v="17800000"/>
        <n v="118000000"/>
        <n v="487000000"/>
        <n v="290000000"/>
        <n v="6500000"/>
        <n v="45000000"/>
        <n v="46000000"/>
        <n v="78000000"/>
        <n v="278000000"/>
        <n v="270000000"/>
        <n v="1500000"/>
        <n v="200000"/>
        <n v="11500000"/>
        <n v="14000000"/>
        <n v="7000000"/>
        <n v="19000000"/>
        <n v="4400000"/>
        <n v="51000000"/>
        <n v="24090000"/>
        <n v="8230000"/>
        <n v="8349000"/>
        <n v="10154200"/>
        <n v="66000000"/>
        <n v="8062298"/>
        <n v="9056000"/>
        <n v="25800000"/>
        <n v="65000000"/>
        <n v="360000000"/>
        <n v="98000000"/>
        <n v="1900000"/>
        <n v="150000000"/>
        <n v="19050000"/>
        <n v="23000000"/>
        <n v="19600915.739999998"/>
        <n v="130000000"/>
        <n v="59000000"/>
        <n v="76700000"/>
        <n v="77000000"/>
        <n v="70000000"/>
        <n v="4872439"/>
        <n v="4600"/>
        <n v="30000000"/>
        <n v="1200000"/>
        <n v="54810000"/>
        <n v="5000000"/>
        <n v="1600000"/>
        <n v="41000000"/>
        <n v="28000000"/>
        <n v="24800000"/>
        <n v="55000000"/>
        <n v="7100000"/>
        <n v="33900000"/>
        <n v="35600000"/>
        <n v="34000000"/>
        <n v="10150000"/>
        <n v="340000000"/>
        <n v="32000000"/>
        <n v="27500000"/>
        <n v="29223072.219999999"/>
        <n v="9000000"/>
        <n v="107000000"/>
        <n v="50000000"/>
        <n v="5400000"/>
        <n v="44000000"/>
        <n v="15000000"/>
        <n v="36500000"/>
        <n v="1823000000"/>
        <n v="2650000"/>
        <n v="2407500"/>
        <n v="16760000"/>
        <n v="14942000"/>
        <n v="4200000"/>
        <n v="6400000"/>
        <n v="6000000"/>
        <n v="84800000"/>
        <n v="600000000"/>
        <n v="500000000"/>
        <n v="5450000"/>
        <n v="33300000"/>
        <n v="48000000"/>
        <n v="47000000"/>
        <n v="16000000"/>
        <n v="18500000"/>
        <n v="10111880"/>
        <n v="2600000"/>
        <n v="115000000"/>
        <n v="67142857.5"/>
        <n v="120000000"/>
        <n v="99000000"/>
        <n v="2750000"/>
        <n v="113000000"/>
        <n v="40918000"/>
        <n v="623000"/>
        <n v="17700000"/>
        <n v="19350000"/>
        <n v="38685800"/>
        <n v="0"/>
        <n v="68000000"/>
        <n v="198483.27"/>
        <n v="124649408"/>
        <n v="21000000"/>
        <n v="18000000"/>
        <n v="19500000"/>
        <n v="178000000"/>
        <n v="168000"/>
        <n v="21848900"/>
        <n v="63122000"/>
        <n v="40688000"/>
        <n v="50790000"/>
        <n v="52758700"/>
        <n v="3600000"/>
        <n v="3500000"/>
        <n v="5583250"/>
        <n v="11000000"/>
        <n v="13000000"/>
        <n v="66707844.270000003"/>
        <n v="13900000"/>
        <n v="12700000"/>
        <n v="18350000"/>
        <n v="85300"/>
        <n v="1000000000"/>
        <n v="800000000"/>
        <n v="63000000"/>
        <n v="36000000"/>
        <n v="53500000"/>
        <n v="80000000"/>
        <n v="75000000"/>
        <n v="68200000"/>
        <n v="4000000"/>
        <n v="29000000"/>
        <n v="31540000"/>
        <n v="498991"/>
        <n v="283407.08"/>
        <n v="28500000"/>
        <n v="43000000"/>
        <n v="4435279900"/>
        <n v="4520000000"/>
        <n v="11300000"/>
        <n v="208000000"/>
        <n v="188000000"/>
        <n v="10500000"/>
        <n v="9300000"/>
        <n v="196506364"/>
        <n v="7400000"/>
        <n v="38820000"/>
        <n v="39200000"/>
        <n v="73000000"/>
        <n v="76000000"/>
        <n v="36700000"/>
        <n v="200000000"/>
        <n v="53236992"/>
        <n v="6523809.5240000002"/>
        <n v="6904761.9047619002"/>
        <n v="20000000"/>
        <n v="90000000"/>
        <n v="138000000"/>
      </sharedItems>
    </cacheField>
    <cacheField name="turnovery2" numFmtId="0">
      <sharedItems containsString="0" containsBlank="1" containsNumber="1" minValue="0" maxValue="4335279900" count="208">
        <m/>
        <n v="35782520"/>
        <n v="37851851"/>
        <n v="10000000"/>
        <n v="20000000"/>
        <n v="25000000"/>
        <n v="250000000"/>
        <n v="210000000"/>
        <n v="285000000"/>
        <n v="233000000"/>
        <n v="2200000"/>
        <n v="1800000"/>
        <n v="320000000"/>
        <n v="25866216.539999999"/>
        <n v="27000000"/>
        <n v="56000000"/>
        <n v="8747602"/>
        <n v="10760633"/>
        <n v="3000000"/>
        <n v="260000000"/>
        <n v="6140400"/>
        <n v="7820000"/>
        <n v="60406.9"/>
        <n v="28000000"/>
        <n v="6000000"/>
        <n v="26100000"/>
        <n v="3700000"/>
        <n v="39935000"/>
        <n v="40000000"/>
        <n v="20100000"/>
        <n v="22000000"/>
        <n v="181000000"/>
        <n v="91000000"/>
        <n v="7500000"/>
        <n v="80000000"/>
        <n v="88000000"/>
        <n v="1200000"/>
        <n v="35200000"/>
        <n v="98000000"/>
        <n v="96000000"/>
        <n v="95000000"/>
        <n v="51800000"/>
        <n v="130000000"/>
        <n v="160000000"/>
        <n v="44210000"/>
        <n v="350000"/>
        <n v="47640000"/>
        <n v="46000000"/>
        <n v="33000000"/>
        <n v="4200000"/>
        <n v="16000000"/>
        <n v="30000000"/>
        <n v="77400000"/>
        <n v="32000000"/>
        <n v="110000000"/>
        <n v="25390000"/>
        <n v="701000000"/>
        <n v="42000000"/>
        <n v="35000000"/>
        <n v="19000000"/>
        <n v="17000000"/>
        <n v="8293000"/>
        <n v="118000000"/>
        <n v="290000000"/>
        <n v="228000000"/>
        <n v="6900000"/>
        <n v="43000000"/>
        <n v="70000000"/>
        <n v="2000000"/>
        <n v="150000"/>
        <n v="9000000"/>
        <n v="11500000"/>
        <n v="5000000"/>
        <n v="7000000"/>
        <n v="2895000"/>
        <n v="20007000"/>
        <n v="9290000"/>
        <n v="8230000"/>
        <n v="9309016"/>
        <n v="68000000"/>
        <n v="7568000"/>
        <n v="7980000"/>
        <n v="60000000"/>
        <n v="300000000"/>
        <n v="11000000"/>
        <n v="50000000"/>
        <n v="90000000"/>
        <n v="150000000"/>
        <n v="23000000"/>
        <n v="21000000"/>
        <n v="41000000"/>
        <n v="15870000"/>
        <n v="120000000"/>
        <n v="52000000"/>
        <n v="59000000"/>
        <n v="3149171"/>
        <n v="4600"/>
        <n v="44620000"/>
        <n v="4000000"/>
        <n v="38000000"/>
        <n v="36000000"/>
        <n v="55000000"/>
        <n v="8900000"/>
        <n v="27100000"/>
        <n v="33900000"/>
        <n v="6460000"/>
        <n v="31000000"/>
        <n v="34000000"/>
        <n v="21400000"/>
        <n v="16800000"/>
        <n v="8000000"/>
        <n v="100000000"/>
        <n v="23437874.41"/>
        <n v="97000000"/>
        <n v="5405300"/>
        <n v="32300000"/>
        <n v="2221000000"/>
        <n v="125000000"/>
        <n v="15000000"/>
        <n v="2407500"/>
        <n v="2139269.4500000002"/>
        <n v="24000000"/>
        <n v="14942000"/>
        <n v="9972000"/>
        <n v="400000"/>
        <n v="16492000"/>
        <n v="84800000"/>
        <n v="78600000"/>
        <n v="6500000"/>
        <n v="500000000"/>
        <n v="440000000"/>
        <n v="48000000"/>
        <n v="6850000"/>
        <n v="31860000"/>
        <n v="47000000"/>
        <n v="11983795"/>
        <n v="215000000"/>
        <n v="55714285.700000003"/>
        <n v="116000000"/>
        <n v="42714"/>
        <n v="18000000"/>
        <n v="75000000"/>
        <n v="38671500"/>
        <n v="0"/>
        <n v="58000000"/>
        <n v="107970"/>
        <n v="81237823.409999996"/>
        <n v="1300000"/>
        <n v="17500000"/>
        <n v="135000000"/>
        <n v="317000"/>
        <n v="27500000"/>
        <n v="21258400"/>
        <n v="60242000"/>
        <n v="63122000"/>
        <n v="251000000"/>
        <n v="52381000"/>
        <n v="26820000"/>
        <n v="88300000"/>
        <n v="40597242"/>
        <n v="3800000"/>
        <n v="3011750"/>
        <n v="3212555"/>
        <n v="71000000"/>
        <n v="14000000"/>
        <n v="41708206.549999997"/>
        <n v="22500000"/>
        <n v="12700000"/>
        <n v="98500000"/>
        <n v="16840000"/>
        <n v="800000000"/>
        <n v="650000000"/>
        <n v="40700000"/>
        <n v="68200000"/>
        <n v="750000000"/>
        <n v="103000000"/>
        <n v="74442910"/>
        <n v="6800000"/>
        <n v="167000000"/>
        <n v="28890000"/>
        <n v="506403"/>
        <n v="378938.5"/>
        <n v="33800000"/>
        <n v="44000000"/>
        <n v="3334396248"/>
        <n v="12000000"/>
        <n v="4335279900"/>
        <n v="6450000"/>
        <n v="170000000"/>
        <n v="65000000"/>
        <n v="9300000"/>
        <n v="8500000"/>
        <n v="211627792"/>
        <n v="121000000"/>
        <n v="7400000"/>
        <n v="26000000"/>
        <n v="38820000"/>
        <n v="73000000"/>
        <n v="86000000"/>
        <n v="400000000"/>
        <n v="45215644"/>
        <n v="5663492.0630000001"/>
        <n v="5663492.0634920597"/>
        <n v="12500000"/>
        <n v="250000"/>
        <n v="18500000"/>
        <n v="85000000"/>
        <n v="128000000"/>
      </sharedItems>
    </cacheField>
    <cacheField name="turnovery3" numFmtId="0">
      <sharedItems containsString="0" containsBlank="1" containsNumber="1" minValue="0" maxValue="3334396248" count="188">
        <m/>
        <n v="17012936"/>
        <n v="35782520"/>
        <n v="10000000"/>
        <n v="17000000"/>
        <n v="20000000"/>
        <n v="210000000"/>
        <n v="200000000"/>
        <n v="233000000"/>
        <n v="240000000"/>
        <n v="1500000"/>
        <n v="33000000"/>
        <n v="20894464.079999998"/>
        <n v="26000000"/>
        <n v="46000000"/>
        <n v="6659955"/>
        <n v="8747602"/>
        <n v="2900000"/>
        <n v="5418000"/>
        <n v="8760000"/>
        <n v="74258.460000000006"/>
        <n v="28000000"/>
        <n v="5001200"/>
        <n v="17400000"/>
        <n v="15000000"/>
        <n v="41105000"/>
        <n v="36000000"/>
        <n v="17600000"/>
        <n v="20100000"/>
        <n v="147000000"/>
        <n v="181000000"/>
        <n v="7500000"/>
        <n v="70000000"/>
        <n v="80000000"/>
        <n v="1400000"/>
        <n v="30199096"/>
        <n v="96000000"/>
        <n v="86000000"/>
        <n v="89500000"/>
        <n v="59300000"/>
        <n v="125000000"/>
        <n v="150000000"/>
        <n v="33150000"/>
        <n v="290000"/>
        <n v="36600000"/>
        <n v="32000000"/>
        <n v="4000000"/>
        <n v="12500000"/>
        <n v="40000000"/>
        <n v="67700000"/>
        <n v="168000000"/>
        <n v="22820000"/>
        <n v="623000000"/>
        <n v="35000000"/>
        <n v="22200000"/>
        <n v="19000000"/>
        <n v="13240000"/>
        <n v="122000000"/>
        <n v="228000000"/>
        <n v="328000000"/>
        <n v="6000000"/>
        <n v="65000000"/>
        <n v="8500000"/>
        <n v="9000000"/>
        <n v="5000000"/>
        <n v="2600000"/>
        <n v="12300000"/>
        <n v="7200000"/>
        <n v="8290000"/>
        <n v="10593944"/>
        <n v="62000000"/>
        <n v="9056000"/>
        <n v="6857500"/>
        <n v="22000000"/>
        <n v="16000000"/>
        <n v="45000000"/>
        <n v="90000000"/>
        <n v="2300000"/>
        <n v="21000000"/>
        <n v="19120000"/>
        <n v="41000000"/>
        <n v="14290000"/>
        <n v="100000000"/>
        <n v="52000000"/>
        <n v="60000000"/>
        <n v="3031499.24"/>
        <n v="3600"/>
        <n v="35200000"/>
        <n v="18000000"/>
        <n v="25000000"/>
        <n v="24000000"/>
        <n v="43000000"/>
        <n v="8200000"/>
        <n v="21100000"/>
        <n v="27100000"/>
        <n v="3180000"/>
        <n v="30000000"/>
        <n v="31000000"/>
        <n v="16800000"/>
        <n v="14500000"/>
        <n v="22066836.940000001"/>
        <n v="76000000"/>
        <n v="55000000"/>
        <n v="4812000"/>
        <n v="29800000"/>
        <n v="13000000"/>
        <n v="2139269.4500000002"/>
        <n v="2609347.2000000002"/>
        <n v="9972000"/>
        <n v="9040000"/>
        <n v="5360000"/>
        <n v="8000000"/>
        <n v="13500000"/>
        <n v="78600000"/>
        <n v="99600000"/>
        <n v="5400000"/>
        <n v="440000000"/>
        <n v="290000000"/>
        <n v="35894000"/>
        <n v="38000000"/>
        <n v="42000000"/>
        <n v="10768622"/>
        <n v="110000000"/>
        <n v="11000000"/>
        <n v="50000000"/>
        <n v="36250000"/>
        <n v="75000000"/>
        <n v="17500000"/>
        <n v="42529000"/>
        <n v="0"/>
        <n v="58000000"/>
        <n v="83655"/>
        <n v="12000000"/>
        <n v="251000"/>
        <n v="26500000"/>
        <n v="4500000"/>
        <n v="23815300"/>
        <n v="49611000"/>
        <n v="60242000"/>
        <n v="173000000"/>
        <n v="15870000"/>
        <n v="68500000"/>
        <n v="35070000"/>
        <n v="3895750"/>
        <n v="4089250"/>
        <n v="7000000"/>
        <n v="46295966.229999997"/>
        <n v="22500000"/>
        <n v="98500000"/>
        <n v="71500000"/>
        <n v="15660000"/>
        <n v="650000000"/>
        <n v="550000000"/>
        <n v="89000000"/>
        <n v="47000000"/>
        <n v="26600000"/>
        <n v="3950000"/>
        <n v="27500000"/>
        <n v="68122217"/>
        <n v="6100000"/>
        <n v="148000000"/>
        <n v="28170000"/>
        <n v="498602"/>
        <n v="276837.59999999998"/>
        <n v="23000000"/>
        <n v="24600000"/>
        <n v="2749406200"/>
        <n v="3334396248"/>
        <n v="4839000"/>
        <n v="220000000"/>
        <n v="61000000"/>
        <n v="7300000"/>
        <n v="194401039"/>
        <n v="114000000"/>
        <n v="7400000"/>
        <n v="6660000"/>
        <n v="24200000"/>
        <n v="25120000"/>
        <n v="23680000"/>
        <n v="68800000"/>
        <n v="350000000"/>
        <n v="47915408"/>
        <n v="4217460.3169999998"/>
        <n v="4217460.31746032"/>
        <n v="5500000"/>
        <n v="650000"/>
        <n v="18500000"/>
        <n v="21300000"/>
      </sharedItems>
    </cacheField>
    <cacheField name="turnovery4" numFmtId="0">
      <sharedItems containsString="0" containsBlank="1" containsNumber="1" minValue="0" maxValue="4043631270" count="185">
        <m/>
        <n v="19040941"/>
        <n v="17012936"/>
        <n v="15000000"/>
        <n v="17000000"/>
        <n v="200000000"/>
        <n v="190000000"/>
        <n v="240000000"/>
        <n v="198000000"/>
        <n v="1500000"/>
        <n v="28000000"/>
        <n v="26915365.800000001"/>
        <n v="23000000"/>
        <n v="40000000"/>
        <n v="7493766"/>
        <n v="6659955"/>
        <n v="2580000"/>
        <n v="3852800"/>
        <n v="4400000"/>
        <n v="1673.84"/>
        <n v="6251500"/>
        <n v="15300000"/>
        <n v="9000000"/>
        <n v="36600000"/>
        <n v="41000000"/>
        <n v="15100000"/>
        <n v="17600000"/>
        <n v="450000000"/>
        <n v="147000000"/>
        <n v="7200000"/>
        <n v="65000000"/>
        <n v="70000000"/>
        <n v="1200000"/>
        <n v="29209432"/>
        <n v="86000000"/>
        <n v="90000000"/>
        <n v="73500000"/>
        <n v="77400000"/>
        <n v="100000000"/>
        <n v="140000000"/>
        <n v="41230000"/>
        <n v="210000"/>
        <n v="30000000"/>
        <n v="4500000"/>
        <n v="8000000"/>
        <n v="51000000"/>
        <n v="50000000"/>
        <n v="42000000"/>
        <n v="154000000"/>
        <n v="19000000"/>
        <n v="400000000"/>
        <n v="26500000"/>
        <n v="22200000"/>
        <n v="12430000"/>
        <n v="94000000"/>
        <n v="328000000"/>
        <n v="300000000"/>
        <n v="35000000"/>
        <n v="62000000"/>
        <n v="5900000"/>
        <n v="8500000"/>
        <n v="5000000"/>
        <n v="20000000"/>
        <n v="2443000"/>
        <n v="7455200"/>
        <n v="10600000"/>
        <n v="4835356"/>
        <n v="61000000"/>
        <n v="7980000"/>
        <n v="7786550"/>
        <n v="16000000"/>
        <n v="12700000"/>
        <n v="160000000"/>
        <n v="71000000"/>
        <n v="2100000"/>
        <n v="19120000"/>
        <n v="33000000"/>
        <n v="38000000"/>
        <n v="1225696.22"/>
        <n v="2800"/>
        <n v="30800000"/>
        <n v="4000000"/>
        <n v="25000000"/>
        <n v="16700000"/>
        <n v="43000000"/>
        <n v="64000000"/>
        <n v="7500000"/>
        <n v="25400000"/>
        <n v="21100000"/>
        <n v="18000000"/>
        <n v="2450000"/>
        <n v="14500000"/>
        <n v="12800000"/>
        <n v="60000000"/>
        <n v="45000000"/>
        <n v="23700000"/>
        <n v="110000000"/>
        <n v="13000000"/>
        <n v="2609347.2000000002"/>
        <n v="2437739.54"/>
        <n v="16678926"/>
        <n v="9040000"/>
        <n v="8950000"/>
        <n v="7000000"/>
        <n v="10004000"/>
        <n v="99600000"/>
        <n v="71600000"/>
        <n v="4800000"/>
        <n v="290000000"/>
        <n v="268000000"/>
        <n v="31610000"/>
        <n v="32000000"/>
        <n v="14000000"/>
        <n v="6737000"/>
        <n v="10200000"/>
        <n v="22000000"/>
        <n v="34347810"/>
        <n v="32250000"/>
        <n v="98000000"/>
        <n v="43651700"/>
        <n v="0"/>
        <n v="55000000"/>
        <n v="520256.37"/>
        <n v="81500000"/>
        <n v="12000000"/>
        <n v="10000000"/>
        <n v="250000000"/>
        <n v="533000"/>
        <n v="25750000"/>
        <n v="14940600"/>
        <n v="45200000"/>
        <n v="49611000"/>
        <n v="16660000"/>
        <n v="52710000"/>
        <n v="28294000"/>
        <n v="2619750"/>
        <n v="2606241"/>
        <n v="63000000"/>
        <n v="6000000"/>
        <n v="35668608.780000001"/>
        <n v="71500000"/>
        <n v="47600000"/>
        <n v="13840000"/>
        <n v="550000000"/>
        <n v="500000000"/>
        <n v="67000000"/>
        <n v="26600000"/>
        <n v="53000000"/>
        <n v="3850000"/>
        <n v="220000000"/>
        <n v="27000000"/>
        <n v="85000000"/>
        <n v="45973405"/>
        <n v="3800000"/>
        <n v="39000000"/>
        <n v="24400000"/>
        <n v="364260"/>
        <n v="282422.09999999998"/>
        <n v="21000000"/>
        <n v="19500000"/>
        <n v="19100000"/>
        <n v="4043631270"/>
        <n v="2749406200"/>
        <n v="5640000"/>
        <n v="214000000"/>
        <n v="9800000"/>
        <n v="26000000"/>
        <n v="52000000"/>
        <n v="7300000"/>
        <n v="6500000"/>
        <n v="155691948"/>
        <n v="93000000"/>
        <n v="6660000"/>
        <n v="7720000"/>
        <n v="24000000"/>
        <n v="21300000"/>
        <n v="28290000"/>
        <n v="25120000"/>
        <n v="38500000"/>
        <n v="23680000"/>
        <n v="47453373"/>
        <n v="29000000"/>
        <n v="3365079.3650000002"/>
        <n v="3365079.3650793699"/>
        <n v="320000"/>
      </sharedItems>
    </cacheField>
    <cacheField name="ratioy" numFmtId="0">
      <sharedItems containsString="0" containsBlank="1" containsNumber="1" minValue="0" maxValue="80" count="53">
        <m/>
        <n v="25"/>
        <n v="32"/>
        <n v="13"/>
        <n v="15"/>
        <n v="10"/>
        <n v="5"/>
        <n v="4"/>
        <n v="6"/>
        <n v="1"/>
        <n v="8"/>
        <n v="2"/>
        <n v="20"/>
        <n v="12.55"/>
        <n v="12.3"/>
        <n v="0"/>
        <n v="0.27"/>
        <n v="0.5"/>
        <n v="0.03"/>
        <n v="7"/>
        <n v="40"/>
        <n v="9"/>
        <n v="0.01"/>
        <n v="11"/>
        <n v="35"/>
        <n v="1.4"/>
        <n v="1.8"/>
        <n v="1.5"/>
        <n v="26"/>
        <n v="70"/>
        <n v="3"/>
        <n v="1.2"/>
        <n v="28.5"/>
        <n v="0.1"/>
        <n v="60"/>
        <n v="30"/>
        <n v="42"/>
        <n v="21"/>
        <n v="17"/>
        <n v="10.42"/>
        <n v="1.841"/>
        <n v="38"/>
        <n v="0.32"/>
        <n v="31"/>
        <n v="0.3"/>
        <n v="18"/>
        <n v="16"/>
        <n v="80"/>
        <n v="33"/>
        <n v="2.2000000000000002"/>
        <n v="6.98"/>
        <n v="10.119999999999999"/>
        <n v="0.02"/>
      </sharedItems>
    </cacheField>
    <cacheField name="ratioy1" numFmtId="0">
      <sharedItems containsString="0" containsBlank="1" containsNumber="1" minValue="0" maxValue="88" count="115">
        <m/>
        <n v="27"/>
        <n v="34"/>
        <n v="18"/>
        <n v="12"/>
        <n v="15"/>
        <n v="10"/>
        <n v="15.4"/>
        <n v="8"/>
        <n v="4.33"/>
        <n v="5"/>
        <n v="4"/>
        <n v="7"/>
        <n v="0.6"/>
        <n v="3.75"/>
        <n v="1"/>
        <n v="0.32"/>
        <n v="25"/>
        <n v="13.2"/>
        <n v="2"/>
        <n v="8.86"/>
        <n v="18.23"/>
        <n v="11.1"/>
        <n v="12.1"/>
        <n v="0"/>
        <n v="0.7"/>
        <n v="0.34"/>
        <n v="0.41"/>
        <n v="13.4"/>
        <n v="0.26"/>
        <n v="0.2"/>
        <n v="3.5999999999999997E-2"/>
        <n v="16.7"/>
        <n v="3"/>
        <n v="6"/>
        <n v="1.5"/>
        <n v="35"/>
        <n v="88"/>
        <n v="14"/>
        <n v="30.23"/>
        <n v="40"/>
        <n v="9.6"/>
        <n v="1.4"/>
        <n v="1.3"/>
        <n v="26"/>
        <n v="68.63"/>
        <n v="10.95"/>
        <n v="13.65"/>
        <n v="0.5"/>
        <n v="30"/>
        <n v="8.3000000000000007"/>
        <n v="9.5000000000000001E-2"/>
        <n v="0.8"/>
        <n v="4.2"/>
        <n v="60"/>
        <n v="4.5999999999999996"/>
        <n v="5.2"/>
        <n v="16"/>
        <n v="2.93"/>
        <n v="21.15"/>
        <n v="22.8"/>
        <n v="24"/>
        <n v="48"/>
        <n v="7.06"/>
        <n v="22.93"/>
        <n v="20.49"/>
        <n v="3.4"/>
        <n v="22"/>
        <n v="0.1"/>
        <n v="8.8000000000000007"/>
        <n v="9.06E-2"/>
        <n v="0.02"/>
        <n v="1.6"/>
        <n v="33"/>
        <n v="36.5"/>
        <n v="36"/>
        <n v="38"/>
        <n v="42"/>
        <n v="20"/>
        <n v="23"/>
        <n v="1.74"/>
        <n v="11"/>
        <n v="19.5"/>
        <n v="8.7100000000000009"/>
        <n v="31"/>
        <n v="6.6"/>
        <n v="19"/>
        <n v="21"/>
        <n v="0.08"/>
        <n v="23.5"/>
        <n v="1.61"/>
        <n v="50"/>
        <n v="0.19850000000000001"/>
        <n v="0.3"/>
        <n v="0.01"/>
        <n v="0.65"/>
        <n v="1.1000000000000001"/>
        <n v="4.5"/>
        <n v="3.5"/>
        <n v="6.95"/>
        <n v="10.050000000000001"/>
        <n v="12.3"/>
        <n v="9.8000000000000007"/>
        <n v="28"/>
        <n v="8.9999999999999993E-3"/>
        <n v="1.1200000000000001"/>
        <n v="0.12"/>
        <n v="0.66"/>
        <n v="13.8"/>
        <n v="1.0900000000000001"/>
        <n v="1.58"/>
        <n v="0.85"/>
        <n v="80"/>
        <n v="13"/>
        <n v="32"/>
      </sharedItems>
    </cacheField>
    <cacheField name="ratioy2" numFmtId="0">
      <sharedItems containsString="0" containsBlank="1" containsNumber="1" minValue="0" maxValue="80" count="109">
        <m/>
        <n v="17"/>
        <n v="27"/>
        <n v="20"/>
        <n v="15"/>
        <n v="12"/>
        <n v="1"/>
        <n v="7"/>
        <n v="1.76"/>
        <n v="5"/>
        <n v="10"/>
        <n v="4"/>
        <n v="2.1"/>
        <n v="0.02"/>
        <n v="0.216"/>
        <n v="30"/>
        <n v="8.5"/>
        <n v="2"/>
        <n v="9.7799999999999994"/>
        <n v="13.22"/>
        <n v="9.3000000000000007"/>
        <n v="12.3"/>
        <n v="0"/>
        <n v="0.8"/>
        <n v="0.34"/>
        <n v="14.4"/>
        <n v="0.25"/>
        <n v="3.5"/>
        <n v="13"/>
        <n v="3"/>
        <n v="40"/>
        <n v="67"/>
        <n v="33.64"/>
        <n v="30.23"/>
        <n v="19"/>
        <n v="45"/>
        <n v="8.8000000000000007"/>
        <n v="1.3"/>
        <n v="22"/>
        <n v="60.86"/>
        <n v="8.91"/>
        <n v="10.95"/>
        <n v="4.8"/>
        <n v="29"/>
        <n v="10.3"/>
        <n v="9.2999999999999999E-2"/>
        <n v="0.5"/>
        <n v="60"/>
        <n v="5.2"/>
        <n v="6"/>
        <n v="2.87"/>
        <n v="3.8"/>
        <n v="1.5"/>
        <n v="23.3"/>
        <n v="23"/>
        <n v="7.7"/>
        <n v="54"/>
        <n v="2.27"/>
        <n v="25.95"/>
        <n v="22.93"/>
        <n v="32"/>
        <n v="0.1"/>
        <n v="8"/>
        <n v="13.75"/>
        <n v="0.23050000000000001"/>
        <n v="9"/>
        <n v="36"/>
        <n v="37"/>
        <n v="52"/>
        <n v="5.99"/>
        <n v="0.92"/>
        <n v="11"/>
        <n v="6.62"/>
        <n v="2.2999999999999998"/>
        <n v="31"/>
        <n v="3.7"/>
        <n v="14"/>
        <n v="0.3"/>
        <n v="18"/>
        <n v="58"/>
        <n v="5.67"/>
        <n v="39"/>
        <n v="0.7"/>
        <n v="0.4"/>
        <n v="0.19850000000000001"/>
        <n v="0.18"/>
        <n v="0.01"/>
        <n v="56"/>
        <n v="1.1000000000000001"/>
        <n v="4.5"/>
        <n v="6.9"/>
        <n v="9.5"/>
        <n v="11.4"/>
        <n v="11.9"/>
        <n v="3.23"/>
        <n v="35"/>
        <n v="0.9"/>
        <n v="8.0000000000000002E-3"/>
        <n v="1.61"/>
        <n v="0.12"/>
        <n v="0.28000000000000003"/>
        <n v="7.5"/>
        <n v="20.7"/>
        <n v="3.43"/>
        <n v="1.0900000000000001"/>
        <n v="0.63"/>
        <n v="28"/>
        <n v="80"/>
        <n v="25"/>
      </sharedItems>
    </cacheField>
    <cacheField name="ratioy3" numFmtId="0">
      <sharedItems containsString="0" containsBlank="1" containsNumber="1" minValue="0" maxValue="80" count="97">
        <m/>
        <n v="17"/>
        <n v="20"/>
        <n v="15"/>
        <n v="12"/>
        <n v="11"/>
        <n v="0"/>
        <n v="10"/>
        <n v="2.75"/>
        <n v="5"/>
        <n v="6"/>
        <n v="0.8"/>
        <n v="0.26500000000000001"/>
        <n v="35"/>
        <n v="7.4"/>
        <n v="2"/>
        <n v="9.24"/>
        <n v="15.27"/>
        <n v="11.1"/>
        <n v="0.7"/>
        <n v="14"/>
        <n v="0.28999999999999998"/>
        <n v="2.7"/>
        <n v="18"/>
        <n v="45"/>
        <n v="25"/>
        <n v="7"/>
        <n v="39.200000000000003"/>
        <n v="33.64"/>
        <n v="3"/>
        <n v="8"/>
        <n v="1"/>
        <n v="15.5"/>
        <n v="55.79"/>
        <n v="8.48"/>
        <n v="8.91"/>
        <n v="0.9"/>
        <n v="0.5"/>
        <n v="27"/>
        <n v="28"/>
        <n v="6.5"/>
        <n v="0.09"/>
        <n v="2.5"/>
        <n v="1.35"/>
        <n v="2.93"/>
        <n v="17.600000000000001"/>
        <n v="23"/>
        <n v="11.3"/>
        <n v="39"/>
        <n v="4"/>
        <n v="3.36"/>
        <n v="14.77"/>
        <n v="25.95"/>
        <n v="32"/>
        <n v="31"/>
        <n v="13.16"/>
        <n v="0.20899999999999999"/>
        <n v="33"/>
        <n v="37"/>
        <n v="56"/>
        <n v="0.15"/>
        <n v="5.69"/>
        <n v="1.65"/>
        <n v="21.5"/>
        <n v="5.42"/>
        <n v="1.7"/>
        <n v="0.96"/>
        <n v="30"/>
        <n v="9"/>
        <n v="17.87"/>
        <n v="50"/>
        <n v="64"/>
        <n v="0.14000000000000001"/>
        <n v="0.4"/>
        <n v="0.77"/>
        <n v="71"/>
        <n v="1.5"/>
        <n v="1.9"/>
        <n v="0.1"/>
        <n v="2.8"/>
        <n v="6.7"/>
        <n v="7.5"/>
        <n v="0.01"/>
        <n v="14.4"/>
        <n v="10.9"/>
        <n v="2.4300000000000002"/>
        <n v="6.0000000000000001E-3"/>
        <n v="0.12"/>
        <n v="0.54"/>
        <n v="5.5"/>
        <n v="1.4"/>
        <n v="3.67"/>
        <n v="3.43"/>
        <n v="3.7"/>
        <n v="40"/>
        <n v="80"/>
        <n v="16"/>
      </sharedItems>
    </cacheField>
    <cacheField name="ratioy4" numFmtId="0">
      <sharedItems containsString="0" containsBlank="1" containsNumber="1" minValue="0" maxValue="80" count="90">
        <m/>
        <n v="10"/>
        <n v="17"/>
        <n v="15"/>
        <n v="11"/>
        <n v="8"/>
        <n v="0.28999999999999998"/>
        <n v="7"/>
        <n v="6"/>
        <n v="0"/>
        <n v="6.0000000000000001E-3"/>
        <n v="40"/>
        <n v="4.4000000000000004"/>
        <n v="2.8"/>
        <n v="6.78"/>
        <n v="15.77"/>
        <n v="7.3"/>
        <n v="9.3000000000000007"/>
        <n v="0.6"/>
        <n v="17.8"/>
        <n v="0.3"/>
        <n v="1.9"/>
        <n v="26"/>
        <n v="12"/>
        <n v="40.1"/>
        <n v="39.200000000000003"/>
        <n v="10.78"/>
        <n v="3"/>
        <n v="6.8"/>
        <n v="1"/>
        <n v="4.9000000000000004"/>
        <n v="53.99"/>
        <n v="4.1900000000000004"/>
        <n v="8.48"/>
        <n v="19"/>
        <n v="28"/>
        <n v="4.8000000000000001E-2"/>
        <n v="2.4"/>
        <n v="5"/>
        <n v="1.25"/>
        <n v="2.87"/>
        <n v="0.8"/>
        <n v="11.9"/>
        <n v="24"/>
        <n v="20"/>
        <n v="2.0299999999999998"/>
        <n v="19.11"/>
        <n v="14.77"/>
        <n v="4"/>
        <n v="17.5"/>
        <n v="31"/>
        <n v="33"/>
        <n v="6.7699999999999996E-2"/>
        <n v="18.3"/>
        <n v="38"/>
        <n v="0.2"/>
        <n v="2.14"/>
        <n v="0.86"/>
        <n v="0.1"/>
        <n v="14"/>
        <n v="3.66"/>
        <n v="2"/>
        <n v="0.16"/>
        <n v="29"/>
        <n v="30"/>
        <n v="0.5"/>
        <n v="18"/>
        <n v="19.59"/>
        <n v="67"/>
        <n v="0.9"/>
        <n v="0.14000000000000001"/>
        <n v="66"/>
        <n v="35"/>
        <n v="26.8"/>
        <n v="1.8"/>
        <n v="3.3"/>
        <n v="6.4"/>
        <n v="6.3"/>
        <n v="4.0000000000000001E-3"/>
        <n v="0.59"/>
        <n v="5.0000000000000001E-3"/>
        <n v="5.5"/>
        <n v="0.65"/>
        <n v="1.4"/>
        <n v="3.67"/>
        <n v="2.7"/>
        <n v="45"/>
        <n v="80"/>
        <n v="16"/>
        <n v="25"/>
      </sharedItems>
    </cacheField>
    <cacheField name="category" numFmtId="0">
      <sharedItems containsBlank="1"/>
    </cacheField>
    <cacheField name="panelstatus1" numFmtId="0">
      <sharedItems containsBlank="1" count="2">
        <m/>
        <s v="FP"/>
      </sharedItems>
    </cacheField>
    <cacheField name="paneldescription1" numFmtId="0">
      <sharedItems containsBlank="1" count="5">
        <m/>
        <s v="C"/>
        <s v="A"/>
        <s v="B"/>
        <s v="D"/>
      </sharedItems>
    </cacheField>
    <cacheField name="panelstatus2" numFmtId="0">
      <sharedItems containsBlank="1" count="2">
        <m/>
        <s v="CP"/>
      </sharedItems>
    </cacheField>
    <cacheField name="paneldescription2" numFmtId="0">
      <sharedItems containsBlank="1" count="12">
        <m/>
        <s v="MANUFACTURER A"/>
        <s v="MANUFACTURER D"/>
        <s v="MANUFACTURER B"/>
        <s v="DESIGNER B"/>
        <s v="EXPERT A"/>
        <s v="MANUFACTURER C"/>
        <s v="DESIGNER A"/>
        <s v="SUBCONTRACTOR A"/>
        <s v="EXPERT B"/>
        <s v="DESIGNER D"/>
        <s v="SUBCONTRACTOR D"/>
      </sharedItems>
    </cacheField>
    <cacheField name="generalcontract" numFmtId="0">
      <sharedItems containsString="0" containsBlank="1" containsNumber="1" containsInteger="1" minValue="1" maxValue="1"/>
    </cacheField>
    <cacheField name="qualityappendix" numFmtId="0">
      <sharedItems containsString="0" containsBlank="1" containsNumber="1" containsInteger="1" minValue="1" maxValue="1"/>
    </cacheField>
    <cacheField name="supplychainappendix" numFmtId="0">
      <sharedItems containsString="0" containsBlank="1" containsNumber="1" containsInteger="1" minValue="1" maxValue="1"/>
    </cacheField>
    <cacheField name="countcontractisfull" numFmtId="0">
      <sharedItems containsString="0" containsBlank="1" containsNumber="1" containsInteger="1" minValue="0" maxValue="1"/>
    </cacheField>
    <cacheField name="countcontractfull" numFmtId="0">
      <sharedItems containsString="0" containsBlank="1" containsNumber="1" containsInteger="1" minValue="1" maxValue="1"/>
    </cacheField>
    <cacheField name="countcontractnotfull" numFmtId="0">
      <sharedItems containsString="0" containsBlank="1" containsNumber="1" containsInteger="1" minValue="1" maxValue="1"/>
    </cacheField>
    <cacheField name="fp" numFmtId="0">
      <sharedItems containsBlank="1"/>
    </cacheField>
    <cacheField name="cp" numFmtId="0">
      <sharedItems containsBlank="1"/>
    </cacheField>
    <cacheField name="sp" numFmtId="0">
      <sharedItems containsBlank="1"/>
    </cacheField>
    <cacheField name="mould" numFmtId="0">
      <sharedItems containsBlank="1"/>
    </cacheField>
    <cacheField name="groupact" numFmtId="0">
      <sharedItems/>
    </cacheField>
    <cacheField name="producttype" numFmtId="0">
      <sharedItems containsBlank="1" count="6">
        <m/>
        <s v="FP and CP"/>
        <s v="CP"/>
        <s v="FP "/>
        <s v="CP " u="1"/>
        <s v="FP" u="1"/>
      </sharedItems>
    </cacheField>
    <cacheField name="statusname" numFmtId="0">
      <sharedItems count="4">
        <s v="No business, Phase out"/>
        <s v="Active supplier"/>
        <s v="Supplier code blocked, EOL"/>
        <s v="Only 2nd Tier supplier "/>
      </sharedItems>
    </cacheField>
    <cacheField name="rank" numFmtId="0">
      <sharedItems containsString="0" containsBlank="1" containsNumber="1" containsInteger="1" minValue="1" maxValue="1"/>
    </cacheField>
    <cacheField name="sbuname" numFmtId="0">
      <sharedItems containsBlank="1" count="68">
        <s v="5 - COOKWARE"/>
        <s v="3 - HOME COMFORT,7 - FOOD PREPARATION,99 - SPARE PART &amp; OT"/>
        <s v="1 - LINEN CARE,99 - SPARE PART &amp; OT"/>
        <m/>
        <s v="3 - HOME COMFORT"/>
        <s v="4 - HOME CLEANING"/>
        <s v="7 - FOOD PREPARATION,99 - SPARE PART &amp; OT"/>
        <s v="6 - ELECTRICAL COOK.,7 - FOOD PREPARATION,8 - BEVERAGE,99 - SPARE PART &amp; OT"/>
        <s v="99 - SPARE PART &amp; OT"/>
        <s v="2 - PERSONAL CARE,7 - FOOD PREPARATION,99 - SPARE PART &amp; OT"/>
        <s v="2 - PERSONAL CARE"/>
        <s v="6 - ELECTRICAL COOK."/>
        <s v="8 - BEVERAGE,99 - SPARE PART &amp; OT"/>
        <s v="1 - LINEN CARE,2 - PERSONAL CARE,6 - ELECTRICAL COOK.,7 - FOOD PREPARATION,8 - BEVERAGE,99 - SPARE PART &amp; OT"/>
        <s v="1 - LINEN CARE,6 - ELECTRICAL COOK.,7 - FOOD PREPARATION,99 - SPARE PART &amp; OT"/>
        <s v="5 - COOKWARE,99 - SPARE PART &amp; OT"/>
        <s v="1 - LINEN CARE,2 - PERSONAL CARE,6 - ELECTRICAL COOK.,99 - SPARE PART &amp; OT"/>
        <s v="8 - BEVERAGE"/>
        <s v="5 - COOKWARE,6 - ELECTRICAL COOK."/>
        <s v="5 - COOKWARE,7 - FOOD PREPARATION"/>
        <s v="6 - ELECTRICAL COOK.,8 - BEVERAGE,99 - SPARE PART &amp; OT"/>
        <s v="1 - LINEN CARE,6 - ELECTRICAL COOK.,99 - SPARE PART &amp; OT"/>
        <s v="2 - PERSONAL CARE,7 - FOOD PREPARATION,8 - BEVERAGE,99 - SPARE PART &amp; OT"/>
        <s v="4 - HOME CLEANING,6 - ELECTRICAL COOK.,7 - FOOD PREPARATION,99 - SPARE PART &amp; OT"/>
        <s v="2 - PERSONAL CARE,6 - ELECTRICAL COOK.,8 - BEVERAGE,99 - SPARE PART &amp; OT"/>
        <s v="1 - LINEN CARE,6 - ELECTRICAL COOK.,7 - FOOD PREPARATION"/>
        <s v="6 - ELECTRICAL COOK.,99 - SPARE PART &amp; OT"/>
        <s v="6 - ELECTRICAL COOK.,8 - BEVERAGE"/>
        <s v="1 - LINEN CARE,2 - PERSONAL CARE,4 - HOME CLEANING"/>
        <s v="3 - HOME COMFORT,7 - FOOD PREPARATION,8 - BEVERAGE,99 - SPARE PART &amp; OT"/>
        <s v="1 - LINEN CARE"/>
        <s v="7 - FOOD PREPARATION,8 - BEVERAGE,99 - SPARE PART &amp; OT"/>
        <s v="4 - HOME CLEANING,8 - BEVERAGE,99 - SPARE PART &amp; OT"/>
        <s v="4 - HOME CLEANING,7 - FOOD PREPARATION,99 - SPARE PART &amp; OT"/>
        <s v="2 - PERSONAL CARE,99 - SPARE PART &amp; OT"/>
        <s v="5 - COOKWARE,6 - ELECTRICAL COOK.,99 - SPARE PART &amp; OT"/>
        <s v="1 - LINEN CARE,7 - FOOD PREPARATION,99 - SPARE PART &amp; OT"/>
        <s v="1 - LINEN CARE,2 - PERSONAL CARE,3 - HOME COMFORT,5 - COOKWARE,7 - FOOD PREPARATION,8 - BEVERAGE,99 - SPARE PART &amp; OT"/>
        <s v="1 - LINEN CARE,7 - FOOD PREPARATION,8 - BEVERAGE"/>
        <s v="1 - LINEN CARE,4 - HOME CLEANING"/>
        <s v="1 - LINEN CARE,7 - FOOD PREPARATION"/>
        <s v="7 - FOOD PREPARATION"/>
        <s v="2 - PERSONAL CARE,4 - HOME CLEANING,99 - SPARE PART &amp; OT"/>
        <s v="3 - HOME COMFORT,4 - HOME CLEANING,99 - SPARE PART &amp; OT"/>
        <s v="5 - COOKWARE,6 - ELECTRICAL COOK.,7 - FOOD PREPARATION,99 - SPARE PART &amp; OT"/>
        <s v="6 - ELECTRICAL COOK.,7 - FOOD PREPARATION"/>
        <s v="1 - LINEN CARE,2 - PERSONAL CARE,7 - FOOD PREPARATION,99 - SPARE PART &amp; OT"/>
        <s v="2 - PERSONAL CARE,8 - BEVERAGE"/>
        <s v="3 - HOME COMFORT,6 - ELECTRICAL COOK.,8 - BEVERAGE,99 - SPARE PART &amp; OT"/>
        <s v="5 - COOKWARE,7 - FOOD PREPARATION,99 - SPARE PART &amp; OT"/>
        <s v="1 - LINEN CARE,5 - COOKWARE,6 - ELECTRICAL COOK.,7 - FOOD PREPARATION,8 - BEVERAGE,99 - SPARE PART &amp; OT"/>
        <s v="2 - PERSONAL CARE,6 - ELECTRICAL COOK."/>
        <s v="2 - PERSONAL CARE,6 - ELECTRICAL COOK.,7 - FOOD PREPARATION,99 - SPARE PART &amp; OT"/>
        <s v="7 - FOOD PREPARATION,8 - BEVERAGE"/>
        <s v="1 - LINEN CARE,6 - ELECTRICAL COOK.,7 - FOOD PREPARATION,8 - BEVERAGE,99 - SPARE PART &amp; OT"/>
        <s v="1 - LINEN CARE,2 - PERSONAL CARE,7 - FOOD PREPARATION"/>
        <s v="1 - LINEN CARE,2 - PERSONAL CARE,3 - HOME COMFORT,99 - SPARE PART &amp; OT"/>
        <s v="1 - LINEN CARE,2 - PERSONAL CARE,4 - HOME CLEANING,5 - COOKWARE,7 - FOOD PREPARATION,8 - BEVERAGE,99 - SPARE PART &amp; OT"/>
        <s v="1 - LINEN CARE,2 - PERSONAL CARE,8 - BEVERAGE,99 - SPARE PART &amp; OT"/>
        <s v="1 - LINEN CARE,2 - PERSONAL CARE,4 - HOME CLEANING,99 - SPARE PART &amp; OT"/>
        <s v="1 - LINEN CARE,2 - PERSONAL CARE,4 - HOME CLEANING,6 - ELECTRICAL COOK.,99 - SPARE PART &amp; OT"/>
        <s v="2 - PERSONAL CARE,6 - ELECTRICAL COOK.,7 - FOOD PREPARATION,8 - BEVERAGE"/>
        <s v="3 - HOME COMFORT,8 - BEVERAGE"/>
        <s v="1 - LINEN CARE,4 - HOME CLEANING,6 - ELECTRICAL COOK.,8 - BEVERAGE,99 - SPARE PART &amp; OT"/>
        <s v="3 - HOME COMFORT,99 - SPARE PART &amp; OT"/>
        <s v="1 - LINEN CARE,2 - PERSONAL CARE"/>
        <s v="5 - COOKWARE,6 - ELECTRICAL COOK.,7 - FOOD PREPARATION,8 - BEVERAGE,99 - SPARE PART &amp; OT"/>
        <s v="1 - LINEN CARE,6 - ELECTRICAL COOK."/>
      </sharedItems>
    </cacheField>
    <cacheField name="'Total Number of Supplier'" numFmtId="0" formula="countbydoc+withoutdocument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16">
  <r>
    <n v="450"/>
    <x v="0"/>
    <x v="0"/>
    <x v="0"/>
    <x v="0"/>
    <x v="0"/>
    <n v="436"/>
    <x v="0"/>
    <m/>
    <m/>
    <s v="Supplier"/>
    <m/>
    <x v="0"/>
    <s v="Abdoolally FRD00069 ind.04 20090701.pdf"/>
    <s v=".pdf"/>
    <d v="2014-03-17T00:00:00"/>
    <s v="as\afok"/>
    <m/>
    <s v="FRD00069 ind.04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m/>
    <s v="FP"/>
    <s v="CP"/>
    <m/>
    <m/>
    <s v="FP CP "/>
    <x v="0"/>
    <x v="0"/>
    <m/>
    <x v="0"/>
  </r>
  <r>
    <n v="453"/>
    <x v="0"/>
    <x v="0"/>
    <x v="0"/>
    <x v="0"/>
    <x v="0"/>
    <n v="439"/>
    <x v="1"/>
    <m/>
    <m/>
    <s v="Supplier"/>
    <m/>
    <x v="1"/>
    <s v="SEF - Abdolally 10-11-10 H2.xlsx"/>
    <s v=".xlsx"/>
    <d v="2014-03-17T00:00:00"/>
    <s v="as\afok"/>
    <m/>
    <s v="2010"/>
    <m/>
    <m/>
    <m/>
    <m/>
    <m/>
    <x v="0"/>
    <x v="0"/>
    <x v="0"/>
    <x v="1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m/>
    <s v="FP"/>
    <s v="CP"/>
    <m/>
    <m/>
    <s v="FP CP "/>
    <x v="0"/>
    <x v="0"/>
    <m/>
    <x v="0"/>
  </r>
  <r>
    <n v="452"/>
    <x v="0"/>
    <x v="0"/>
    <x v="0"/>
    <x v="0"/>
    <x v="0"/>
    <n v="438"/>
    <x v="2"/>
    <n v="1"/>
    <m/>
    <s v="Supplier"/>
    <m/>
    <x v="2"/>
    <s v="Abdoolally_SIF_20May2010.xlsx"/>
    <s v=".xlsx"/>
    <d v="2014-03-17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m/>
    <s v="FP"/>
    <s v="CP"/>
    <m/>
    <m/>
    <s v="FP CP "/>
    <x v="1"/>
    <x v="0"/>
    <m/>
    <x v="0"/>
  </r>
  <r>
    <n v="451"/>
    <x v="0"/>
    <x v="0"/>
    <x v="0"/>
    <x v="0"/>
    <x v="0"/>
    <n v="437"/>
    <x v="3"/>
    <m/>
    <m/>
    <s v="Supplier"/>
    <m/>
    <x v="3"/>
    <s v="Abdoolally SPR May 2010.ppt"/>
    <s v=".ppt"/>
    <d v="2014-03-17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m/>
    <s v="FP"/>
    <s v="CP"/>
    <m/>
    <m/>
    <s v="FP CP "/>
    <x v="0"/>
    <x v="0"/>
    <m/>
    <x v="0"/>
  </r>
  <r>
    <n v="463"/>
    <x v="1"/>
    <x v="1"/>
    <x v="1"/>
    <x v="1"/>
    <x v="1"/>
    <n v="449"/>
    <x v="4"/>
    <m/>
    <m/>
    <s v="Supplier"/>
    <m/>
    <x v="4"/>
    <s v="Ablek_Purchase_Agreement_2008.pdf"/>
    <s v=".pdf"/>
    <d v="2014-03-17T00:00:00"/>
    <s v="as\afok"/>
    <m/>
    <s v="V5"/>
    <s v="37E3 - 30 days end of month due net on posting date 37E3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n v="1"/>
    <m/>
    <m/>
    <n v="1"/>
    <m/>
    <m/>
    <s v="FP"/>
    <s v="CP"/>
    <m/>
    <m/>
    <s v="FP CP Both"/>
    <x v="0"/>
    <x v="1"/>
    <m/>
    <x v="1"/>
  </r>
  <r>
    <n v="457"/>
    <x v="1"/>
    <x v="1"/>
    <x v="1"/>
    <x v="1"/>
    <x v="1"/>
    <n v="443"/>
    <x v="5"/>
    <m/>
    <m/>
    <s v="Supplier"/>
    <m/>
    <x v="5"/>
    <s v="Ablek_Quality_Policy_31Dec11.pdf"/>
    <s v=".pdf"/>
    <d v="2014-03-17T00:00:00"/>
    <s v="as\afok"/>
    <m/>
    <m/>
    <m/>
    <m/>
    <m/>
    <n v="10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n v="1"/>
    <m/>
    <n v="1"/>
    <m/>
    <m/>
    <s v="FP"/>
    <s v="CP"/>
    <m/>
    <m/>
    <s v="FP CP Both"/>
    <x v="0"/>
    <x v="1"/>
    <m/>
    <x v="1"/>
  </r>
  <r>
    <n v="464"/>
    <x v="1"/>
    <x v="1"/>
    <x v="1"/>
    <x v="1"/>
    <x v="1"/>
    <n v="450"/>
    <x v="6"/>
    <m/>
    <m/>
    <s v="Supplier"/>
    <m/>
    <x v="6"/>
    <s v="Ablek_Purchase_Agreement_2008.pdf"/>
    <s v=".pdf"/>
    <d v="2014-03-17T00:00:00"/>
    <s v="as\afok"/>
    <m/>
    <m/>
    <m/>
    <n v="35"/>
    <n v="0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n v="1"/>
    <n v="1"/>
    <n v="1"/>
    <m/>
    <s v="FP"/>
    <s v="CP"/>
    <m/>
    <m/>
    <s v="FP CP Both"/>
    <x v="0"/>
    <x v="1"/>
    <m/>
    <x v="1"/>
  </r>
  <r>
    <n v="459"/>
    <x v="1"/>
    <x v="1"/>
    <x v="1"/>
    <x v="1"/>
    <x v="1"/>
    <n v="445"/>
    <x v="7"/>
    <m/>
    <m/>
    <s v="Supplier"/>
    <m/>
    <x v="7"/>
    <s v="Ablek_Env_Declaration_24Mar2010.pdf"/>
    <s v=".pdf"/>
    <d v="2014-03-17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s v="FP"/>
    <s v="CP"/>
    <m/>
    <m/>
    <s v="FP CP Both"/>
    <x v="0"/>
    <x v="1"/>
    <m/>
    <x v="1"/>
  </r>
  <r>
    <n v="458"/>
    <x v="1"/>
    <x v="1"/>
    <x v="1"/>
    <x v="1"/>
    <x v="1"/>
    <n v="444"/>
    <x v="8"/>
    <m/>
    <m/>
    <s v="Supplier"/>
    <m/>
    <x v="8"/>
    <s v="Ablek_Responsible_Purchasing_Charter_08Aug12.pdf"/>
    <s v=".pdf"/>
    <d v="2014-03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s v="FP"/>
    <s v="CP"/>
    <m/>
    <m/>
    <s v="FP CP Both"/>
    <x v="0"/>
    <x v="1"/>
    <m/>
    <x v="1"/>
  </r>
  <r>
    <n v="455"/>
    <x v="1"/>
    <x v="1"/>
    <x v="1"/>
    <x v="1"/>
    <x v="1"/>
    <n v="441"/>
    <x v="1"/>
    <m/>
    <m/>
    <s v="Supplier"/>
    <m/>
    <x v="9"/>
    <s v="Ablek SEF 2013-Manufacturer-20130601-73.xlsx"/>
    <s v=".xlsx"/>
    <d v="2014-03-17T00:00:00"/>
    <s v="as\afok"/>
    <m/>
    <s v="2013"/>
    <m/>
    <m/>
    <m/>
    <m/>
    <m/>
    <x v="0"/>
    <x v="0"/>
    <x v="0"/>
    <x v="2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s v="FP"/>
    <s v="CP"/>
    <m/>
    <m/>
    <s v="FP CP Both"/>
    <x v="0"/>
    <x v="1"/>
    <m/>
    <x v="1"/>
  </r>
  <r>
    <n v="461"/>
    <x v="1"/>
    <x v="1"/>
    <x v="1"/>
    <x v="1"/>
    <x v="1"/>
    <n v="447"/>
    <x v="1"/>
    <m/>
    <m/>
    <s v="Supplier"/>
    <m/>
    <x v="10"/>
    <s v="Ablek_SEF_2012.xlsx"/>
    <s v=".xlsx"/>
    <d v="2014-03-17T00:00:00"/>
    <s v="as\afok"/>
    <m/>
    <s v="2012"/>
    <m/>
    <m/>
    <m/>
    <m/>
    <m/>
    <x v="0"/>
    <x v="0"/>
    <x v="0"/>
    <x v="3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s v="FP"/>
    <s v="CP"/>
    <m/>
    <m/>
    <s v="FP CP Both"/>
    <x v="0"/>
    <x v="1"/>
    <m/>
    <x v="1"/>
  </r>
  <r>
    <n v="462"/>
    <x v="1"/>
    <x v="1"/>
    <x v="1"/>
    <x v="1"/>
    <x v="1"/>
    <n v="448"/>
    <x v="2"/>
    <m/>
    <m/>
    <s v="Supplier"/>
    <m/>
    <x v="11"/>
    <s v="Ablek_SIF2012_6Mar12.xlsx"/>
    <s v=".xlsx"/>
    <d v="2014-03-17T00:00:00"/>
    <s v="as\afok"/>
    <m/>
    <s v="2012"/>
    <m/>
    <m/>
    <m/>
    <m/>
    <m/>
    <x v="0"/>
    <x v="0"/>
    <x v="0"/>
    <x v="0"/>
    <x v="1"/>
    <x v="1"/>
    <x v="1"/>
    <x v="1"/>
    <x v="1"/>
    <x v="1"/>
    <x v="1"/>
    <x v="1"/>
    <x v="1"/>
    <x v="1"/>
    <x v="1"/>
    <s v="CP Panel"/>
    <x v="0"/>
    <x v="0"/>
    <x v="1"/>
    <x v="1"/>
    <m/>
    <m/>
    <m/>
    <n v="1"/>
    <m/>
    <m/>
    <s v="FP"/>
    <s v="CP"/>
    <m/>
    <m/>
    <s v="FP CP Both"/>
    <x v="1"/>
    <x v="1"/>
    <m/>
    <x v="1"/>
  </r>
  <r>
    <n v="456"/>
    <x v="1"/>
    <x v="1"/>
    <x v="1"/>
    <x v="1"/>
    <x v="1"/>
    <n v="442"/>
    <x v="2"/>
    <n v="1"/>
    <m/>
    <s v="Supplier"/>
    <m/>
    <x v="12"/>
    <s v="Ablek_SIF2013.xls"/>
    <s v=".xls"/>
    <d v="2014-03-17T00:00:00"/>
    <s v="as\afok"/>
    <m/>
    <s v="2013"/>
    <m/>
    <m/>
    <m/>
    <m/>
    <m/>
    <x v="0"/>
    <x v="0"/>
    <x v="0"/>
    <x v="0"/>
    <x v="2"/>
    <x v="2"/>
    <x v="2"/>
    <x v="2"/>
    <x v="2"/>
    <x v="2"/>
    <x v="2"/>
    <x v="2"/>
    <x v="2"/>
    <x v="1"/>
    <x v="2"/>
    <s v="CP Panel"/>
    <x v="0"/>
    <x v="0"/>
    <x v="1"/>
    <x v="1"/>
    <m/>
    <m/>
    <m/>
    <n v="1"/>
    <m/>
    <m/>
    <s v="FP"/>
    <s v="CP"/>
    <m/>
    <m/>
    <s v="FP CP Both"/>
    <x v="1"/>
    <x v="1"/>
    <m/>
    <x v="1"/>
  </r>
  <r>
    <n v="454"/>
    <x v="1"/>
    <x v="1"/>
    <x v="1"/>
    <x v="1"/>
    <x v="1"/>
    <n v="440"/>
    <x v="3"/>
    <m/>
    <m/>
    <s v="Supplier"/>
    <m/>
    <x v="13"/>
    <s v="Ablek_SPR_2013.pptx"/>
    <s v=".pptx"/>
    <d v="2014-03-17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s v="FP"/>
    <s v="CP"/>
    <m/>
    <m/>
    <s v="FP CP Both"/>
    <x v="0"/>
    <x v="1"/>
    <m/>
    <x v="1"/>
  </r>
  <r>
    <n v="460"/>
    <x v="1"/>
    <x v="1"/>
    <x v="1"/>
    <x v="1"/>
    <x v="1"/>
    <n v="446"/>
    <x v="3"/>
    <m/>
    <m/>
    <s v="Supplier"/>
    <m/>
    <x v="14"/>
    <s v="Ablek_SPR_2011.ppt"/>
    <s v=".ppt"/>
    <d v="2014-03-17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s v="FP"/>
    <s v="CP"/>
    <m/>
    <m/>
    <s v="FP CP Both"/>
    <x v="0"/>
    <x v="1"/>
    <m/>
    <x v="1"/>
  </r>
  <r>
    <n v="475"/>
    <x v="2"/>
    <x v="2"/>
    <x v="2"/>
    <x v="1"/>
    <x v="1"/>
    <n v="461"/>
    <x v="4"/>
    <m/>
    <m/>
    <s v="Supplier"/>
    <m/>
    <x v="15"/>
    <s v="Abundance_Purchase_Agreement_2008.pdf"/>
    <s v=".pdf"/>
    <d v="2014-03-17T00:00:00"/>
    <s v="as\afok"/>
    <m/>
    <s v="V5"/>
    <s v="37D3 - Within 30 days Due net on Posting date 37D3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n v="1"/>
    <m/>
    <m/>
    <n v="1"/>
    <n v="1"/>
    <m/>
    <m/>
    <s v="CP"/>
    <m/>
    <m/>
    <s v="CP "/>
    <x v="0"/>
    <x v="1"/>
    <m/>
    <x v="2"/>
  </r>
  <r>
    <n v="468"/>
    <x v="2"/>
    <x v="2"/>
    <x v="2"/>
    <x v="1"/>
    <x v="1"/>
    <n v="454"/>
    <x v="5"/>
    <m/>
    <m/>
    <s v="Supplier"/>
    <m/>
    <x v="16"/>
    <s v="Abundance_Quality_policy_23May12.pdf"/>
    <s v=".pdf"/>
    <d v="2014-03-17T00:00:00"/>
    <s v="as\afok"/>
    <m/>
    <m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n v="1"/>
    <m/>
    <n v="1"/>
    <m/>
    <m/>
    <m/>
    <s v="CP"/>
    <m/>
    <m/>
    <s v="CP "/>
    <x v="0"/>
    <x v="1"/>
    <m/>
    <x v="2"/>
  </r>
  <r>
    <n v="474"/>
    <x v="2"/>
    <x v="2"/>
    <x v="2"/>
    <x v="1"/>
    <x v="1"/>
    <n v="460"/>
    <x v="7"/>
    <m/>
    <m/>
    <s v="Supplier"/>
    <m/>
    <x v="17"/>
    <s v="Abundence_EnvDeclaration2011.pdf"/>
    <s v=".pdf"/>
    <d v="2014-03-17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2"/>
  </r>
  <r>
    <n v="470"/>
    <x v="2"/>
    <x v="2"/>
    <x v="2"/>
    <x v="1"/>
    <x v="1"/>
    <n v="456"/>
    <x v="9"/>
    <m/>
    <m/>
    <s v="Supplier"/>
    <m/>
    <x v="18"/>
    <s v="LOC_Abundance.pdf"/>
    <s v=".pdf"/>
    <d v="2014-03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2"/>
  </r>
  <r>
    <n v="471"/>
    <x v="2"/>
    <x v="2"/>
    <x v="2"/>
    <x v="1"/>
    <x v="1"/>
    <n v="457"/>
    <x v="8"/>
    <m/>
    <m/>
    <s v="Supplier"/>
    <m/>
    <x v="19"/>
    <s v="Abundance_Responsible_Purchasing_Charter_07Aug12.pdf"/>
    <s v=".pdf"/>
    <d v="2014-03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2"/>
  </r>
  <r>
    <n v="466"/>
    <x v="2"/>
    <x v="2"/>
    <x v="2"/>
    <x v="1"/>
    <x v="1"/>
    <n v="452"/>
    <x v="1"/>
    <m/>
    <m/>
    <s v="Supplier"/>
    <m/>
    <x v="9"/>
    <s v="Abundance SEF 2013-Manufacturer-20130601-73.xlsx"/>
    <s v=".xlsx"/>
    <d v="2014-03-17T00:00:00"/>
    <s v="as\afok"/>
    <m/>
    <s v="2013"/>
    <m/>
    <m/>
    <m/>
    <m/>
    <m/>
    <x v="0"/>
    <x v="0"/>
    <x v="0"/>
    <x v="2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2"/>
  </r>
  <r>
    <n v="472"/>
    <x v="2"/>
    <x v="2"/>
    <x v="2"/>
    <x v="1"/>
    <x v="1"/>
    <n v="458"/>
    <x v="1"/>
    <m/>
    <m/>
    <s v="Supplier"/>
    <m/>
    <x v="10"/>
    <s v="Abundance_SEF_2012.xlsx"/>
    <s v=".xlsx"/>
    <d v="2014-03-17T00:00:00"/>
    <s v="as\afok"/>
    <m/>
    <s v="2012"/>
    <m/>
    <m/>
    <m/>
    <m/>
    <m/>
    <x v="0"/>
    <x v="0"/>
    <x v="0"/>
    <x v="4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2"/>
  </r>
  <r>
    <n v="473"/>
    <x v="2"/>
    <x v="2"/>
    <x v="2"/>
    <x v="1"/>
    <x v="1"/>
    <n v="459"/>
    <x v="2"/>
    <m/>
    <m/>
    <s v="Supplier"/>
    <m/>
    <x v="20"/>
    <s v="Abundance_SIF2012_26Mar12.xlsx"/>
    <s v=".xlsx"/>
    <d v="2014-03-17T00:00:00"/>
    <s v="as\afok"/>
    <m/>
    <s v="2012"/>
    <m/>
    <m/>
    <m/>
    <m/>
    <m/>
    <x v="0"/>
    <x v="0"/>
    <x v="0"/>
    <x v="0"/>
    <x v="1"/>
    <x v="0"/>
    <x v="3"/>
    <x v="3"/>
    <x v="0"/>
    <x v="0"/>
    <x v="0"/>
    <x v="1"/>
    <x v="3"/>
    <x v="0"/>
    <x v="0"/>
    <s v="CP Panel"/>
    <x v="0"/>
    <x v="0"/>
    <x v="1"/>
    <x v="2"/>
    <m/>
    <m/>
    <m/>
    <n v="1"/>
    <m/>
    <m/>
    <m/>
    <s v="CP"/>
    <m/>
    <m/>
    <s v="CP "/>
    <x v="2"/>
    <x v="1"/>
    <m/>
    <x v="2"/>
  </r>
  <r>
    <n v="467"/>
    <x v="2"/>
    <x v="2"/>
    <x v="2"/>
    <x v="1"/>
    <x v="1"/>
    <n v="453"/>
    <x v="2"/>
    <m/>
    <m/>
    <s v="Supplier"/>
    <m/>
    <x v="21"/>
    <s v="Abundance_SIF2013.xlsx"/>
    <s v=".xlsx"/>
    <d v="2014-03-17T00:00:00"/>
    <s v="as\afok"/>
    <m/>
    <s v="2013"/>
    <m/>
    <m/>
    <m/>
    <m/>
    <m/>
    <x v="0"/>
    <x v="0"/>
    <x v="0"/>
    <x v="0"/>
    <x v="2"/>
    <x v="3"/>
    <x v="4"/>
    <x v="3"/>
    <x v="3"/>
    <x v="0"/>
    <x v="3"/>
    <x v="3"/>
    <x v="2"/>
    <x v="2"/>
    <x v="0"/>
    <s v="CP Panel"/>
    <x v="0"/>
    <x v="0"/>
    <x v="1"/>
    <x v="2"/>
    <m/>
    <m/>
    <m/>
    <n v="1"/>
    <m/>
    <m/>
    <m/>
    <s v="CP"/>
    <m/>
    <m/>
    <s v="CP "/>
    <x v="2"/>
    <x v="1"/>
    <m/>
    <x v="2"/>
  </r>
  <r>
    <n v="465"/>
    <x v="2"/>
    <x v="2"/>
    <x v="2"/>
    <x v="1"/>
    <x v="1"/>
    <n v="451"/>
    <x v="3"/>
    <m/>
    <m/>
    <s v="Supplier"/>
    <m/>
    <x v="13"/>
    <s v="ABUNDANCE_SPR_2013.pptx"/>
    <s v=".pptx"/>
    <d v="2014-03-17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2"/>
  </r>
  <r>
    <n v="469"/>
    <x v="2"/>
    <x v="2"/>
    <x v="2"/>
    <x v="1"/>
    <x v="1"/>
    <n v="455"/>
    <x v="3"/>
    <m/>
    <m/>
    <s v="Supplier"/>
    <m/>
    <x v="22"/>
    <s v="Abundance SPR 2011.pptx"/>
    <s v=".pptx"/>
    <d v="2014-03-17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2"/>
  </r>
  <r>
    <n v="1197"/>
    <x v="3"/>
    <x v="3"/>
    <x v="3"/>
    <x v="2"/>
    <x v="2"/>
    <n v="1173"/>
    <x v="4"/>
    <m/>
    <m/>
    <s v="Supplier"/>
    <m/>
    <x v="23"/>
    <s v="Dongnan ACE Agreement ind.11 at 10 JAN14.pdf"/>
    <s v=".pdf"/>
    <d v="2014-03-26T00:00:00"/>
    <s v="as\afok"/>
    <m/>
    <s v="ind 00 016 ind.11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n v="1"/>
    <m/>
    <m/>
    <n v="1"/>
    <m/>
    <m/>
    <m/>
    <m/>
    <m/>
    <m/>
    <s v=""/>
    <x v="0"/>
    <x v="1"/>
    <m/>
    <x v="3"/>
  </r>
  <r>
    <n v="1201"/>
    <x v="3"/>
    <x v="3"/>
    <x v="3"/>
    <x v="2"/>
    <x v="2"/>
    <n v="1177"/>
    <x v="5"/>
    <m/>
    <m/>
    <s v="Supplier"/>
    <m/>
    <x v="23"/>
    <s v="Dongnan ACE Agreement ind.11 at 10 JAN14.pdf"/>
    <s v=".pdf"/>
    <d v="2014-03-26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n v="1"/>
    <m/>
    <n v="1"/>
    <m/>
    <m/>
    <m/>
    <m/>
    <m/>
    <m/>
    <s v=""/>
    <x v="0"/>
    <x v="1"/>
    <m/>
    <x v="3"/>
  </r>
  <r>
    <n v="1200"/>
    <x v="3"/>
    <x v="3"/>
    <x v="3"/>
    <x v="2"/>
    <x v="2"/>
    <n v="1176"/>
    <x v="6"/>
    <m/>
    <m/>
    <s v="Supplier"/>
    <m/>
    <x v="23"/>
    <s v="Dongnan ACE Agreement ind.11 at 10 JAN14.pdf"/>
    <s v=".pdf"/>
    <d v="2014-03-26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n v="1"/>
    <n v="1"/>
    <m/>
    <m/>
    <m/>
    <m/>
    <m/>
    <m/>
    <s v=""/>
    <x v="0"/>
    <x v="1"/>
    <m/>
    <x v="3"/>
  </r>
  <r>
    <n v="1199"/>
    <x v="3"/>
    <x v="3"/>
    <x v="3"/>
    <x v="2"/>
    <x v="2"/>
    <n v="1175"/>
    <x v="10"/>
    <m/>
    <m/>
    <s v="Supplier"/>
    <m/>
    <x v="24"/>
    <s v="Dongnan ACE Agreement ind.11 at 10 JAN14.pdf"/>
    <s v=".pdf"/>
    <d v="2014-03-2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1"/>
    <m/>
    <m/>
    <m/>
    <m/>
    <m/>
    <m/>
    <s v=""/>
    <x v="0"/>
    <x v="1"/>
    <m/>
    <x v="3"/>
  </r>
  <r>
    <n v="1198"/>
    <x v="3"/>
    <x v="3"/>
    <x v="3"/>
    <x v="2"/>
    <x v="2"/>
    <n v="1174"/>
    <x v="7"/>
    <m/>
    <m/>
    <s v="Supplier"/>
    <m/>
    <x v="23"/>
    <s v="Dongnan ACE Agreement ind.11 at 10 JAN14.pdf"/>
    <s v=".pdf"/>
    <d v="2014-03-26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1"/>
    <m/>
    <m/>
    <m/>
    <m/>
    <m/>
    <m/>
    <s v=""/>
    <x v="0"/>
    <x v="1"/>
    <m/>
    <x v="3"/>
  </r>
  <r>
    <n v="1204"/>
    <x v="3"/>
    <x v="3"/>
    <x v="3"/>
    <x v="2"/>
    <x v="2"/>
    <n v="1180"/>
    <x v="11"/>
    <m/>
    <m/>
    <s v="Product / Project"/>
    <m/>
    <x v="25"/>
    <s v="Dongnan ACE_EA_Oven with hobs_2013-01-31.pdf"/>
    <s v=".pdf"/>
    <d v="2014-03-26T00:00:00"/>
    <s v="as\afok"/>
    <m/>
    <m/>
    <m/>
    <m/>
    <m/>
    <m/>
    <s v="Oven with hobs"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1"/>
    <m/>
    <m/>
    <m/>
    <m/>
    <m/>
    <m/>
    <s v=""/>
    <x v="0"/>
    <x v="1"/>
    <m/>
    <x v="3"/>
  </r>
  <r>
    <n v="1205"/>
    <x v="3"/>
    <x v="3"/>
    <x v="3"/>
    <x v="2"/>
    <x v="2"/>
    <n v="1181"/>
    <x v="12"/>
    <m/>
    <m/>
    <s v="Product / Project"/>
    <m/>
    <x v="25"/>
    <s v="Dongnan ACE_IP_Oven with hobs_2013-01-31.pdf"/>
    <s v=".pdf"/>
    <d v="2014-03-26T00:00:00"/>
    <s v="as\afok"/>
    <m/>
    <m/>
    <m/>
    <m/>
    <m/>
    <m/>
    <s v="Oven with hobs"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1"/>
    <n v="1"/>
    <m/>
    <m/>
    <m/>
    <m/>
    <m/>
    <s v=""/>
    <x v="0"/>
    <x v="1"/>
    <m/>
    <x v="3"/>
  </r>
  <r>
    <n v="1203"/>
    <x v="3"/>
    <x v="3"/>
    <x v="3"/>
    <x v="2"/>
    <x v="2"/>
    <n v="1179"/>
    <x v="2"/>
    <m/>
    <m/>
    <s v="Supplier"/>
    <m/>
    <x v="26"/>
    <s v="ACE - SIF 2012.XLSX"/>
    <s v=".xlsx"/>
    <d v="2014-03-26T00:00:00"/>
    <s v="as\afok"/>
    <m/>
    <s v="2012"/>
    <m/>
    <m/>
    <m/>
    <m/>
    <m/>
    <x v="0"/>
    <x v="0"/>
    <x v="0"/>
    <x v="0"/>
    <x v="1"/>
    <x v="4"/>
    <x v="5"/>
    <x v="4"/>
    <x v="4"/>
    <x v="3"/>
    <x v="0"/>
    <x v="0"/>
    <x v="0"/>
    <x v="0"/>
    <x v="0"/>
    <s v="FP panel"/>
    <x v="1"/>
    <x v="1"/>
    <x v="0"/>
    <x v="0"/>
    <m/>
    <m/>
    <m/>
    <n v="1"/>
    <m/>
    <m/>
    <m/>
    <m/>
    <m/>
    <m/>
    <s v=""/>
    <x v="2"/>
    <x v="1"/>
    <m/>
    <x v="3"/>
  </r>
  <r>
    <n v="1202"/>
    <x v="3"/>
    <x v="3"/>
    <x v="3"/>
    <x v="2"/>
    <x v="2"/>
    <n v="1178"/>
    <x v="2"/>
    <m/>
    <m/>
    <s v="Supplier"/>
    <m/>
    <x v="27"/>
    <s v="ACE - SIF 2013.xlsx"/>
    <s v=".xlsx"/>
    <d v="2014-03-26T00:00:00"/>
    <s v="as\afok"/>
    <m/>
    <s v="2013"/>
    <m/>
    <m/>
    <m/>
    <m/>
    <m/>
    <x v="0"/>
    <x v="0"/>
    <x v="0"/>
    <x v="0"/>
    <x v="2"/>
    <x v="5"/>
    <x v="6"/>
    <x v="5"/>
    <x v="5"/>
    <x v="4"/>
    <x v="0"/>
    <x v="0"/>
    <x v="0"/>
    <x v="0"/>
    <x v="0"/>
    <s v="FP panel"/>
    <x v="1"/>
    <x v="1"/>
    <x v="0"/>
    <x v="0"/>
    <m/>
    <m/>
    <m/>
    <n v="1"/>
    <m/>
    <m/>
    <m/>
    <m/>
    <m/>
    <m/>
    <s v=""/>
    <x v="2"/>
    <x v="1"/>
    <m/>
    <x v="3"/>
  </r>
  <r>
    <n v="14"/>
    <x v="4"/>
    <x v="4"/>
    <x v="4"/>
    <x v="0"/>
    <x v="3"/>
    <n v="11"/>
    <x v="4"/>
    <m/>
    <m/>
    <s v="Supplier"/>
    <d v="2015-12-31T00:00:00"/>
    <x v="28"/>
    <s v="Airmate_General Agreement_30Mar12.pdf"/>
    <s v=".pdf"/>
    <d v="2014-03-04T00:00:00"/>
    <s v="as\afok"/>
    <m/>
    <s v="FHA00016 ind.11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n v="1"/>
    <m/>
    <m/>
    <n v="1"/>
    <m/>
    <m/>
    <s v="FP"/>
    <s v="CP"/>
    <s v="SP"/>
    <s v="MOULD"/>
    <s v="FP CP SP MOULD Both"/>
    <x v="0"/>
    <x v="1"/>
    <n v="1"/>
    <x v="4"/>
  </r>
  <r>
    <n v="60"/>
    <x v="4"/>
    <x v="4"/>
    <x v="4"/>
    <x v="0"/>
    <x v="3"/>
    <n v="52"/>
    <x v="5"/>
    <m/>
    <m/>
    <s v="Supplier"/>
    <m/>
    <x v="29"/>
    <s v="Airmate_General Agreement_30Mar12.pdf"/>
    <s v=".pdf"/>
    <d v="2014-03-07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n v="1"/>
    <m/>
    <n v="1"/>
    <m/>
    <m/>
    <s v="FP"/>
    <s v="CP"/>
    <s v="SP"/>
    <s v="MOULD"/>
    <s v="FP CP SP MOULD Both"/>
    <x v="0"/>
    <x v="1"/>
    <n v="1"/>
    <x v="4"/>
  </r>
  <r>
    <n v="59"/>
    <x v="4"/>
    <x v="4"/>
    <x v="4"/>
    <x v="0"/>
    <x v="3"/>
    <n v="51"/>
    <x v="6"/>
    <m/>
    <m/>
    <s v="Supplier"/>
    <m/>
    <x v="30"/>
    <s v="Airmate_General Agreement_30Mar12.pdf"/>
    <s v=".pdf"/>
    <d v="2014-03-07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n v="1"/>
    <n v="1"/>
    <m/>
    <m/>
    <s v="FP"/>
    <s v="CP"/>
    <s v="SP"/>
    <s v="MOULD"/>
    <s v="FP CP SP MOULD Both"/>
    <x v="0"/>
    <x v="1"/>
    <n v="1"/>
    <x v="4"/>
  </r>
  <r>
    <n v="577"/>
    <x v="4"/>
    <x v="4"/>
    <x v="4"/>
    <x v="0"/>
    <x v="3"/>
    <n v="560"/>
    <x v="10"/>
    <m/>
    <m/>
    <s v="Supplier"/>
    <m/>
    <x v="31"/>
    <s v="Airmate_General Agreement_30Mar12.pdf"/>
    <s v=".pdf"/>
    <d v="2014-03-1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n v="1"/>
    <m/>
    <s v="FP"/>
    <s v="CP"/>
    <s v="SP"/>
    <s v="MOULD"/>
    <s v="FP CP SP MOULD Both"/>
    <x v="0"/>
    <x v="1"/>
    <n v="1"/>
    <x v="4"/>
  </r>
  <r>
    <n v="76"/>
    <x v="4"/>
    <x v="4"/>
    <x v="4"/>
    <x v="0"/>
    <x v="3"/>
    <n v="68"/>
    <x v="7"/>
    <m/>
    <m/>
    <s v="Supplier"/>
    <m/>
    <x v="30"/>
    <s v="Airmate_General Agreement_30Mar12.pdf"/>
    <s v=".pdf"/>
    <d v="2014-03-07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s v="CP"/>
    <s v="SP"/>
    <s v="MOULD"/>
    <s v="FP CP SP MOULD Both"/>
    <x v="0"/>
    <x v="1"/>
    <n v="1"/>
    <x v="4"/>
  </r>
  <r>
    <n v="61"/>
    <x v="4"/>
    <x v="4"/>
    <x v="4"/>
    <x v="0"/>
    <x v="3"/>
    <n v="53"/>
    <x v="11"/>
    <m/>
    <m/>
    <s v="Supplier"/>
    <m/>
    <x v="31"/>
    <s v="Airmate_Exclusivity_Baby Humidifier 7067_18Apr12.pdf"/>
    <s v=".pdf"/>
    <d v="2014-03-0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s v="CP"/>
    <s v="SP"/>
    <s v="MOULD"/>
    <s v="FP CP SP MOULD Both"/>
    <x v="0"/>
    <x v="1"/>
    <n v="1"/>
    <x v="4"/>
  </r>
  <r>
    <n v="64"/>
    <x v="4"/>
    <x v="4"/>
    <x v="4"/>
    <x v="0"/>
    <x v="3"/>
    <n v="56"/>
    <x v="13"/>
    <m/>
    <m/>
    <s v="Supplier"/>
    <d v="2014-04-10T00:00:00"/>
    <x v="32"/>
    <s v="Airmate_ISO14001(Eng)_2011-2014.pdf"/>
    <s v=".pdf"/>
    <d v="2014-03-07T00:00:00"/>
    <s v="as\afok"/>
    <s v="English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s v="CP"/>
    <s v="SP"/>
    <s v="MOULD"/>
    <s v="FP CP SP MOULD Both"/>
    <x v="0"/>
    <x v="1"/>
    <n v="1"/>
    <x v="4"/>
  </r>
  <r>
    <n v="65"/>
    <x v="4"/>
    <x v="4"/>
    <x v="4"/>
    <x v="0"/>
    <x v="3"/>
    <n v="57"/>
    <x v="13"/>
    <m/>
    <m/>
    <s v="Supplier"/>
    <d v="2014-04-10T00:00:00"/>
    <x v="32"/>
    <s v="Airmate_ISO14001(Chi)_2011-2014.pdf"/>
    <s v=".pdf"/>
    <d v="2014-03-07T00:00:00"/>
    <s v="as\afok"/>
    <s v="Chinese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s v="CP"/>
    <s v="SP"/>
    <s v="MOULD"/>
    <s v="FP CP SP MOULD Both"/>
    <x v="0"/>
    <x v="1"/>
    <n v="1"/>
    <x v="4"/>
  </r>
  <r>
    <n v="63"/>
    <x v="4"/>
    <x v="4"/>
    <x v="4"/>
    <x v="0"/>
    <x v="3"/>
    <n v="55"/>
    <x v="14"/>
    <m/>
    <m/>
    <s v="Supplier"/>
    <d v="2014-04-10T00:00:00"/>
    <x v="32"/>
    <s v="Airmate_ISO9001(Chi)_2011-2014.pdf"/>
    <s v=".pdf"/>
    <d v="2014-03-07T00:00:00"/>
    <s v="as\afok"/>
    <s v="Chinese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s v="CP"/>
    <s v="SP"/>
    <s v="MOULD"/>
    <s v="FP CP SP MOULD Both"/>
    <x v="0"/>
    <x v="1"/>
    <n v="1"/>
    <x v="4"/>
  </r>
  <r>
    <n v="62"/>
    <x v="4"/>
    <x v="4"/>
    <x v="4"/>
    <x v="0"/>
    <x v="3"/>
    <n v="54"/>
    <x v="14"/>
    <m/>
    <m/>
    <s v="Supplier"/>
    <d v="2014-04-10T00:00:00"/>
    <x v="32"/>
    <s v="Airmate_ISO9001(Eng)_2011-2014.pdf"/>
    <s v=".pdf"/>
    <d v="2014-03-07T00:00:00"/>
    <s v="as\afok"/>
    <s v="English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s v="CP"/>
    <s v="SP"/>
    <s v="MOULD"/>
    <s v="FP CP SP MOULD Both"/>
    <x v="0"/>
    <x v="1"/>
    <n v="1"/>
    <x v="4"/>
  </r>
  <r>
    <n v="66"/>
    <x v="4"/>
    <x v="4"/>
    <x v="4"/>
    <x v="0"/>
    <x v="3"/>
    <n v="58"/>
    <x v="9"/>
    <m/>
    <m/>
    <s v="Supplier"/>
    <m/>
    <x v="33"/>
    <s v="Airmate_LOC_21Feb12.pdf"/>
    <s v=".pdf"/>
    <d v="2014-03-0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s v="CP"/>
    <s v="SP"/>
    <s v="MOULD"/>
    <s v="FP CP SP MOULD Both"/>
    <x v="0"/>
    <x v="1"/>
    <n v="1"/>
    <x v="4"/>
  </r>
  <r>
    <n v="71"/>
    <x v="4"/>
    <x v="4"/>
    <x v="4"/>
    <x v="0"/>
    <x v="3"/>
    <n v="63"/>
    <x v="15"/>
    <m/>
    <m/>
    <s v="Supplier"/>
    <m/>
    <x v="34"/>
    <s v="Non Disclosure agreement _Airmate  JUL2013.pdf"/>
    <s v=".pdf"/>
    <d v="2014-03-0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s v="CP"/>
    <s v="SP"/>
    <s v="MOULD"/>
    <s v="FP CP SP MOULD Both"/>
    <x v="0"/>
    <x v="1"/>
    <n v="1"/>
    <x v="4"/>
  </r>
  <r>
    <n v="67"/>
    <x v="4"/>
    <x v="4"/>
    <x v="4"/>
    <x v="0"/>
    <x v="3"/>
    <n v="59"/>
    <x v="8"/>
    <m/>
    <m/>
    <s v="Supplier"/>
    <m/>
    <x v="35"/>
    <s v="Airmate_Responsible Purchasing Charter_15Aug12.pdf"/>
    <s v=".pdf"/>
    <d v="2014-03-0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s v="CP"/>
    <s v="SP"/>
    <s v="MOULD"/>
    <s v="FP CP SP MOULD Both"/>
    <x v="0"/>
    <x v="1"/>
    <n v="1"/>
    <x v="4"/>
  </r>
  <r>
    <n v="72"/>
    <x v="4"/>
    <x v="4"/>
    <x v="4"/>
    <x v="0"/>
    <x v="3"/>
    <n v="64"/>
    <x v="1"/>
    <m/>
    <m/>
    <s v="Supplier"/>
    <m/>
    <x v="36"/>
    <s v="SEF_Airmate_12Nov12.xlsx"/>
    <s v=".xlsx"/>
    <d v="2014-03-07T00:00:00"/>
    <s v="as\afok"/>
    <m/>
    <s v="2012"/>
    <m/>
    <m/>
    <m/>
    <m/>
    <m/>
    <x v="0"/>
    <x v="0"/>
    <x v="0"/>
    <x v="5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s v="CP"/>
    <s v="SP"/>
    <s v="MOULD"/>
    <s v="FP CP SP MOULD Both"/>
    <x v="0"/>
    <x v="1"/>
    <n v="1"/>
    <x v="4"/>
  </r>
  <r>
    <n v="69"/>
    <x v="4"/>
    <x v="4"/>
    <x v="4"/>
    <x v="0"/>
    <x v="3"/>
    <n v="61"/>
    <x v="2"/>
    <m/>
    <m/>
    <s v="Supplier"/>
    <m/>
    <x v="37"/>
    <s v="Airmate_SIF2013.xls"/>
    <s v=".xls"/>
    <d v="2014-03-07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s v="CP"/>
    <s v="SP"/>
    <s v="MOULD"/>
    <s v="FP CP SP MOULD Both"/>
    <x v="1"/>
    <x v="1"/>
    <n v="1"/>
    <x v="4"/>
  </r>
  <r>
    <n v="68"/>
    <x v="4"/>
    <x v="4"/>
    <x v="4"/>
    <x v="0"/>
    <x v="3"/>
    <n v="60"/>
    <x v="2"/>
    <m/>
    <m/>
    <s v="Supplier"/>
    <m/>
    <x v="38"/>
    <s v="Airmate_SIF2012_1Mar12.xls"/>
    <s v=".xls"/>
    <d v="2014-03-07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s v="CP"/>
    <s v="SP"/>
    <s v="MOULD"/>
    <s v="FP CP SP MOULD Both"/>
    <x v="1"/>
    <x v="1"/>
    <n v="1"/>
    <x v="4"/>
  </r>
  <r>
    <n v="70"/>
    <x v="4"/>
    <x v="4"/>
    <x v="4"/>
    <x v="0"/>
    <x v="3"/>
    <n v="62"/>
    <x v="3"/>
    <m/>
    <m/>
    <s v="Supplier"/>
    <m/>
    <x v="39"/>
    <s v="Airmate_SPR Presentation_20Jul12.pptx"/>
    <s v=".pptx"/>
    <d v="2014-03-07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s v="CP"/>
    <s v="SP"/>
    <s v="MOULD"/>
    <s v="FP CP SP MOULD Both"/>
    <x v="0"/>
    <x v="1"/>
    <n v="1"/>
    <x v="4"/>
  </r>
  <r>
    <n v="486"/>
    <x v="5"/>
    <x v="5"/>
    <x v="5"/>
    <x v="1"/>
    <x v="1"/>
    <n v="472"/>
    <x v="4"/>
    <m/>
    <m/>
    <s v="Supplier"/>
    <m/>
    <x v="40"/>
    <s v="Airtek FHA00016 ind.09 20091222.pdf"/>
    <s v=".pdf"/>
    <d v="2014-03-17T00:00:00"/>
    <s v="as\afok"/>
    <m/>
    <s v=" FHA00016 ind.09"/>
    <s v="37D4 - Within 45 days due net on posting date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n v="1"/>
    <m/>
    <m/>
    <n v="0"/>
    <m/>
    <n v="1"/>
    <s v="FP"/>
    <m/>
    <s v="SP"/>
    <s v="MOULD"/>
    <s v="FP SP MOULD "/>
    <x v="0"/>
    <x v="1"/>
    <n v="1"/>
    <x v="5"/>
  </r>
  <r>
    <n v="481"/>
    <x v="5"/>
    <x v="5"/>
    <x v="5"/>
    <x v="1"/>
    <x v="1"/>
    <n v="467"/>
    <x v="13"/>
    <m/>
    <m/>
    <s v="Supplier"/>
    <d v="2012-07-17T00:00:00"/>
    <x v="41"/>
    <s v="Airtek_ISO14001_20Apr2010.pdf"/>
    <s v=".pdf"/>
    <d v="2014-03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"/>
    <x v="0"/>
    <x v="1"/>
    <n v="1"/>
    <x v="5"/>
  </r>
  <r>
    <n v="480"/>
    <x v="5"/>
    <x v="5"/>
    <x v="5"/>
    <x v="1"/>
    <x v="1"/>
    <n v="466"/>
    <x v="13"/>
    <m/>
    <m/>
    <s v="Supplier"/>
    <d v="2015-07-17T00:00:00"/>
    <x v="41"/>
    <s v="Airtek_ISO14001_effective to17Jul2015.pdf"/>
    <s v=".pdf"/>
    <d v="2014-03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"/>
    <x v="0"/>
    <x v="1"/>
    <n v="1"/>
    <x v="5"/>
  </r>
  <r>
    <n v="479"/>
    <x v="5"/>
    <x v="5"/>
    <x v="5"/>
    <x v="1"/>
    <x v="1"/>
    <n v="465"/>
    <x v="14"/>
    <m/>
    <m/>
    <s v="Supplier"/>
    <d v="2015-06-25T00:00:00"/>
    <x v="42"/>
    <s v="Airtek_ISO9001_effective to 25Jun2015.pdf"/>
    <s v=".pdf"/>
    <d v="2014-03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"/>
    <x v="0"/>
    <x v="1"/>
    <n v="1"/>
    <x v="5"/>
  </r>
  <r>
    <n v="476"/>
    <x v="5"/>
    <x v="5"/>
    <x v="5"/>
    <x v="1"/>
    <x v="1"/>
    <n v="462"/>
    <x v="9"/>
    <m/>
    <m/>
    <s v="Supplier"/>
    <m/>
    <x v="43"/>
    <s v="Airtek_LOC_21Jan2014.pdf"/>
    <s v=".pdf"/>
    <d v="2014-03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"/>
    <x v="0"/>
    <x v="1"/>
    <n v="1"/>
    <x v="5"/>
  </r>
  <r>
    <n v="483"/>
    <x v="5"/>
    <x v="5"/>
    <x v="5"/>
    <x v="1"/>
    <x v="1"/>
    <n v="469"/>
    <x v="8"/>
    <m/>
    <m/>
    <s v="Supplier"/>
    <m/>
    <x v="35"/>
    <s v="Airtek_Responsible Purchasing Charter_15Aug2012.pdf"/>
    <s v=".pdf"/>
    <d v="2014-03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"/>
    <x v="0"/>
    <x v="1"/>
    <n v="1"/>
    <x v="5"/>
  </r>
  <r>
    <n v="485"/>
    <x v="5"/>
    <x v="5"/>
    <x v="5"/>
    <x v="1"/>
    <x v="1"/>
    <n v="471"/>
    <x v="1"/>
    <m/>
    <m/>
    <s v="Supplier"/>
    <m/>
    <x v="44"/>
    <s v="SEF_Airtek_2012May.xlsx"/>
    <s v=".xlsx"/>
    <d v="2014-03-17T00:00:00"/>
    <s v="as\afok"/>
    <m/>
    <s v="2012"/>
    <m/>
    <m/>
    <m/>
    <m/>
    <m/>
    <x v="0"/>
    <x v="0"/>
    <x v="0"/>
    <x v="6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"/>
    <x v="0"/>
    <x v="1"/>
    <n v="1"/>
    <x v="5"/>
  </r>
  <r>
    <n v="477"/>
    <x v="5"/>
    <x v="5"/>
    <x v="5"/>
    <x v="1"/>
    <x v="1"/>
    <n v="463"/>
    <x v="2"/>
    <n v="1"/>
    <m/>
    <s v="Supplier"/>
    <m/>
    <x v="45"/>
    <s v="Airtek_SIF_Jan 2014.xlsx"/>
    <s v=".xlsx"/>
    <d v="2014-03-17T00:00:00"/>
    <s v="as\afok"/>
    <m/>
    <s v="2014"/>
    <m/>
    <m/>
    <m/>
    <m/>
    <m/>
    <x v="0"/>
    <x v="0"/>
    <x v="0"/>
    <x v="0"/>
    <x v="3"/>
    <x v="6"/>
    <x v="7"/>
    <x v="6"/>
    <x v="6"/>
    <x v="5"/>
    <x v="4"/>
    <x v="4"/>
    <x v="4"/>
    <x v="3"/>
    <x v="3"/>
    <s v="FP panel Top 15"/>
    <x v="1"/>
    <x v="2"/>
    <x v="0"/>
    <x v="0"/>
    <m/>
    <m/>
    <m/>
    <n v="0"/>
    <m/>
    <m/>
    <s v="FP"/>
    <m/>
    <s v="SP"/>
    <s v="MOULD"/>
    <s v="FP SP MOULD "/>
    <x v="3"/>
    <x v="1"/>
    <n v="1"/>
    <x v="5"/>
  </r>
  <r>
    <n v="482"/>
    <x v="5"/>
    <x v="5"/>
    <x v="5"/>
    <x v="1"/>
    <x v="1"/>
    <n v="468"/>
    <x v="2"/>
    <m/>
    <m/>
    <s v="Supplier"/>
    <m/>
    <x v="46"/>
    <s v="Airtek_SIF_4Sep2012.xlsx"/>
    <s v=".xlsx"/>
    <d v="2014-03-17T00:00:00"/>
    <s v="as\afok"/>
    <m/>
    <s v="2012"/>
    <m/>
    <m/>
    <m/>
    <m/>
    <m/>
    <x v="0"/>
    <x v="0"/>
    <x v="0"/>
    <x v="0"/>
    <x v="1"/>
    <x v="6"/>
    <x v="8"/>
    <x v="7"/>
    <x v="7"/>
    <x v="6"/>
    <x v="4"/>
    <x v="5"/>
    <x v="4"/>
    <x v="3"/>
    <x v="1"/>
    <s v="FP panel Top 15"/>
    <x v="1"/>
    <x v="2"/>
    <x v="0"/>
    <x v="0"/>
    <m/>
    <m/>
    <m/>
    <n v="0"/>
    <m/>
    <m/>
    <s v="FP"/>
    <m/>
    <s v="SP"/>
    <s v="MOULD"/>
    <s v="FP SP MOULD "/>
    <x v="3"/>
    <x v="1"/>
    <n v="1"/>
    <x v="5"/>
  </r>
  <r>
    <n v="484"/>
    <x v="5"/>
    <x v="5"/>
    <x v="5"/>
    <x v="1"/>
    <x v="1"/>
    <n v="470"/>
    <x v="3"/>
    <m/>
    <m/>
    <s v="Supplier"/>
    <m/>
    <x v="47"/>
    <s v="SPR 201207 AIRTEK.ppt"/>
    <s v=".ppt"/>
    <d v="2014-03-17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"/>
    <x v="0"/>
    <x v="1"/>
    <n v="1"/>
    <x v="5"/>
  </r>
  <r>
    <n v="478"/>
    <x v="5"/>
    <x v="5"/>
    <x v="5"/>
    <x v="1"/>
    <x v="1"/>
    <n v="464"/>
    <x v="3"/>
    <m/>
    <m/>
    <s v="Supplier"/>
    <m/>
    <x v="9"/>
    <s v="SPR 2013 AIRTEK.pptx"/>
    <s v=".pptx"/>
    <d v="2014-03-17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"/>
    <x v="0"/>
    <x v="1"/>
    <n v="1"/>
    <x v="5"/>
  </r>
  <r>
    <n v="40"/>
    <x v="6"/>
    <x v="6"/>
    <x v="6"/>
    <x v="3"/>
    <x v="4"/>
    <n v="34"/>
    <x v="4"/>
    <m/>
    <m/>
    <s v="Supplier"/>
    <m/>
    <x v="48"/>
    <s v="ALLAN_GENERAL AGREEMENT ind.11 2012-06-15 (except appendix 7).pdf"/>
    <s v=".pdf"/>
    <d v="2014-03-04T00:00:00"/>
    <s v="as\afok"/>
    <m/>
    <s v="FHA00016 ind.11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n v="1"/>
    <m/>
    <m/>
    <n v="0"/>
    <m/>
    <m/>
    <s v="FP"/>
    <m/>
    <s v="SP"/>
    <s v="MOULD"/>
    <s v="FP SP MOULD Both"/>
    <x v="0"/>
    <x v="1"/>
    <n v="1"/>
    <x v="6"/>
  </r>
  <r>
    <n v="2886"/>
    <x v="7"/>
    <x v="7"/>
    <x v="6"/>
    <x v="3"/>
    <x v="4"/>
    <n v="2623"/>
    <x v="4"/>
    <m/>
    <m/>
    <s v="Supplier"/>
    <m/>
    <x v="49"/>
    <s v="ALLAN_ Development and Supply Agreement.pdf"/>
    <s v=".pdf"/>
    <d v="2014-04-29T00:00:00"/>
    <s v="as\afok"/>
    <m/>
    <s v="FHA 00 016 ind.07"/>
    <s v="37E4 - 45 days end of month Due net on posting date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n v="1"/>
    <m/>
    <m/>
    <n v="0"/>
    <m/>
    <m/>
    <s v="FP"/>
    <m/>
    <s v="SP"/>
    <s v="MOULD"/>
    <s v="FP SP MOULD Both"/>
    <x v="0"/>
    <x v="1"/>
    <n v="1"/>
    <x v="6"/>
  </r>
  <r>
    <n v="2884"/>
    <x v="6"/>
    <x v="6"/>
    <x v="6"/>
    <x v="3"/>
    <x v="4"/>
    <n v="2623"/>
    <x v="4"/>
    <m/>
    <m/>
    <s v="Supplier"/>
    <m/>
    <x v="49"/>
    <s v="ALLAN_ Development and Supply Agreement.pdf"/>
    <s v=".pdf"/>
    <d v="2014-04-29T00:00:00"/>
    <s v="as\afok"/>
    <m/>
    <s v="FHA 00 016 ind.07"/>
    <s v="37E4 - 45 days end of month Due net on posting date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n v="1"/>
    <m/>
    <m/>
    <n v="0"/>
    <m/>
    <m/>
    <s v="FP"/>
    <m/>
    <s v="SP"/>
    <s v="MOULD"/>
    <s v="FP SP MOULD Both"/>
    <x v="0"/>
    <x v="1"/>
    <n v="1"/>
    <x v="6"/>
  </r>
  <r>
    <n v="2885"/>
    <x v="8"/>
    <x v="8"/>
    <x v="6"/>
    <x v="3"/>
    <x v="4"/>
    <n v="2623"/>
    <x v="4"/>
    <m/>
    <m/>
    <s v="Supplier"/>
    <m/>
    <x v="49"/>
    <s v="ALLAN_ Development and Supply Agreement.pdf"/>
    <s v=".pdf"/>
    <d v="2014-04-29T00:00:00"/>
    <s v="as\afok"/>
    <m/>
    <s v="FHA 00 016 ind.07"/>
    <s v="37E4 - 45 days end of month Due net on posting date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n v="1"/>
    <m/>
    <m/>
    <n v="0"/>
    <m/>
    <m/>
    <s v="FP"/>
    <s v="CP"/>
    <s v="SP"/>
    <s v="MOULD"/>
    <s v="FP CP SP MOULD Both"/>
    <x v="0"/>
    <x v="1"/>
    <n v="1"/>
    <x v="7"/>
  </r>
  <r>
    <n v="41"/>
    <x v="8"/>
    <x v="8"/>
    <x v="6"/>
    <x v="3"/>
    <x v="4"/>
    <n v="34"/>
    <x v="4"/>
    <m/>
    <m/>
    <s v="Supplier"/>
    <m/>
    <x v="48"/>
    <s v="ALLAN_GENERAL AGREEMENT ind.11 2012-06-15 (except appendix 7).pdf"/>
    <s v=".pdf"/>
    <d v="2014-03-04T00:00:00"/>
    <s v="as\afok"/>
    <m/>
    <s v="FHA00016 ind.11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n v="1"/>
    <m/>
    <m/>
    <n v="0"/>
    <m/>
    <m/>
    <s v="FP"/>
    <s v="CP"/>
    <s v="SP"/>
    <s v="MOULD"/>
    <s v="FP CP SP MOULD Both"/>
    <x v="0"/>
    <x v="1"/>
    <n v="1"/>
    <x v="7"/>
  </r>
  <r>
    <n v="42"/>
    <x v="7"/>
    <x v="7"/>
    <x v="6"/>
    <x v="3"/>
    <x v="4"/>
    <n v="34"/>
    <x v="4"/>
    <m/>
    <m/>
    <s v="Supplier"/>
    <m/>
    <x v="48"/>
    <s v="ALLAN_GENERAL AGREEMENT ind.11 2012-06-15 (except appendix 7).pdf"/>
    <s v=".pdf"/>
    <d v="2014-03-04T00:00:00"/>
    <s v="as\afok"/>
    <m/>
    <s v="FHA00016 ind.11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n v="1"/>
    <m/>
    <m/>
    <n v="0"/>
    <m/>
    <m/>
    <s v="FP"/>
    <m/>
    <s v="SP"/>
    <s v="MOULD"/>
    <s v="FP SP MOULD Both"/>
    <x v="0"/>
    <x v="1"/>
    <n v="1"/>
    <x v="6"/>
  </r>
  <r>
    <n v="572"/>
    <x v="6"/>
    <x v="6"/>
    <x v="6"/>
    <x v="3"/>
    <x v="4"/>
    <n v="557"/>
    <x v="10"/>
    <m/>
    <m/>
    <s v="Supplier"/>
    <m/>
    <x v="50"/>
    <s v="ALLAN_GENERAL AGREEMENT ind.11 2012-06-15 (except appendix 7).pdf"/>
    <s v=".pdf"/>
    <d v="2014-03-1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573"/>
    <x v="8"/>
    <x v="8"/>
    <x v="6"/>
    <x v="3"/>
    <x v="4"/>
    <n v="557"/>
    <x v="10"/>
    <m/>
    <m/>
    <s v="Supplier"/>
    <m/>
    <x v="50"/>
    <s v="ALLAN_GENERAL AGREEMENT ind.11 2012-06-15 (except appendix 7).pdf"/>
    <s v=".pdf"/>
    <d v="2014-03-1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7"/>
  </r>
  <r>
    <n v="574"/>
    <x v="7"/>
    <x v="7"/>
    <x v="6"/>
    <x v="3"/>
    <x v="4"/>
    <n v="557"/>
    <x v="10"/>
    <m/>
    <m/>
    <s v="Supplier"/>
    <m/>
    <x v="50"/>
    <s v="ALLAN_GENERAL AGREEMENT ind.11 2012-06-15 (except appendix 7).pdf"/>
    <s v=".pdf"/>
    <d v="2014-03-1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44"/>
    <x v="6"/>
    <x v="6"/>
    <x v="6"/>
    <x v="3"/>
    <x v="4"/>
    <n v="2643"/>
    <x v="11"/>
    <m/>
    <m/>
    <s v="Product / Project"/>
    <m/>
    <x v="51"/>
    <s v="ALLAN_EA_Milano Kettle_20110131.pdf"/>
    <s v=".pdf"/>
    <d v="2014-04-29T00:00:00"/>
    <s v="as\afok"/>
    <m/>
    <m/>
    <m/>
    <m/>
    <m/>
    <m/>
    <s v="Milano Kettle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42"/>
    <x v="8"/>
    <x v="8"/>
    <x v="6"/>
    <x v="3"/>
    <x v="4"/>
    <n v="2642"/>
    <x v="11"/>
    <m/>
    <m/>
    <s v="Product / Project"/>
    <m/>
    <x v="52"/>
    <s v="ALLAN_NDA_Granny Juicer_20071126.pdf"/>
    <s v=".pdf"/>
    <d v="2014-04-29T00:00:00"/>
    <s v="as\afok"/>
    <m/>
    <s v="FRD 6E 030 ind.00"/>
    <m/>
    <m/>
    <m/>
    <m/>
    <s v="Granny Juicer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7"/>
  </r>
  <r>
    <n v="2938"/>
    <x v="6"/>
    <x v="6"/>
    <x v="6"/>
    <x v="3"/>
    <x v="4"/>
    <n v="2641"/>
    <x v="11"/>
    <m/>
    <m/>
    <s v="Supplier"/>
    <m/>
    <x v="53"/>
    <s v="ALLAN -  WORLDWIDE EXCLUSIVITY 27Sep10.XLS"/>
    <s v=".xls"/>
    <d v="2014-04-2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45"/>
    <x v="8"/>
    <x v="8"/>
    <x v="6"/>
    <x v="3"/>
    <x v="4"/>
    <n v="2643"/>
    <x v="11"/>
    <m/>
    <m/>
    <s v="Product / Project"/>
    <m/>
    <x v="51"/>
    <s v="ALLAN_EA_Milano Kettle_20110131.pdf"/>
    <s v=".pdf"/>
    <d v="2014-04-29T00:00:00"/>
    <s v="as\afok"/>
    <m/>
    <m/>
    <m/>
    <m/>
    <m/>
    <m/>
    <s v="Milano Kettle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7"/>
  </r>
  <r>
    <n v="2941"/>
    <x v="6"/>
    <x v="6"/>
    <x v="6"/>
    <x v="3"/>
    <x v="4"/>
    <n v="2642"/>
    <x v="11"/>
    <m/>
    <m/>
    <s v="Product / Project"/>
    <m/>
    <x v="52"/>
    <s v="ALLAN_NDA_Granny Juicer_20071126.pdf"/>
    <s v=".pdf"/>
    <d v="2014-04-29T00:00:00"/>
    <s v="as\afok"/>
    <m/>
    <s v="FRD 6E 030 ind.00"/>
    <m/>
    <m/>
    <m/>
    <m/>
    <s v="Granny Juicer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39"/>
    <x v="8"/>
    <x v="8"/>
    <x v="6"/>
    <x v="3"/>
    <x v="4"/>
    <n v="2641"/>
    <x v="11"/>
    <m/>
    <m/>
    <s v="Supplier"/>
    <m/>
    <x v="53"/>
    <s v="ALLAN -  WORLDWIDE EXCLUSIVITY 27Sep10.XLS"/>
    <s v=".xls"/>
    <d v="2014-04-2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7"/>
  </r>
  <r>
    <n v="2947"/>
    <x v="6"/>
    <x v="6"/>
    <x v="6"/>
    <x v="3"/>
    <x v="4"/>
    <n v="2644"/>
    <x v="11"/>
    <m/>
    <m/>
    <s v="Product / Project"/>
    <m/>
    <x v="54"/>
    <s v="ALLAN_EA_Secalio Electric Knife_20070628.PDF"/>
    <s v=".pdf"/>
    <d v="2014-04-29T00:00:00"/>
    <s v="as\afok"/>
    <m/>
    <m/>
    <m/>
    <m/>
    <m/>
    <m/>
    <s v="Secalio Electric Knife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48"/>
    <x v="8"/>
    <x v="8"/>
    <x v="6"/>
    <x v="3"/>
    <x v="4"/>
    <n v="2644"/>
    <x v="11"/>
    <m/>
    <m/>
    <s v="Product / Project"/>
    <m/>
    <x v="54"/>
    <s v="ALLAN_EA_Secalio Electric Knife_20070628.PDF"/>
    <s v=".pdf"/>
    <d v="2014-04-29T00:00:00"/>
    <s v="as\afok"/>
    <m/>
    <m/>
    <m/>
    <m/>
    <m/>
    <m/>
    <s v="Secalio Electric Knife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7"/>
  </r>
  <r>
    <n v="2949"/>
    <x v="7"/>
    <x v="7"/>
    <x v="6"/>
    <x v="3"/>
    <x v="4"/>
    <n v="2644"/>
    <x v="11"/>
    <m/>
    <m/>
    <s v="Product / Project"/>
    <m/>
    <x v="54"/>
    <s v="ALLAN_EA_Secalio Electric Knife_20070628.PDF"/>
    <s v=".pdf"/>
    <d v="2014-04-29T00:00:00"/>
    <s v="as\afok"/>
    <m/>
    <m/>
    <m/>
    <m/>
    <m/>
    <m/>
    <s v="Secalio Electric Knife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46"/>
    <x v="7"/>
    <x v="7"/>
    <x v="6"/>
    <x v="3"/>
    <x v="4"/>
    <n v="2643"/>
    <x v="11"/>
    <m/>
    <m/>
    <s v="Product / Project"/>
    <m/>
    <x v="51"/>
    <s v="ALLAN_EA_Milano Kettle_20110131.pdf"/>
    <s v=".pdf"/>
    <d v="2014-04-29T00:00:00"/>
    <s v="as\afok"/>
    <m/>
    <m/>
    <m/>
    <m/>
    <m/>
    <m/>
    <s v="Milano Kettle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43"/>
    <x v="7"/>
    <x v="7"/>
    <x v="6"/>
    <x v="3"/>
    <x v="4"/>
    <n v="2642"/>
    <x v="11"/>
    <m/>
    <m/>
    <s v="Product / Project"/>
    <m/>
    <x v="52"/>
    <s v="ALLAN_NDA_Granny Juicer_20071126.pdf"/>
    <s v=".pdf"/>
    <d v="2014-04-29T00:00:00"/>
    <s v="as\afok"/>
    <m/>
    <s v="FRD 6E 030 ind.00"/>
    <m/>
    <m/>
    <m/>
    <m/>
    <s v="Granny Juicer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40"/>
    <x v="7"/>
    <x v="7"/>
    <x v="6"/>
    <x v="3"/>
    <x v="4"/>
    <n v="2641"/>
    <x v="11"/>
    <m/>
    <m/>
    <s v="Supplier"/>
    <m/>
    <x v="53"/>
    <s v="ALLAN -  WORLDWIDE EXCLUSIVITY 27Sep10.XLS"/>
    <s v=".xls"/>
    <d v="2014-04-2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899"/>
    <x v="6"/>
    <x v="6"/>
    <x v="6"/>
    <x v="3"/>
    <x v="4"/>
    <n v="2628"/>
    <x v="12"/>
    <m/>
    <m/>
    <s v="Supplier"/>
    <m/>
    <x v="55"/>
    <s v="ALLAN_IP_General_20070207.pdf"/>
    <s v=".pdf"/>
    <d v="2014-04-2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03"/>
    <x v="8"/>
    <x v="8"/>
    <x v="6"/>
    <x v="3"/>
    <x v="4"/>
    <n v="2629"/>
    <x v="12"/>
    <m/>
    <m/>
    <s v="Supplier"/>
    <m/>
    <x v="56"/>
    <s v="ALLAN_IP_General_20070301.PDF"/>
    <s v=".pdf"/>
    <d v="2014-04-2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7"/>
  </r>
  <r>
    <n v="2902"/>
    <x v="6"/>
    <x v="6"/>
    <x v="6"/>
    <x v="3"/>
    <x v="4"/>
    <n v="2629"/>
    <x v="12"/>
    <m/>
    <m/>
    <s v="Supplier"/>
    <m/>
    <x v="56"/>
    <s v="ALLAN_IP_General_20070301.PDF"/>
    <s v=".pdf"/>
    <d v="2014-04-2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00"/>
    <x v="8"/>
    <x v="8"/>
    <x v="6"/>
    <x v="3"/>
    <x v="4"/>
    <n v="2628"/>
    <x v="12"/>
    <m/>
    <m/>
    <s v="Supplier"/>
    <m/>
    <x v="55"/>
    <s v="ALLAN_IP_General_20070207.pdf"/>
    <s v=".pdf"/>
    <d v="2014-04-2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7"/>
  </r>
  <r>
    <n v="2901"/>
    <x v="7"/>
    <x v="7"/>
    <x v="6"/>
    <x v="3"/>
    <x v="4"/>
    <n v="2628"/>
    <x v="12"/>
    <m/>
    <m/>
    <s v="Supplier"/>
    <m/>
    <x v="55"/>
    <s v="ALLAN_IP_General_20070207.pdf"/>
    <s v=".pdf"/>
    <d v="2014-04-2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04"/>
    <x v="7"/>
    <x v="7"/>
    <x v="6"/>
    <x v="3"/>
    <x v="4"/>
    <n v="2629"/>
    <x v="12"/>
    <m/>
    <m/>
    <s v="Supplier"/>
    <m/>
    <x v="56"/>
    <s v="ALLAN_IP_General_20070301.PDF"/>
    <s v=".pdf"/>
    <d v="2014-04-2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896"/>
    <x v="6"/>
    <x v="6"/>
    <x v="6"/>
    <x v="3"/>
    <x v="4"/>
    <n v="2627"/>
    <x v="13"/>
    <m/>
    <m/>
    <s v="Supplier"/>
    <d v="2012-12-31T00:00:00"/>
    <x v="57"/>
    <s v="ALLAN_ISO14001_2012.pdf"/>
    <s v=".pdf"/>
    <d v="2014-04-2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897"/>
    <x v="8"/>
    <x v="8"/>
    <x v="6"/>
    <x v="3"/>
    <x v="4"/>
    <n v="2627"/>
    <x v="13"/>
    <m/>
    <m/>
    <s v="Supplier"/>
    <d v="2012-12-31T00:00:00"/>
    <x v="57"/>
    <s v="ALLAN_ISO14001_2012.pdf"/>
    <s v=".pdf"/>
    <d v="2014-04-2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7"/>
  </r>
  <r>
    <n v="2898"/>
    <x v="7"/>
    <x v="7"/>
    <x v="6"/>
    <x v="3"/>
    <x v="4"/>
    <n v="2627"/>
    <x v="13"/>
    <m/>
    <m/>
    <s v="Supplier"/>
    <d v="2012-12-31T00:00:00"/>
    <x v="57"/>
    <s v="ALLAN_ISO14001_2012.pdf"/>
    <s v=".pdf"/>
    <d v="2014-04-2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32"/>
    <x v="6"/>
    <x v="6"/>
    <x v="6"/>
    <x v="3"/>
    <x v="4"/>
    <n v="2639"/>
    <x v="14"/>
    <m/>
    <m/>
    <s v="Supplier"/>
    <d v="2012-08-24T00:00:00"/>
    <x v="58"/>
    <s v="ISO9001 - Certificate 20Jan12.pdf"/>
    <s v=".pdf"/>
    <d v="2014-04-2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33"/>
    <x v="8"/>
    <x v="8"/>
    <x v="6"/>
    <x v="3"/>
    <x v="4"/>
    <n v="2639"/>
    <x v="14"/>
    <m/>
    <m/>
    <s v="Supplier"/>
    <d v="2012-08-24T00:00:00"/>
    <x v="58"/>
    <s v="ISO9001 - Certificate 20Jan12.pdf"/>
    <s v=".pdf"/>
    <d v="2014-04-2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7"/>
  </r>
  <r>
    <n v="2934"/>
    <x v="7"/>
    <x v="7"/>
    <x v="6"/>
    <x v="3"/>
    <x v="4"/>
    <n v="2639"/>
    <x v="14"/>
    <m/>
    <m/>
    <s v="Supplier"/>
    <d v="2012-08-24T00:00:00"/>
    <x v="58"/>
    <s v="ISO9001 - Certificate 20Jan12.pdf"/>
    <s v=".pdf"/>
    <d v="2014-04-2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11"/>
    <x v="6"/>
    <x v="6"/>
    <x v="6"/>
    <x v="3"/>
    <x v="4"/>
    <n v="2632"/>
    <x v="9"/>
    <m/>
    <m/>
    <s v="Product / Project"/>
    <m/>
    <x v="59"/>
    <s v="ALLAN_LOC_HBX Hand blender_20110105.pdf"/>
    <s v=".pdf"/>
    <d v="2014-04-29T00:00:00"/>
    <s v="as\afok"/>
    <m/>
    <m/>
    <m/>
    <m/>
    <m/>
    <m/>
    <s v="HBX Hand blender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12"/>
    <x v="8"/>
    <x v="8"/>
    <x v="6"/>
    <x v="3"/>
    <x v="4"/>
    <n v="2632"/>
    <x v="9"/>
    <m/>
    <m/>
    <s v="Product / Project"/>
    <m/>
    <x v="59"/>
    <s v="ALLAN_LOC_HBX Hand blender_20110105.pdf"/>
    <s v=".pdf"/>
    <d v="2014-04-29T00:00:00"/>
    <s v="as\afok"/>
    <m/>
    <m/>
    <m/>
    <m/>
    <m/>
    <m/>
    <s v="HBX Hand blender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7"/>
  </r>
  <r>
    <n v="2908"/>
    <x v="6"/>
    <x v="6"/>
    <x v="6"/>
    <x v="3"/>
    <x v="4"/>
    <n v="2631"/>
    <x v="9"/>
    <m/>
    <m/>
    <s v="Product / Project"/>
    <m/>
    <x v="60"/>
    <s v="ALLAN_LOC_Breadmaker Moulinex_20100331.pdf"/>
    <s v=".pdf"/>
    <d v="2014-04-29T00:00:00"/>
    <s v="as\afok"/>
    <m/>
    <m/>
    <m/>
    <m/>
    <m/>
    <m/>
    <s v="Breadmaker Moulinex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06"/>
    <x v="8"/>
    <x v="8"/>
    <x v="6"/>
    <x v="3"/>
    <x v="4"/>
    <n v="2630"/>
    <x v="9"/>
    <m/>
    <m/>
    <s v="Product / Project"/>
    <m/>
    <x v="61"/>
    <s v="ALLAN_LOC_Abaco Pod Coffee Maker_20100331.pdf"/>
    <s v=".pdf"/>
    <d v="2014-04-29T00:00:00"/>
    <s v="as\afok"/>
    <m/>
    <m/>
    <m/>
    <m/>
    <m/>
    <m/>
    <s v="Abaco Pod Coffee Maker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7"/>
  </r>
  <r>
    <n v="2905"/>
    <x v="6"/>
    <x v="6"/>
    <x v="6"/>
    <x v="3"/>
    <x v="4"/>
    <n v="2630"/>
    <x v="9"/>
    <m/>
    <m/>
    <s v="Product / Project"/>
    <m/>
    <x v="61"/>
    <s v="ALLAN_LOC_Abaco Pod Coffee Maker_20100331.pdf"/>
    <s v=".pdf"/>
    <d v="2014-04-29T00:00:00"/>
    <s v="as\afok"/>
    <m/>
    <m/>
    <m/>
    <m/>
    <m/>
    <m/>
    <s v="Abaco Pod Coffee Maker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09"/>
    <x v="8"/>
    <x v="8"/>
    <x v="6"/>
    <x v="3"/>
    <x v="4"/>
    <n v="2631"/>
    <x v="9"/>
    <m/>
    <m/>
    <s v="Product / Project"/>
    <m/>
    <x v="60"/>
    <s v="ALLAN_LOC_Breadmaker Moulinex_20100331.pdf"/>
    <s v=".pdf"/>
    <d v="2014-04-29T00:00:00"/>
    <s v="as\afok"/>
    <m/>
    <m/>
    <m/>
    <m/>
    <m/>
    <m/>
    <s v="Breadmaker Moulinex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7"/>
  </r>
  <r>
    <n v="2914"/>
    <x v="6"/>
    <x v="6"/>
    <x v="6"/>
    <x v="3"/>
    <x v="4"/>
    <n v="2633"/>
    <x v="9"/>
    <m/>
    <m/>
    <s v="Product / Project"/>
    <m/>
    <x v="62"/>
    <s v="ALLAN_LOC_Prep'Line 2 Hand Blender_27Jan2011.pdf"/>
    <s v=".pdf"/>
    <d v="2014-04-29T00:00:00"/>
    <s v="as\afok"/>
    <m/>
    <m/>
    <m/>
    <m/>
    <m/>
    <m/>
    <s v="Prep'Line 2 Hand Blender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15"/>
    <x v="8"/>
    <x v="8"/>
    <x v="6"/>
    <x v="3"/>
    <x v="4"/>
    <n v="2633"/>
    <x v="9"/>
    <m/>
    <m/>
    <s v="Product / Project"/>
    <m/>
    <x v="62"/>
    <s v="ALLAN_LOC_Prep'Line 2 Hand Blender_27Jan2011.pdf"/>
    <s v=".pdf"/>
    <d v="2014-04-29T00:00:00"/>
    <s v="as\afok"/>
    <m/>
    <m/>
    <m/>
    <m/>
    <m/>
    <m/>
    <s v="Prep'Line 2 Hand Blender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7"/>
  </r>
  <r>
    <n v="2910"/>
    <x v="7"/>
    <x v="7"/>
    <x v="6"/>
    <x v="3"/>
    <x v="4"/>
    <n v="2631"/>
    <x v="9"/>
    <m/>
    <m/>
    <s v="Product / Project"/>
    <m/>
    <x v="60"/>
    <s v="ALLAN_LOC_Breadmaker Moulinex_20100331.pdf"/>
    <s v=".pdf"/>
    <d v="2014-04-29T00:00:00"/>
    <s v="as\afok"/>
    <m/>
    <m/>
    <m/>
    <m/>
    <m/>
    <m/>
    <s v="Breadmaker Moulinex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07"/>
    <x v="7"/>
    <x v="7"/>
    <x v="6"/>
    <x v="3"/>
    <x v="4"/>
    <n v="2630"/>
    <x v="9"/>
    <m/>
    <m/>
    <s v="Product / Project"/>
    <m/>
    <x v="61"/>
    <s v="ALLAN_LOC_Abaco Pod Coffee Maker_20100331.pdf"/>
    <s v=".pdf"/>
    <d v="2014-04-29T00:00:00"/>
    <s v="as\afok"/>
    <m/>
    <m/>
    <m/>
    <m/>
    <m/>
    <m/>
    <s v="Abaco Pod Coffee Maker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13"/>
    <x v="7"/>
    <x v="7"/>
    <x v="6"/>
    <x v="3"/>
    <x v="4"/>
    <n v="2632"/>
    <x v="9"/>
    <m/>
    <m/>
    <s v="Product / Project"/>
    <m/>
    <x v="59"/>
    <s v="ALLAN_LOC_HBX Hand blender_20110105.pdf"/>
    <s v=".pdf"/>
    <d v="2014-04-29T00:00:00"/>
    <s v="as\afok"/>
    <m/>
    <m/>
    <m/>
    <m/>
    <m/>
    <m/>
    <s v="HBX Hand blender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16"/>
    <x v="7"/>
    <x v="7"/>
    <x v="6"/>
    <x v="3"/>
    <x v="4"/>
    <n v="2633"/>
    <x v="9"/>
    <m/>
    <m/>
    <s v="Product / Project"/>
    <m/>
    <x v="62"/>
    <s v="ALLAN_LOC_Prep'Line 2 Hand Blender_27Jan2011.pdf"/>
    <s v=".pdf"/>
    <d v="2014-04-29T00:00:00"/>
    <s v="as\afok"/>
    <m/>
    <m/>
    <m/>
    <m/>
    <m/>
    <m/>
    <s v="Prep'Line 2 Hand Blender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26"/>
    <x v="6"/>
    <x v="6"/>
    <x v="6"/>
    <x v="3"/>
    <x v="4"/>
    <n v="2637"/>
    <x v="15"/>
    <m/>
    <m/>
    <s v="Product / Project"/>
    <m/>
    <x v="63"/>
    <s v="ALLAN_NDA_Soya Milk Maker_20100624.pdf"/>
    <s v=".pdf"/>
    <d v="2014-04-29T00:00:00"/>
    <s v="as\afok"/>
    <m/>
    <m/>
    <m/>
    <m/>
    <m/>
    <m/>
    <s v="Soya Milk Maker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24"/>
    <x v="8"/>
    <x v="8"/>
    <x v="6"/>
    <x v="3"/>
    <x v="4"/>
    <n v="2636"/>
    <x v="15"/>
    <m/>
    <m/>
    <s v="Product / Project"/>
    <m/>
    <x v="64"/>
    <s v="ALLAN_NDA_Home Drink Machine_20110512.pdf"/>
    <s v=".pdf"/>
    <d v="2014-04-29T00:00:00"/>
    <s v="as\afok"/>
    <m/>
    <m/>
    <m/>
    <m/>
    <m/>
    <m/>
    <s v="Home Drink Machine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7"/>
  </r>
  <r>
    <n v="2959"/>
    <x v="6"/>
    <x v="6"/>
    <x v="6"/>
    <x v="3"/>
    <x v="4"/>
    <n v="2648"/>
    <x v="15"/>
    <m/>
    <m/>
    <s v="Product / Project"/>
    <m/>
    <x v="25"/>
    <s v="NDA - Phytocare project.pdf"/>
    <s v=".pdf"/>
    <d v="2014-04-29T00:00:00"/>
    <s v="as\afok"/>
    <m/>
    <m/>
    <m/>
    <m/>
    <m/>
    <m/>
    <s v="Phytocare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21"/>
    <x v="8"/>
    <x v="8"/>
    <x v="6"/>
    <x v="3"/>
    <x v="4"/>
    <n v="2635"/>
    <x v="15"/>
    <m/>
    <m/>
    <s v="Product / Project"/>
    <m/>
    <x v="65"/>
    <s v="ALLAN_NDA_Granny Juicer_20071126.pdf"/>
    <s v=".pdf"/>
    <d v="2014-04-29T00:00:00"/>
    <s v="as\afok"/>
    <m/>
    <m/>
    <m/>
    <m/>
    <m/>
    <m/>
    <s v="Granny Juicer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7"/>
  </r>
  <r>
    <n v="2917"/>
    <x v="6"/>
    <x v="6"/>
    <x v="6"/>
    <x v="3"/>
    <x v="4"/>
    <n v="2634"/>
    <x v="15"/>
    <m/>
    <m/>
    <s v="Product / Project"/>
    <m/>
    <x v="66"/>
    <s v="ALLAN_NDA_Coffee Maker and Espresso 20110420.pdf"/>
    <s v=".pdf"/>
    <d v="2014-04-29T00:00:00"/>
    <s v="as\afok"/>
    <m/>
    <m/>
    <m/>
    <m/>
    <m/>
    <m/>
    <s v="Coffee Maker and Espresso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18"/>
    <x v="8"/>
    <x v="8"/>
    <x v="6"/>
    <x v="3"/>
    <x v="4"/>
    <n v="2634"/>
    <x v="15"/>
    <m/>
    <m/>
    <s v="Product / Project"/>
    <m/>
    <x v="66"/>
    <s v="ALLAN_NDA_Coffee Maker and Espresso 20110420.pdf"/>
    <s v=".pdf"/>
    <d v="2014-04-29T00:00:00"/>
    <s v="as\afok"/>
    <m/>
    <m/>
    <m/>
    <m/>
    <m/>
    <m/>
    <s v="Coffee Maker and Espresso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7"/>
  </r>
  <r>
    <n v="2920"/>
    <x v="6"/>
    <x v="6"/>
    <x v="6"/>
    <x v="3"/>
    <x v="4"/>
    <n v="2635"/>
    <x v="15"/>
    <m/>
    <m/>
    <s v="Product / Project"/>
    <m/>
    <x v="65"/>
    <s v="ALLAN_NDA_Granny Juicer_20071126.pdf"/>
    <s v=".pdf"/>
    <d v="2014-04-29T00:00:00"/>
    <s v="as\afok"/>
    <m/>
    <m/>
    <m/>
    <m/>
    <m/>
    <m/>
    <s v="Granny Juicer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27"/>
    <x v="8"/>
    <x v="8"/>
    <x v="6"/>
    <x v="3"/>
    <x v="4"/>
    <n v="2637"/>
    <x v="15"/>
    <m/>
    <m/>
    <s v="Product / Project"/>
    <m/>
    <x v="63"/>
    <s v="ALLAN_NDA_Soya Milk Maker_20100624.pdf"/>
    <s v=".pdf"/>
    <d v="2014-04-29T00:00:00"/>
    <s v="as\afok"/>
    <m/>
    <m/>
    <m/>
    <m/>
    <m/>
    <m/>
    <s v="Soya Milk Maker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7"/>
  </r>
  <r>
    <n v="2962"/>
    <x v="6"/>
    <x v="6"/>
    <x v="6"/>
    <x v="3"/>
    <x v="4"/>
    <n v="2649"/>
    <x v="15"/>
    <m/>
    <m/>
    <s v="Product / Project"/>
    <m/>
    <x v="67"/>
    <s v="NDA SPARKEO project.pdf"/>
    <s v=".pdf"/>
    <d v="2014-04-29T00:00:00"/>
    <s v="as\afok"/>
    <m/>
    <m/>
    <m/>
    <m/>
    <m/>
    <m/>
    <s v="SPARKEO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63"/>
    <x v="8"/>
    <x v="8"/>
    <x v="6"/>
    <x v="3"/>
    <x v="4"/>
    <n v="2649"/>
    <x v="15"/>
    <m/>
    <m/>
    <s v="Product / Project"/>
    <m/>
    <x v="67"/>
    <s v="NDA SPARKEO project.pdf"/>
    <s v=".pdf"/>
    <d v="2014-04-29T00:00:00"/>
    <s v="as\afok"/>
    <m/>
    <m/>
    <m/>
    <m/>
    <m/>
    <m/>
    <s v="SPARKEO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7"/>
  </r>
  <r>
    <n v="2923"/>
    <x v="6"/>
    <x v="6"/>
    <x v="6"/>
    <x v="3"/>
    <x v="4"/>
    <n v="2636"/>
    <x v="15"/>
    <m/>
    <m/>
    <s v="Product / Project"/>
    <m/>
    <x v="64"/>
    <s v="ALLAN_NDA_Home Drink Machine_20110512.pdf"/>
    <s v=".pdf"/>
    <d v="2014-04-29T00:00:00"/>
    <s v="as\afok"/>
    <m/>
    <m/>
    <m/>
    <m/>
    <m/>
    <m/>
    <s v="Home Drink Machine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51"/>
    <x v="8"/>
    <x v="8"/>
    <x v="6"/>
    <x v="3"/>
    <x v="4"/>
    <n v="2645"/>
    <x v="15"/>
    <m/>
    <m/>
    <s v="Product / Project"/>
    <m/>
    <x v="67"/>
    <s v="NDA SPARKEO.pdf"/>
    <s v=".pdf"/>
    <d v="2014-04-29T00:00:00"/>
    <s v="as\afok"/>
    <m/>
    <m/>
    <m/>
    <m/>
    <m/>
    <m/>
    <s v="SPARKEO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7"/>
  </r>
  <r>
    <n v="2950"/>
    <x v="6"/>
    <x v="6"/>
    <x v="6"/>
    <x v="3"/>
    <x v="4"/>
    <n v="2645"/>
    <x v="15"/>
    <m/>
    <m/>
    <s v="Product / Project"/>
    <m/>
    <x v="67"/>
    <s v="NDA SPARKEO.pdf"/>
    <s v=".pdf"/>
    <d v="2014-04-29T00:00:00"/>
    <s v="as\afok"/>
    <m/>
    <m/>
    <m/>
    <m/>
    <m/>
    <m/>
    <s v="SPARKEO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60"/>
    <x v="8"/>
    <x v="8"/>
    <x v="6"/>
    <x v="3"/>
    <x v="4"/>
    <n v="2648"/>
    <x v="15"/>
    <m/>
    <m/>
    <s v="Product / Project"/>
    <m/>
    <x v="25"/>
    <s v="NDA - Phytocare project.pdf"/>
    <s v=".pdf"/>
    <d v="2014-04-29T00:00:00"/>
    <s v="as\afok"/>
    <m/>
    <m/>
    <m/>
    <m/>
    <m/>
    <m/>
    <s v="Phytocare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7"/>
  </r>
  <r>
    <n v="2952"/>
    <x v="7"/>
    <x v="7"/>
    <x v="6"/>
    <x v="3"/>
    <x v="4"/>
    <n v="2645"/>
    <x v="15"/>
    <m/>
    <m/>
    <s v="Product / Project"/>
    <m/>
    <x v="67"/>
    <s v="NDA SPARKEO.pdf"/>
    <s v=".pdf"/>
    <d v="2014-04-29T00:00:00"/>
    <s v="as\afok"/>
    <m/>
    <m/>
    <m/>
    <m/>
    <m/>
    <m/>
    <s v="SPARKEO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25"/>
    <x v="7"/>
    <x v="7"/>
    <x v="6"/>
    <x v="3"/>
    <x v="4"/>
    <n v="2636"/>
    <x v="15"/>
    <m/>
    <m/>
    <s v="Product / Project"/>
    <m/>
    <x v="64"/>
    <s v="ALLAN_NDA_Home Drink Machine_20110512.pdf"/>
    <s v=".pdf"/>
    <d v="2014-04-29T00:00:00"/>
    <s v="as\afok"/>
    <m/>
    <m/>
    <m/>
    <m/>
    <m/>
    <m/>
    <s v="Home Drink Machine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28"/>
    <x v="7"/>
    <x v="7"/>
    <x v="6"/>
    <x v="3"/>
    <x v="4"/>
    <n v="2637"/>
    <x v="15"/>
    <m/>
    <m/>
    <s v="Product / Project"/>
    <m/>
    <x v="63"/>
    <s v="ALLAN_NDA_Soya Milk Maker_20100624.pdf"/>
    <s v=".pdf"/>
    <d v="2014-04-29T00:00:00"/>
    <s v="as\afok"/>
    <m/>
    <m/>
    <m/>
    <m/>
    <m/>
    <m/>
    <s v="Soya Milk Maker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61"/>
    <x v="7"/>
    <x v="7"/>
    <x v="6"/>
    <x v="3"/>
    <x v="4"/>
    <n v="2648"/>
    <x v="15"/>
    <m/>
    <m/>
    <s v="Product / Project"/>
    <m/>
    <x v="25"/>
    <s v="NDA - Phytocare project.pdf"/>
    <s v=".pdf"/>
    <d v="2014-04-29T00:00:00"/>
    <s v="as\afok"/>
    <m/>
    <m/>
    <m/>
    <m/>
    <m/>
    <m/>
    <s v="Phytocare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64"/>
    <x v="7"/>
    <x v="7"/>
    <x v="6"/>
    <x v="3"/>
    <x v="4"/>
    <n v="2649"/>
    <x v="15"/>
    <m/>
    <m/>
    <s v="Product / Project"/>
    <m/>
    <x v="67"/>
    <s v="NDA SPARKEO project.pdf"/>
    <s v=".pdf"/>
    <d v="2014-04-29T00:00:00"/>
    <s v="as\afok"/>
    <m/>
    <m/>
    <m/>
    <m/>
    <m/>
    <m/>
    <s v="SPARKEO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19"/>
    <x v="7"/>
    <x v="7"/>
    <x v="6"/>
    <x v="3"/>
    <x v="4"/>
    <n v="2634"/>
    <x v="15"/>
    <m/>
    <m/>
    <s v="Product / Project"/>
    <m/>
    <x v="66"/>
    <s v="ALLAN_NDA_Coffee Maker and Espresso 20110420.pdf"/>
    <s v=".pdf"/>
    <d v="2014-04-29T00:00:00"/>
    <s v="as\afok"/>
    <m/>
    <m/>
    <m/>
    <m/>
    <m/>
    <m/>
    <s v="Coffee Maker and Espresso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22"/>
    <x v="7"/>
    <x v="7"/>
    <x v="6"/>
    <x v="3"/>
    <x v="4"/>
    <n v="2635"/>
    <x v="15"/>
    <m/>
    <m/>
    <s v="Product / Project"/>
    <m/>
    <x v="65"/>
    <s v="ALLAN_NDA_Granny Juicer_20071126.pdf"/>
    <s v=".pdf"/>
    <d v="2014-04-29T00:00:00"/>
    <s v="as\afok"/>
    <m/>
    <m/>
    <m/>
    <m/>
    <m/>
    <m/>
    <s v="Granny Juicer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65"/>
    <x v="6"/>
    <x v="6"/>
    <x v="6"/>
    <x v="3"/>
    <x v="4"/>
    <n v="2650"/>
    <x v="16"/>
    <m/>
    <m/>
    <s v="Supplier"/>
    <m/>
    <x v="68"/>
    <s v="Certificate of liability insurance.pdf"/>
    <s v=".pdf"/>
    <d v="2014-04-29T00:00:00"/>
    <s v="as\afok"/>
    <s v="Certificate of liability insurance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30"/>
    <x v="8"/>
    <x v="8"/>
    <x v="6"/>
    <x v="3"/>
    <x v="4"/>
    <n v="2638"/>
    <x v="16"/>
    <m/>
    <m/>
    <s v="Supplier"/>
    <d v="2014-07-20T00:00:00"/>
    <x v="69"/>
    <s v="QC080000 Cert July2011.jpg"/>
    <s v=".jpg"/>
    <d v="2014-04-29T00:00:00"/>
    <s v="as\afok"/>
    <s v="QC080000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7"/>
  </r>
  <r>
    <n v="2929"/>
    <x v="6"/>
    <x v="6"/>
    <x v="6"/>
    <x v="3"/>
    <x v="4"/>
    <n v="2638"/>
    <x v="16"/>
    <m/>
    <m/>
    <s v="Supplier"/>
    <d v="2014-07-20T00:00:00"/>
    <x v="69"/>
    <s v="QC080000 Cert July2011.jpg"/>
    <s v=".jpg"/>
    <d v="2014-04-29T00:00:00"/>
    <s v="as\afok"/>
    <s v="QC080000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66"/>
    <x v="8"/>
    <x v="8"/>
    <x v="6"/>
    <x v="3"/>
    <x v="4"/>
    <n v="2650"/>
    <x v="16"/>
    <m/>
    <m/>
    <s v="Supplier"/>
    <m/>
    <x v="68"/>
    <s v="Certificate of liability insurance.pdf"/>
    <s v=".pdf"/>
    <d v="2014-04-29T00:00:00"/>
    <s v="as\afok"/>
    <s v="Certificate of liability insurance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7"/>
  </r>
  <r>
    <n v="2931"/>
    <x v="7"/>
    <x v="7"/>
    <x v="6"/>
    <x v="3"/>
    <x v="4"/>
    <n v="2638"/>
    <x v="16"/>
    <m/>
    <m/>
    <s v="Supplier"/>
    <d v="2014-07-20T00:00:00"/>
    <x v="69"/>
    <s v="QC080000 Cert July2011.jpg"/>
    <s v=".jpg"/>
    <d v="2014-04-29T00:00:00"/>
    <s v="as\afok"/>
    <s v="QC080000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67"/>
    <x v="7"/>
    <x v="7"/>
    <x v="6"/>
    <x v="3"/>
    <x v="4"/>
    <n v="2650"/>
    <x v="16"/>
    <m/>
    <m/>
    <s v="Supplier"/>
    <m/>
    <x v="68"/>
    <s v="Certificate of liability insurance.pdf"/>
    <s v=".pdf"/>
    <d v="2014-04-29T00:00:00"/>
    <s v="as\afok"/>
    <s v="Certificate of liability insurance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n v="1"/>
    <s v="FP"/>
    <m/>
    <s v="SP"/>
    <s v="MOULD"/>
    <s v="FP SP MOULD Both"/>
    <x v="0"/>
    <x v="1"/>
    <n v="1"/>
    <x v="6"/>
  </r>
  <r>
    <n v="2887"/>
    <x v="6"/>
    <x v="6"/>
    <x v="6"/>
    <x v="3"/>
    <x v="4"/>
    <n v="2624"/>
    <x v="8"/>
    <m/>
    <m/>
    <s v="Supplier"/>
    <m/>
    <x v="70"/>
    <s v="Allan - Responsible Purchasing Charter.pdf"/>
    <s v=".pdf"/>
    <d v="2014-04-2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888"/>
    <x v="8"/>
    <x v="8"/>
    <x v="6"/>
    <x v="3"/>
    <x v="4"/>
    <n v="2624"/>
    <x v="8"/>
    <m/>
    <m/>
    <s v="Supplier"/>
    <m/>
    <x v="70"/>
    <s v="Allan - Responsible Purchasing Charter.pdf"/>
    <s v=".pdf"/>
    <d v="2014-04-2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7"/>
  </r>
  <r>
    <n v="2889"/>
    <x v="7"/>
    <x v="7"/>
    <x v="6"/>
    <x v="3"/>
    <x v="4"/>
    <n v="2624"/>
    <x v="8"/>
    <m/>
    <m/>
    <s v="Supplier"/>
    <m/>
    <x v="70"/>
    <s v="Allan - Responsible Purchasing Charter.pdf"/>
    <s v=".pdf"/>
    <d v="2014-04-2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53"/>
    <x v="6"/>
    <x v="6"/>
    <x v="6"/>
    <x v="3"/>
    <x v="4"/>
    <n v="2646"/>
    <x v="1"/>
    <m/>
    <m/>
    <s v="Supplier"/>
    <m/>
    <x v="71"/>
    <s v="Allan_SEF_Dec 2012.xlsx"/>
    <s v=".xlsx"/>
    <d v="2014-04-29T00:00:00"/>
    <s v="as\afok"/>
    <m/>
    <s v="2012"/>
    <m/>
    <m/>
    <m/>
    <m/>
    <m/>
    <x v="0"/>
    <x v="0"/>
    <x v="0"/>
    <x v="3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891"/>
    <x v="8"/>
    <x v="8"/>
    <x v="6"/>
    <x v="3"/>
    <x v="4"/>
    <n v="2625"/>
    <x v="1"/>
    <m/>
    <m/>
    <s v="Supplier"/>
    <m/>
    <x v="72"/>
    <s v="Allan SEF 2012.xlsx"/>
    <s v=".xlsx"/>
    <d v="2014-04-29T00:00:00"/>
    <s v="as\afok"/>
    <m/>
    <s v="2012"/>
    <m/>
    <m/>
    <m/>
    <m/>
    <m/>
    <x v="0"/>
    <x v="0"/>
    <x v="0"/>
    <x v="7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7"/>
  </r>
  <r>
    <n v="2890"/>
    <x v="6"/>
    <x v="6"/>
    <x v="6"/>
    <x v="3"/>
    <x v="4"/>
    <n v="2625"/>
    <x v="1"/>
    <m/>
    <m/>
    <s v="Supplier"/>
    <m/>
    <x v="72"/>
    <s v="Allan SEF 2012.xlsx"/>
    <s v=".xlsx"/>
    <d v="2014-04-29T00:00:00"/>
    <s v="as\afok"/>
    <m/>
    <s v="2012"/>
    <m/>
    <m/>
    <m/>
    <m/>
    <m/>
    <x v="0"/>
    <x v="0"/>
    <x v="0"/>
    <x v="7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54"/>
    <x v="8"/>
    <x v="8"/>
    <x v="6"/>
    <x v="3"/>
    <x v="4"/>
    <n v="2646"/>
    <x v="1"/>
    <m/>
    <m/>
    <s v="Supplier"/>
    <m/>
    <x v="71"/>
    <s v="Allan_SEF_Dec 2012.xlsx"/>
    <s v=".xlsx"/>
    <d v="2014-04-29T00:00:00"/>
    <s v="as\afok"/>
    <m/>
    <s v="2012"/>
    <m/>
    <m/>
    <m/>
    <m/>
    <m/>
    <x v="0"/>
    <x v="0"/>
    <x v="0"/>
    <x v="3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7"/>
  </r>
  <r>
    <n v="2892"/>
    <x v="7"/>
    <x v="7"/>
    <x v="6"/>
    <x v="3"/>
    <x v="4"/>
    <n v="2625"/>
    <x v="1"/>
    <m/>
    <m/>
    <s v="Supplier"/>
    <m/>
    <x v="72"/>
    <s v="Allan SEF 2012.xlsx"/>
    <s v=".xlsx"/>
    <d v="2014-04-29T00:00:00"/>
    <s v="as\afok"/>
    <m/>
    <s v="2012"/>
    <m/>
    <m/>
    <m/>
    <m/>
    <m/>
    <x v="0"/>
    <x v="0"/>
    <x v="0"/>
    <x v="7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55"/>
    <x v="7"/>
    <x v="7"/>
    <x v="6"/>
    <x v="3"/>
    <x v="4"/>
    <n v="2646"/>
    <x v="1"/>
    <m/>
    <m/>
    <s v="Supplier"/>
    <m/>
    <x v="71"/>
    <s v="Allan_SEF_Dec 2012.xlsx"/>
    <s v=".xlsx"/>
    <d v="2014-04-29T00:00:00"/>
    <s v="as\afok"/>
    <m/>
    <s v="2012"/>
    <m/>
    <m/>
    <m/>
    <m/>
    <m/>
    <x v="0"/>
    <x v="0"/>
    <x v="0"/>
    <x v="3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56"/>
    <x v="6"/>
    <x v="6"/>
    <x v="6"/>
    <x v="3"/>
    <x v="4"/>
    <n v="2647"/>
    <x v="2"/>
    <m/>
    <m/>
    <s v="Supplier"/>
    <m/>
    <x v="73"/>
    <s v="Allan SIF 2013.xlsx"/>
    <s v=".xlsx"/>
    <d v="2014-04-29T00:00:00"/>
    <s v="as\afok"/>
    <m/>
    <s v="2013"/>
    <m/>
    <m/>
    <m/>
    <m/>
    <m/>
    <x v="0"/>
    <x v="0"/>
    <x v="0"/>
    <x v="0"/>
    <x v="2"/>
    <x v="7"/>
    <x v="9"/>
    <x v="8"/>
    <x v="8"/>
    <x v="7"/>
    <x v="5"/>
    <x v="6"/>
    <x v="5"/>
    <x v="4"/>
    <x v="4"/>
    <s v="FP panel Top 15"/>
    <x v="1"/>
    <x v="2"/>
    <x v="0"/>
    <x v="0"/>
    <m/>
    <m/>
    <m/>
    <n v="0"/>
    <m/>
    <m/>
    <s v="FP"/>
    <m/>
    <s v="SP"/>
    <s v="MOULD"/>
    <s v="FP SP MOULD Both"/>
    <x v="1"/>
    <x v="1"/>
    <n v="1"/>
    <x v="6"/>
  </r>
  <r>
    <n v="2894"/>
    <x v="8"/>
    <x v="8"/>
    <x v="6"/>
    <x v="3"/>
    <x v="4"/>
    <n v="2626"/>
    <x v="2"/>
    <m/>
    <m/>
    <s v="Supplier"/>
    <m/>
    <x v="74"/>
    <s v="Allan SIF 2012.xlsx"/>
    <s v=".xlsx"/>
    <d v="2014-04-29T00:00:00"/>
    <s v="as\afok"/>
    <m/>
    <s v="2012"/>
    <m/>
    <m/>
    <m/>
    <m/>
    <m/>
    <x v="0"/>
    <x v="0"/>
    <x v="0"/>
    <x v="0"/>
    <x v="1"/>
    <x v="8"/>
    <x v="10"/>
    <x v="9"/>
    <x v="9"/>
    <x v="8"/>
    <x v="5"/>
    <x v="4"/>
    <x v="5"/>
    <x v="5"/>
    <x v="4"/>
    <s v="FP panel Top 15"/>
    <x v="1"/>
    <x v="2"/>
    <x v="0"/>
    <x v="0"/>
    <m/>
    <m/>
    <m/>
    <n v="0"/>
    <m/>
    <m/>
    <s v="FP"/>
    <s v="CP"/>
    <s v="SP"/>
    <s v="MOULD"/>
    <s v="FP CP SP MOULD Both"/>
    <x v="1"/>
    <x v="1"/>
    <n v="1"/>
    <x v="7"/>
  </r>
  <r>
    <n v="2893"/>
    <x v="6"/>
    <x v="6"/>
    <x v="6"/>
    <x v="3"/>
    <x v="4"/>
    <n v="2626"/>
    <x v="2"/>
    <m/>
    <m/>
    <s v="Supplier"/>
    <m/>
    <x v="74"/>
    <s v="Allan SIF 2012.xlsx"/>
    <s v=".xlsx"/>
    <d v="2014-04-29T00:00:00"/>
    <s v="as\afok"/>
    <m/>
    <s v="2012"/>
    <m/>
    <m/>
    <m/>
    <m/>
    <m/>
    <x v="0"/>
    <x v="0"/>
    <x v="0"/>
    <x v="0"/>
    <x v="1"/>
    <x v="8"/>
    <x v="10"/>
    <x v="9"/>
    <x v="9"/>
    <x v="8"/>
    <x v="5"/>
    <x v="4"/>
    <x v="5"/>
    <x v="5"/>
    <x v="4"/>
    <s v="FP panel Top 15"/>
    <x v="1"/>
    <x v="2"/>
    <x v="0"/>
    <x v="0"/>
    <m/>
    <m/>
    <m/>
    <n v="0"/>
    <m/>
    <m/>
    <s v="FP"/>
    <m/>
    <s v="SP"/>
    <s v="MOULD"/>
    <s v="FP SP MOULD Both"/>
    <x v="1"/>
    <x v="1"/>
    <n v="1"/>
    <x v="6"/>
  </r>
  <r>
    <n v="2957"/>
    <x v="8"/>
    <x v="8"/>
    <x v="6"/>
    <x v="3"/>
    <x v="4"/>
    <n v="2647"/>
    <x v="2"/>
    <m/>
    <m/>
    <s v="Supplier"/>
    <m/>
    <x v="73"/>
    <s v="Allan SIF 2013.xlsx"/>
    <s v=".xlsx"/>
    <d v="2014-04-29T00:00:00"/>
    <s v="as\afok"/>
    <m/>
    <s v="2013"/>
    <m/>
    <m/>
    <m/>
    <m/>
    <m/>
    <x v="0"/>
    <x v="0"/>
    <x v="0"/>
    <x v="0"/>
    <x v="2"/>
    <x v="7"/>
    <x v="9"/>
    <x v="8"/>
    <x v="8"/>
    <x v="7"/>
    <x v="5"/>
    <x v="6"/>
    <x v="5"/>
    <x v="4"/>
    <x v="4"/>
    <s v="FP panel Top 15"/>
    <x v="1"/>
    <x v="2"/>
    <x v="0"/>
    <x v="0"/>
    <m/>
    <m/>
    <m/>
    <n v="0"/>
    <m/>
    <m/>
    <s v="FP"/>
    <s v="CP"/>
    <s v="SP"/>
    <s v="MOULD"/>
    <s v="FP CP SP MOULD Both"/>
    <x v="1"/>
    <x v="1"/>
    <n v="1"/>
    <x v="7"/>
  </r>
  <r>
    <n v="2895"/>
    <x v="7"/>
    <x v="7"/>
    <x v="6"/>
    <x v="3"/>
    <x v="4"/>
    <n v="2626"/>
    <x v="2"/>
    <m/>
    <m/>
    <s v="Supplier"/>
    <m/>
    <x v="74"/>
    <s v="Allan SIF 2012.xlsx"/>
    <s v=".xlsx"/>
    <d v="2014-04-29T00:00:00"/>
    <s v="as\afok"/>
    <m/>
    <s v="2012"/>
    <m/>
    <m/>
    <m/>
    <m/>
    <m/>
    <x v="0"/>
    <x v="0"/>
    <x v="0"/>
    <x v="0"/>
    <x v="1"/>
    <x v="8"/>
    <x v="10"/>
    <x v="9"/>
    <x v="9"/>
    <x v="8"/>
    <x v="5"/>
    <x v="4"/>
    <x v="5"/>
    <x v="5"/>
    <x v="4"/>
    <s v="FP panel Top 15"/>
    <x v="1"/>
    <x v="2"/>
    <x v="0"/>
    <x v="0"/>
    <m/>
    <m/>
    <m/>
    <n v="0"/>
    <m/>
    <m/>
    <s v="FP"/>
    <m/>
    <s v="SP"/>
    <s v="MOULD"/>
    <s v="FP SP MOULD Both"/>
    <x v="1"/>
    <x v="1"/>
    <n v="1"/>
    <x v="6"/>
  </r>
  <r>
    <n v="2958"/>
    <x v="7"/>
    <x v="7"/>
    <x v="6"/>
    <x v="3"/>
    <x v="4"/>
    <n v="2647"/>
    <x v="2"/>
    <n v="1"/>
    <m/>
    <s v="Supplier"/>
    <m/>
    <x v="73"/>
    <s v="Allan SIF 2013.xlsx"/>
    <s v=".xlsx"/>
    <d v="2014-04-29T00:00:00"/>
    <s v="as\afok"/>
    <m/>
    <s v="2013"/>
    <m/>
    <m/>
    <m/>
    <m/>
    <m/>
    <x v="0"/>
    <x v="0"/>
    <x v="0"/>
    <x v="0"/>
    <x v="2"/>
    <x v="7"/>
    <x v="9"/>
    <x v="8"/>
    <x v="8"/>
    <x v="7"/>
    <x v="5"/>
    <x v="6"/>
    <x v="5"/>
    <x v="4"/>
    <x v="4"/>
    <s v="FP panel Top 15"/>
    <x v="1"/>
    <x v="2"/>
    <x v="0"/>
    <x v="0"/>
    <m/>
    <m/>
    <m/>
    <n v="0"/>
    <m/>
    <m/>
    <s v="FP"/>
    <m/>
    <s v="SP"/>
    <s v="MOULD"/>
    <s v="FP SP MOULD Both"/>
    <x v="1"/>
    <x v="1"/>
    <n v="1"/>
    <x v="6"/>
  </r>
  <r>
    <n v="2935"/>
    <x v="6"/>
    <x v="6"/>
    <x v="6"/>
    <x v="3"/>
    <x v="4"/>
    <n v="2640"/>
    <x v="3"/>
    <m/>
    <m/>
    <s v="Supplier"/>
    <m/>
    <x v="75"/>
    <s v="Allan-SPR-Oct 2012.PPT"/>
    <s v=".ppt"/>
    <d v="2014-04-29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2936"/>
    <x v="8"/>
    <x v="8"/>
    <x v="6"/>
    <x v="3"/>
    <x v="4"/>
    <n v="2640"/>
    <x v="3"/>
    <m/>
    <m/>
    <s v="Supplier"/>
    <m/>
    <x v="75"/>
    <s v="Allan-SPR-Oct 2012.PPT"/>
    <s v=".ppt"/>
    <d v="2014-04-29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7"/>
  </r>
  <r>
    <n v="2937"/>
    <x v="7"/>
    <x v="7"/>
    <x v="6"/>
    <x v="3"/>
    <x v="4"/>
    <n v="2640"/>
    <x v="3"/>
    <m/>
    <m/>
    <s v="Supplier"/>
    <m/>
    <x v="75"/>
    <s v="Allan-SPR-Oct 2012.PPT"/>
    <s v=".ppt"/>
    <d v="2014-04-29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s v="SP"/>
    <s v="MOULD"/>
    <s v="FP SP MOULD Both"/>
    <x v="0"/>
    <x v="1"/>
    <n v="1"/>
    <x v="6"/>
  </r>
  <r>
    <n v="492"/>
    <x v="9"/>
    <x v="9"/>
    <x v="7"/>
    <x v="1"/>
    <x v="5"/>
    <n v="478"/>
    <x v="7"/>
    <m/>
    <m/>
    <s v="Supplier"/>
    <m/>
    <x v="76"/>
    <s v="Ally_Env_Declaration_25Jun2010.pdf"/>
    <s v=".pdf"/>
    <d v="2014-03-17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m/>
    <m/>
    <s v="CP"/>
    <m/>
    <m/>
    <s v="CP "/>
    <x v="0"/>
    <x v="0"/>
    <m/>
    <x v="8"/>
  </r>
  <r>
    <n v="489"/>
    <x v="9"/>
    <x v="9"/>
    <x v="7"/>
    <x v="1"/>
    <x v="5"/>
    <n v="475"/>
    <x v="8"/>
    <m/>
    <m/>
    <s v="Supplier"/>
    <m/>
    <x v="77"/>
    <s v="Ally_Responsible_Purchasing_Charter_03Aug12.pdf"/>
    <s v=".pdf"/>
    <d v="2014-03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m/>
    <m/>
    <s v="CP"/>
    <m/>
    <m/>
    <s v="CP "/>
    <x v="0"/>
    <x v="0"/>
    <m/>
    <x v="8"/>
  </r>
  <r>
    <n v="491"/>
    <x v="9"/>
    <x v="9"/>
    <x v="7"/>
    <x v="1"/>
    <x v="5"/>
    <n v="477"/>
    <x v="1"/>
    <m/>
    <m/>
    <s v="Supplier"/>
    <m/>
    <x v="74"/>
    <s v="Ally_SEF_2012-1.xlsx"/>
    <s v=".xlsx"/>
    <d v="2014-03-17T00:00:00"/>
    <s v="as\afok"/>
    <m/>
    <s v="2012"/>
    <m/>
    <m/>
    <m/>
    <m/>
    <m/>
    <x v="0"/>
    <x v="0"/>
    <x v="0"/>
    <x v="8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m/>
    <m/>
    <s v="CP"/>
    <m/>
    <m/>
    <s v="CP "/>
    <x v="0"/>
    <x v="0"/>
    <m/>
    <x v="8"/>
  </r>
  <r>
    <n v="488"/>
    <x v="9"/>
    <x v="9"/>
    <x v="7"/>
    <x v="1"/>
    <x v="5"/>
    <n v="474"/>
    <x v="1"/>
    <m/>
    <m/>
    <s v="Supplier"/>
    <m/>
    <x v="78"/>
    <s v="Ally_SEF_2012-2.xlsx"/>
    <s v=".xlsx"/>
    <d v="2014-03-17T00:00:00"/>
    <s v="as\afok"/>
    <m/>
    <s v="2012"/>
    <m/>
    <m/>
    <m/>
    <m/>
    <m/>
    <x v="0"/>
    <x v="0"/>
    <x v="0"/>
    <x v="8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m/>
    <m/>
    <s v="CP"/>
    <m/>
    <m/>
    <s v="CP "/>
    <x v="0"/>
    <x v="0"/>
    <m/>
    <x v="8"/>
  </r>
  <r>
    <n v="487"/>
    <x v="9"/>
    <x v="9"/>
    <x v="7"/>
    <x v="1"/>
    <x v="5"/>
    <n v="473"/>
    <x v="2"/>
    <m/>
    <m/>
    <s v="Supplier"/>
    <m/>
    <x v="79"/>
    <s v="Ally_SIF 2013.xls"/>
    <s v=".xls"/>
    <d v="2014-03-17T00:00:00"/>
    <s v="as\afok"/>
    <m/>
    <s v="2013"/>
    <m/>
    <m/>
    <m/>
    <m/>
    <m/>
    <x v="0"/>
    <x v="0"/>
    <x v="0"/>
    <x v="0"/>
    <x v="2"/>
    <x v="9"/>
    <x v="11"/>
    <x v="10"/>
    <x v="10"/>
    <x v="9"/>
    <x v="0"/>
    <x v="0"/>
    <x v="6"/>
    <x v="0"/>
    <x v="0"/>
    <m/>
    <x v="0"/>
    <x v="0"/>
    <x v="0"/>
    <x v="0"/>
    <m/>
    <m/>
    <m/>
    <m/>
    <m/>
    <m/>
    <m/>
    <s v="CP"/>
    <m/>
    <m/>
    <s v="CP "/>
    <x v="2"/>
    <x v="0"/>
    <m/>
    <x v="8"/>
  </r>
  <r>
    <n v="490"/>
    <x v="9"/>
    <x v="9"/>
    <x v="7"/>
    <x v="1"/>
    <x v="5"/>
    <n v="476"/>
    <x v="2"/>
    <m/>
    <m/>
    <s v="Supplier"/>
    <m/>
    <x v="72"/>
    <s v="Ally_SIF2012_6Jun12.xls"/>
    <s v=".xls"/>
    <d v="2014-03-17T00:00:00"/>
    <s v="as\afok"/>
    <m/>
    <s v="2012"/>
    <m/>
    <m/>
    <m/>
    <m/>
    <m/>
    <x v="0"/>
    <x v="0"/>
    <x v="0"/>
    <x v="0"/>
    <x v="1"/>
    <x v="10"/>
    <x v="12"/>
    <x v="11"/>
    <x v="10"/>
    <x v="9"/>
    <x v="0"/>
    <x v="7"/>
    <x v="6"/>
    <x v="6"/>
    <x v="0"/>
    <m/>
    <x v="0"/>
    <x v="0"/>
    <x v="0"/>
    <x v="0"/>
    <m/>
    <m/>
    <m/>
    <m/>
    <m/>
    <m/>
    <m/>
    <s v="CP"/>
    <m/>
    <m/>
    <s v="CP "/>
    <x v="2"/>
    <x v="0"/>
    <m/>
    <x v="8"/>
  </r>
  <r>
    <n v="498"/>
    <x v="10"/>
    <x v="10"/>
    <x v="8"/>
    <x v="1"/>
    <x v="1"/>
    <n v="484"/>
    <x v="4"/>
    <m/>
    <m/>
    <s v="Supplier"/>
    <m/>
    <x v="80"/>
    <s v="Alpha_Purchase_Agreement_2009.pdf"/>
    <s v=".pdf"/>
    <d v="2014-03-17T00:00:00"/>
    <s v="as\afok"/>
    <m/>
    <s v="V5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n v="1"/>
    <m/>
    <m/>
    <n v="1"/>
    <m/>
    <m/>
    <m/>
    <s v="CP"/>
    <m/>
    <m/>
    <s v="CP "/>
    <x v="0"/>
    <x v="1"/>
    <m/>
    <x v="9"/>
  </r>
  <r>
    <n v="499"/>
    <x v="10"/>
    <x v="10"/>
    <x v="8"/>
    <x v="1"/>
    <x v="1"/>
    <n v="485"/>
    <x v="5"/>
    <m/>
    <m/>
    <s v="Supplier"/>
    <m/>
    <x v="81"/>
    <s v="Alpha_Purchase_Agreement_2009.pdf"/>
    <s v=".pdf"/>
    <d v="2014-03-17T00:00:00"/>
    <s v="as\afok"/>
    <m/>
    <m/>
    <m/>
    <m/>
    <m/>
    <n v="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n v="1"/>
    <m/>
    <n v="1"/>
    <m/>
    <m/>
    <m/>
    <s v="CP"/>
    <m/>
    <m/>
    <s v="CP "/>
    <x v="0"/>
    <x v="1"/>
    <m/>
    <x v="9"/>
  </r>
  <r>
    <n v="500"/>
    <x v="10"/>
    <x v="10"/>
    <x v="8"/>
    <x v="1"/>
    <x v="1"/>
    <n v="486"/>
    <x v="6"/>
    <m/>
    <m/>
    <s v="Supplier"/>
    <m/>
    <x v="82"/>
    <s v="Alpha_Purchase_Agreement_2009.pdf"/>
    <s v=".pdf"/>
    <d v="2014-03-17T00:00:00"/>
    <s v="as\afok"/>
    <m/>
    <m/>
    <m/>
    <n v="35"/>
    <n v="0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n v="1"/>
    <n v="1"/>
    <m/>
    <m/>
    <m/>
    <s v="CP"/>
    <m/>
    <m/>
    <s v="CP "/>
    <x v="0"/>
    <x v="1"/>
    <m/>
    <x v="9"/>
  </r>
  <r>
    <n v="501"/>
    <x v="10"/>
    <x v="10"/>
    <x v="8"/>
    <x v="1"/>
    <x v="1"/>
    <n v="487"/>
    <x v="7"/>
    <m/>
    <m/>
    <s v="Supplier"/>
    <m/>
    <x v="83"/>
    <s v="Alpha_Env_Declaration_27Mar2010.xls"/>
    <s v=".xls"/>
    <d v="2014-03-17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n v="1"/>
    <m/>
    <m/>
    <s v="CP"/>
    <m/>
    <m/>
    <s v="CP "/>
    <x v="0"/>
    <x v="1"/>
    <m/>
    <x v="9"/>
  </r>
  <r>
    <n v="496"/>
    <x v="10"/>
    <x v="10"/>
    <x v="8"/>
    <x v="1"/>
    <x v="1"/>
    <n v="482"/>
    <x v="8"/>
    <m/>
    <m/>
    <s v="Supplier"/>
    <m/>
    <x v="84"/>
    <s v="Alpha_Responsible_Purchasing_Charter_20Aug12.pdf"/>
    <s v=".pdf"/>
    <d v="2014-03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9"/>
  </r>
  <r>
    <n v="493"/>
    <x v="10"/>
    <x v="10"/>
    <x v="8"/>
    <x v="1"/>
    <x v="1"/>
    <n v="479"/>
    <x v="1"/>
    <m/>
    <m/>
    <s v="Supplier"/>
    <m/>
    <x v="9"/>
    <s v="Alpha SEF 2013 -Manufacturer-20130601-78.xlsx"/>
    <s v=".xlsx"/>
    <d v="2014-03-17T00:00:00"/>
    <s v="as\afok"/>
    <m/>
    <s v="2013"/>
    <m/>
    <m/>
    <m/>
    <m/>
    <m/>
    <x v="0"/>
    <x v="0"/>
    <x v="0"/>
    <x v="9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9"/>
  </r>
  <r>
    <n v="497"/>
    <x v="10"/>
    <x v="10"/>
    <x v="8"/>
    <x v="1"/>
    <x v="1"/>
    <n v="483"/>
    <x v="1"/>
    <m/>
    <m/>
    <s v="Supplier"/>
    <m/>
    <x v="10"/>
    <s v="Alpha_SEF_2012.xlsx"/>
    <s v=".xlsx"/>
    <d v="2014-03-17T00:00:00"/>
    <s v="as\afok"/>
    <m/>
    <s v="2012"/>
    <m/>
    <m/>
    <m/>
    <m/>
    <m/>
    <x v="0"/>
    <x v="0"/>
    <x v="0"/>
    <x v="1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9"/>
  </r>
  <r>
    <n v="494"/>
    <x v="10"/>
    <x v="10"/>
    <x v="8"/>
    <x v="1"/>
    <x v="1"/>
    <n v="480"/>
    <x v="2"/>
    <m/>
    <m/>
    <s v="Supplier"/>
    <m/>
    <x v="79"/>
    <s v="Alpha_SIF2013.xlsx"/>
    <s v=".xlsx"/>
    <d v="2014-03-17T00:00:00"/>
    <s v="as\afok"/>
    <m/>
    <s v="2013"/>
    <m/>
    <m/>
    <m/>
    <m/>
    <m/>
    <x v="0"/>
    <x v="0"/>
    <x v="0"/>
    <x v="0"/>
    <x v="2"/>
    <x v="11"/>
    <x v="13"/>
    <x v="12"/>
    <x v="11"/>
    <x v="10"/>
    <x v="6"/>
    <x v="8"/>
    <x v="7"/>
    <x v="7"/>
    <x v="5"/>
    <s v="CP Panel"/>
    <x v="0"/>
    <x v="0"/>
    <x v="1"/>
    <x v="1"/>
    <m/>
    <m/>
    <m/>
    <n v="1"/>
    <m/>
    <m/>
    <m/>
    <s v="CP"/>
    <m/>
    <m/>
    <s v="CP "/>
    <x v="2"/>
    <x v="1"/>
    <m/>
    <x v="9"/>
  </r>
  <r>
    <n v="495"/>
    <x v="10"/>
    <x v="10"/>
    <x v="8"/>
    <x v="1"/>
    <x v="1"/>
    <n v="481"/>
    <x v="3"/>
    <m/>
    <m/>
    <s v="Supplier"/>
    <m/>
    <x v="85"/>
    <s v="ALPHA_SPR 2012.pptx"/>
    <s v=".pptx"/>
    <d v="2014-03-17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9"/>
  </r>
  <r>
    <n v="503"/>
    <x v="11"/>
    <x v="11"/>
    <x v="9"/>
    <x v="4"/>
    <x v="6"/>
    <n v="489"/>
    <x v="7"/>
    <m/>
    <m/>
    <s v="Supplier"/>
    <m/>
    <x v="86"/>
    <s v="Altrust_Env_Declaration_23mar2010.xls"/>
    <s v=".xls"/>
    <d v="2014-03-18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m/>
    <m/>
    <s v="MOULD"/>
    <s v="MOULD "/>
    <x v="0"/>
    <x v="1"/>
    <m/>
    <x v="3"/>
  </r>
  <r>
    <n v="504"/>
    <x v="11"/>
    <x v="11"/>
    <x v="9"/>
    <x v="4"/>
    <x v="6"/>
    <n v="490"/>
    <x v="8"/>
    <m/>
    <m/>
    <s v="Supplier"/>
    <m/>
    <x v="8"/>
    <s v="APT_Responsible_Purchasing_Charter_08Aug12.pdf"/>
    <s v=".pdf"/>
    <d v="2014-03-1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m/>
    <m/>
    <s v="MOULD"/>
    <s v="MOULD "/>
    <x v="0"/>
    <x v="1"/>
    <m/>
    <x v="3"/>
  </r>
  <r>
    <n v="505"/>
    <x v="11"/>
    <x v="11"/>
    <x v="9"/>
    <x v="4"/>
    <x v="6"/>
    <n v="491"/>
    <x v="1"/>
    <m/>
    <m/>
    <s v="Supplier"/>
    <m/>
    <x v="87"/>
    <s v="APT_SEF_May2011_R1.xlsx"/>
    <s v=".xlsx"/>
    <d v="2014-03-18T00:00:00"/>
    <s v="as\afok"/>
    <m/>
    <s v="2011"/>
    <m/>
    <m/>
    <m/>
    <m/>
    <m/>
    <x v="0"/>
    <x v="0"/>
    <x v="0"/>
    <x v="6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m/>
    <m/>
    <s v="MOULD"/>
    <s v="MOULD "/>
    <x v="0"/>
    <x v="1"/>
    <m/>
    <x v="3"/>
  </r>
  <r>
    <n v="507"/>
    <x v="11"/>
    <x v="11"/>
    <x v="9"/>
    <x v="4"/>
    <x v="6"/>
    <n v="493"/>
    <x v="1"/>
    <m/>
    <m/>
    <s v="Supplier"/>
    <m/>
    <x v="88"/>
    <s v="APT_SEF_2012_R1.xlsx"/>
    <s v=".xlsx"/>
    <d v="2014-03-18T00:00:00"/>
    <s v="as\afok"/>
    <m/>
    <s v="2012"/>
    <m/>
    <m/>
    <m/>
    <m/>
    <m/>
    <x v="0"/>
    <x v="0"/>
    <x v="0"/>
    <x v="6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m/>
    <m/>
    <s v="MOULD"/>
    <s v="MOULD "/>
    <x v="0"/>
    <x v="1"/>
    <m/>
    <x v="3"/>
  </r>
  <r>
    <n v="506"/>
    <x v="11"/>
    <x v="11"/>
    <x v="9"/>
    <x v="4"/>
    <x v="6"/>
    <n v="492"/>
    <x v="2"/>
    <m/>
    <m/>
    <s v="Supplier"/>
    <m/>
    <x v="89"/>
    <s v="APT_SIF2012_18Jul12.xlsx"/>
    <s v=".xlsx"/>
    <d v="2014-03-18T00:00:00"/>
    <s v="as\afok"/>
    <m/>
    <s v="2012"/>
    <m/>
    <m/>
    <m/>
    <m/>
    <m/>
    <x v="0"/>
    <x v="0"/>
    <x v="0"/>
    <x v="0"/>
    <x v="3"/>
    <x v="0"/>
    <x v="14"/>
    <x v="13"/>
    <x v="12"/>
    <x v="11"/>
    <x v="0"/>
    <x v="9"/>
    <x v="8"/>
    <x v="8"/>
    <x v="6"/>
    <m/>
    <x v="0"/>
    <x v="0"/>
    <x v="0"/>
    <x v="0"/>
    <m/>
    <m/>
    <m/>
    <n v="0"/>
    <m/>
    <m/>
    <m/>
    <m/>
    <m/>
    <s v="MOULD"/>
    <s v="MOULD "/>
    <x v="2"/>
    <x v="1"/>
    <m/>
    <x v="3"/>
  </r>
  <r>
    <n v="502"/>
    <x v="11"/>
    <x v="11"/>
    <x v="9"/>
    <x v="4"/>
    <x v="6"/>
    <n v="488"/>
    <x v="2"/>
    <m/>
    <m/>
    <s v="Supplier"/>
    <m/>
    <x v="25"/>
    <s v="APT_SIF2013.xlsx"/>
    <s v=".xlsx"/>
    <d v="2014-03-18T00:00:00"/>
    <s v="as\afok"/>
    <m/>
    <s v="2013"/>
    <m/>
    <m/>
    <m/>
    <m/>
    <m/>
    <x v="0"/>
    <x v="0"/>
    <x v="0"/>
    <x v="0"/>
    <x v="2"/>
    <x v="12"/>
    <x v="15"/>
    <x v="14"/>
    <x v="13"/>
    <x v="12"/>
    <x v="6"/>
    <x v="10"/>
    <x v="9"/>
    <x v="9"/>
    <x v="7"/>
    <m/>
    <x v="0"/>
    <x v="0"/>
    <x v="0"/>
    <x v="0"/>
    <m/>
    <m/>
    <m/>
    <n v="0"/>
    <m/>
    <m/>
    <m/>
    <m/>
    <m/>
    <s v="MOULD"/>
    <s v="MOULD "/>
    <x v="2"/>
    <x v="1"/>
    <m/>
    <x v="3"/>
  </r>
  <r>
    <n v="509"/>
    <x v="11"/>
    <x v="11"/>
    <x v="9"/>
    <x v="4"/>
    <x v="6"/>
    <n v="495"/>
    <x v="3"/>
    <m/>
    <m/>
    <s v="Supplier"/>
    <m/>
    <x v="90"/>
    <s v="SPR_APT June 2011.ppt"/>
    <s v=".ppt"/>
    <d v="2014-03-18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m/>
    <m/>
    <s v="MOULD"/>
    <s v="MOULD "/>
    <x v="0"/>
    <x v="1"/>
    <m/>
    <x v="3"/>
  </r>
  <r>
    <n v="508"/>
    <x v="11"/>
    <x v="11"/>
    <x v="9"/>
    <x v="4"/>
    <x v="6"/>
    <n v="494"/>
    <x v="3"/>
    <m/>
    <m/>
    <s v="Supplier"/>
    <m/>
    <x v="91"/>
    <s v="SPR_APT_May2012.ppt"/>
    <s v=".ppt"/>
    <d v="2014-03-18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m/>
    <m/>
    <s v="MOULD"/>
    <s v="MOULD "/>
    <x v="0"/>
    <x v="1"/>
    <m/>
    <x v="3"/>
  </r>
  <r>
    <n v="510"/>
    <x v="12"/>
    <x v="12"/>
    <x v="10"/>
    <x v="5"/>
    <x v="7"/>
    <n v="496"/>
    <x v="7"/>
    <m/>
    <m/>
    <s v="Supplier"/>
    <m/>
    <x v="92"/>
    <s v="Angu_Env_Declaration_30May2010.xls"/>
    <s v=".xls"/>
    <d v="2014-03-18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m/>
    <m/>
    <s v="CP"/>
    <m/>
    <m/>
    <s v="CP "/>
    <x v="0"/>
    <x v="0"/>
    <m/>
    <x v="8"/>
  </r>
  <r>
    <n v="513"/>
    <x v="12"/>
    <x v="12"/>
    <x v="10"/>
    <x v="5"/>
    <x v="7"/>
    <n v="499"/>
    <x v="8"/>
    <m/>
    <m/>
    <s v="Supplier"/>
    <m/>
    <x v="93"/>
    <s v="ANGU_Responsible Purchaser Charter_9Aug2012.pdf"/>
    <s v=".pdf"/>
    <d v="2014-03-1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m/>
    <m/>
    <s v="CP"/>
    <m/>
    <m/>
    <s v="CP "/>
    <x v="0"/>
    <x v="0"/>
    <m/>
    <x v="8"/>
  </r>
  <r>
    <n v="512"/>
    <x v="12"/>
    <x v="12"/>
    <x v="10"/>
    <x v="5"/>
    <x v="7"/>
    <n v="498"/>
    <x v="1"/>
    <m/>
    <m/>
    <s v="Supplier"/>
    <m/>
    <x v="94"/>
    <s v="Angu_SupplierEvaluation_201104.xlsx"/>
    <s v=".xlsx"/>
    <d v="2014-03-18T00:00:00"/>
    <s v="as\afok"/>
    <m/>
    <s v="2011"/>
    <m/>
    <m/>
    <m/>
    <m/>
    <m/>
    <x v="0"/>
    <x v="0"/>
    <x v="0"/>
    <x v="11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m/>
    <m/>
    <s v="CP"/>
    <m/>
    <m/>
    <s v="CP "/>
    <x v="0"/>
    <x v="0"/>
    <m/>
    <x v="8"/>
  </r>
  <r>
    <n v="511"/>
    <x v="12"/>
    <x v="12"/>
    <x v="10"/>
    <x v="5"/>
    <x v="7"/>
    <n v="497"/>
    <x v="1"/>
    <m/>
    <m/>
    <s v="Supplier"/>
    <m/>
    <x v="95"/>
    <s v="Angu Supplier Evaluation 201112.xlsx"/>
    <s v=".xlsx"/>
    <d v="2014-03-18T00:00:00"/>
    <s v="as\afok"/>
    <m/>
    <s v="2011"/>
    <m/>
    <m/>
    <m/>
    <m/>
    <m/>
    <x v="0"/>
    <x v="0"/>
    <x v="0"/>
    <x v="5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m/>
    <m/>
    <s v="CP"/>
    <m/>
    <m/>
    <s v="CP "/>
    <x v="0"/>
    <x v="0"/>
    <m/>
    <x v="8"/>
  </r>
  <r>
    <n v="514"/>
    <x v="12"/>
    <x v="12"/>
    <x v="10"/>
    <x v="5"/>
    <x v="7"/>
    <n v="500"/>
    <x v="2"/>
    <m/>
    <m/>
    <s v="Supplier"/>
    <m/>
    <x v="48"/>
    <s v="ANGU_SIF_21Apr2012.xls"/>
    <s v=".xls"/>
    <d v="2014-03-18T00:00:00"/>
    <s v="as\afok"/>
    <m/>
    <s v="2012"/>
    <m/>
    <m/>
    <m/>
    <m/>
    <m/>
    <x v="0"/>
    <x v="0"/>
    <x v="0"/>
    <x v="0"/>
    <x v="1"/>
    <x v="13"/>
    <x v="16"/>
    <x v="15"/>
    <x v="14"/>
    <x v="13"/>
    <x v="0"/>
    <x v="0"/>
    <x v="0"/>
    <x v="0"/>
    <x v="0"/>
    <m/>
    <x v="0"/>
    <x v="0"/>
    <x v="0"/>
    <x v="0"/>
    <m/>
    <m/>
    <m/>
    <m/>
    <m/>
    <m/>
    <m/>
    <s v="CP"/>
    <m/>
    <m/>
    <s v="CP "/>
    <x v="2"/>
    <x v="0"/>
    <m/>
    <x v="8"/>
  </r>
  <r>
    <n v="525"/>
    <x v="13"/>
    <x v="13"/>
    <x v="11"/>
    <x v="4"/>
    <x v="8"/>
    <n v="511"/>
    <x v="4"/>
    <m/>
    <m/>
    <s v="Supplier"/>
    <m/>
    <x v="47"/>
    <s v="Anlian_Agreement_Jul2012.pdf"/>
    <s v=".pdf"/>
    <d v="2014-03-18T00:00:00"/>
    <s v="as\afok"/>
    <m/>
    <s v="V7"/>
    <s v="37D3 - Within 30 days Due net on Posting date 37D3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m/>
    <m/>
    <m/>
    <s v="CP"/>
    <m/>
    <m/>
    <s v="CP "/>
    <x v="0"/>
    <x v="1"/>
    <m/>
    <x v="0"/>
  </r>
  <r>
    <n v="515"/>
    <x v="13"/>
    <x v="13"/>
    <x v="11"/>
    <x v="4"/>
    <x v="8"/>
    <n v="501"/>
    <x v="4"/>
    <m/>
    <m/>
    <s v="Supplier"/>
    <m/>
    <x v="96"/>
    <s v="Anlian_Agreement_V8_Nov2013.pdf"/>
    <s v=".pdf"/>
    <d v="2014-03-18T00:00:00"/>
    <s v="as\afok"/>
    <m/>
    <s v="V8"/>
    <s v="37E3 - 30 days end of month due net on posting date 37E3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m/>
    <m/>
    <m/>
    <s v="CP"/>
    <m/>
    <m/>
    <s v="CP "/>
    <x v="0"/>
    <x v="1"/>
    <m/>
    <x v="0"/>
  </r>
  <r>
    <n v="526"/>
    <x v="13"/>
    <x v="13"/>
    <x v="11"/>
    <x v="4"/>
    <x v="8"/>
    <n v="512"/>
    <x v="4"/>
    <m/>
    <m/>
    <s v="Supplier"/>
    <m/>
    <x v="97"/>
    <s v="Anlian_Agreement_Revised_Sep2012.pdf"/>
    <s v=".pdf"/>
    <d v="2014-03-18T00:00:00"/>
    <s v="as\afok"/>
    <m/>
    <s v="V7"/>
    <s v="37D3 - Within 30 days Due net on Posting date 37D3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m/>
    <m/>
    <m/>
    <s v="CP"/>
    <m/>
    <m/>
    <s v="CP "/>
    <x v="0"/>
    <x v="1"/>
    <m/>
    <x v="0"/>
  </r>
  <r>
    <n v="517"/>
    <x v="13"/>
    <x v="13"/>
    <x v="11"/>
    <x v="4"/>
    <x v="8"/>
    <n v="503"/>
    <x v="5"/>
    <m/>
    <m/>
    <s v="Supplier"/>
    <m/>
    <x v="96"/>
    <s v="Anlian_Agreement_V8_Nov2013.pdf"/>
    <s v=".pdf"/>
    <d v="2014-03-18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n v="1"/>
    <m/>
    <n v="1"/>
    <m/>
    <m/>
    <m/>
    <s v="CP"/>
    <m/>
    <m/>
    <s v="CP "/>
    <x v="0"/>
    <x v="1"/>
    <m/>
    <x v="0"/>
  </r>
  <r>
    <n v="519"/>
    <x v="13"/>
    <x v="13"/>
    <x v="11"/>
    <x v="4"/>
    <x v="8"/>
    <n v="505"/>
    <x v="6"/>
    <m/>
    <m/>
    <s v="Supplier"/>
    <m/>
    <x v="98"/>
    <s v="Anlian_Supply Chain Appendix V.10_08Aug13.pdf"/>
    <s v=".pdf"/>
    <d v="2014-03-18T00:00:00"/>
    <s v="as\afok"/>
    <m/>
    <s v="V10"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n v="1"/>
    <n v="1"/>
    <m/>
    <m/>
    <m/>
    <s v="CP"/>
    <m/>
    <m/>
    <s v="CP "/>
    <x v="0"/>
    <x v="1"/>
    <m/>
    <x v="0"/>
  </r>
  <r>
    <n v="518"/>
    <x v="13"/>
    <x v="13"/>
    <x v="11"/>
    <x v="4"/>
    <x v="8"/>
    <n v="504"/>
    <x v="6"/>
    <m/>
    <m/>
    <s v="Supplier"/>
    <m/>
    <x v="96"/>
    <s v="Anlian_Agreement_V8_Nov2013.pdf"/>
    <s v=".pdf"/>
    <d v="2014-03-18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n v="1"/>
    <n v="1"/>
    <m/>
    <m/>
    <m/>
    <s v="CP"/>
    <m/>
    <m/>
    <s v="CP "/>
    <x v="0"/>
    <x v="1"/>
    <m/>
    <x v="0"/>
  </r>
  <r>
    <n v="568"/>
    <x v="13"/>
    <x v="13"/>
    <x v="11"/>
    <x v="4"/>
    <x v="8"/>
    <n v="553"/>
    <x v="10"/>
    <m/>
    <m/>
    <s v="Supplier"/>
    <m/>
    <x v="96"/>
    <s v="Anlian_Agreement_V8_Nov2013.pdf"/>
    <s v=".pdf"/>
    <d v="2014-03-1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n v="1"/>
    <m/>
    <m/>
    <s v="CP"/>
    <m/>
    <m/>
    <s v="CP "/>
    <x v="0"/>
    <x v="1"/>
    <m/>
    <x v="0"/>
  </r>
  <r>
    <n v="516"/>
    <x v="13"/>
    <x v="13"/>
    <x v="11"/>
    <x v="4"/>
    <x v="8"/>
    <n v="502"/>
    <x v="7"/>
    <m/>
    <m/>
    <s v="Supplier"/>
    <m/>
    <x v="96"/>
    <s v="Anlian_Agreement_V8_Nov2013.pdf"/>
    <s v=".pdf"/>
    <d v="2014-03-18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0"/>
  </r>
  <r>
    <n v="524"/>
    <x v="13"/>
    <x v="13"/>
    <x v="11"/>
    <x v="4"/>
    <x v="8"/>
    <n v="510"/>
    <x v="8"/>
    <m/>
    <m/>
    <s v="Supplier"/>
    <m/>
    <x v="19"/>
    <s v="Anlian_Responsible_Purchasing_Charter_07Aug12.pdf"/>
    <s v=".pdf"/>
    <d v="2014-03-1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0"/>
  </r>
  <r>
    <n v="527"/>
    <x v="13"/>
    <x v="13"/>
    <x v="11"/>
    <x v="4"/>
    <x v="8"/>
    <n v="513"/>
    <x v="1"/>
    <m/>
    <m/>
    <s v="Supplier"/>
    <m/>
    <x v="99"/>
    <s v="ANLIAN_Supplier_Evaluation_May_2012.xlsx"/>
    <s v=".xlsx"/>
    <d v="2014-03-18T00:00:00"/>
    <s v="as\afok"/>
    <m/>
    <s v="2012"/>
    <m/>
    <m/>
    <m/>
    <m/>
    <m/>
    <x v="0"/>
    <x v="0"/>
    <x v="0"/>
    <x v="12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0"/>
  </r>
  <r>
    <n v="523"/>
    <x v="13"/>
    <x v="13"/>
    <x v="11"/>
    <x v="4"/>
    <x v="8"/>
    <n v="509"/>
    <x v="1"/>
    <m/>
    <m/>
    <s v="Supplier"/>
    <m/>
    <x v="100"/>
    <s v="ANLIAN Supplier Evaluation Dec 2012.xlsx"/>
    <s v=".xlsx"/>
    <d v="2014-03-18T00:00:00"/>
    <s v="as\afok"/>
    <m/>
    <s v="2012"/>
    <m/>
    <m/>
    <m/>
    <m/>
    <m/>
    <x v="0"/>
    <x v="0"/>
    <x v="0"/>
    <x v="13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0"/>
  </r>
  <r>
    <n v="528"/>
    <x v="13"/>
    <x v="13"/>
    <x v="11"/>
    <x v="4"/>
    <x v="8"/>
    <n v="514"/>
    <x v="2"/>
    <m/>
    <m/>
    <s v="Supplier"/>
    <m/>
    <x v="48"/>
    <s v="Anlian_SIF2012_20APR12.xls"/>
    <s v=".xls"/>
    <d v="2014-03-18T00:00:00"/>
    <s v="as\afok"/>
    <m/>
    <s v="2012"/>
    <m/>
    <m/>
    <m/>
    <m/>
    <m/>
    <x v="0"/>
    <x v="0"/>
    <x v="0"/>
    <x v="0"/>
    <x v="1"/>
    <x v="14"/>
    <x v="17"/>
    <x v="16"/>
    <x v="15"/>
    <x v="14"/>
    <x v="7"/>
    <x v="11"/>
    <x v="10"/>
    <x v="10"/>
    <x v="3"/>
    <s v="CP Panel"/>
    <x v="0"/>
    <x v="0"/>
    <x v="1"/>
    <x v="3"/>
    <m/>
    <m/>
    <m/>
    <n v="1"/>
    <m/>
    <m/>
    <m/>
    <s v="CP"/>
    <m/>
    <m/>
    <s v="CP "/>
    <x v="2"/>
    <x v="1"/>
    <m/>
    <x v="0"/>
  </r>
  <r>
    <n v="521"/>
    <x v="13"/>
    <x v="13"/>
    <x v="11"/>
    <x v="4"/>
    <x v="8"/>
    <n v="507"/>
    <x v="2"/>
    <n v="1"/>
    <m/>
    <s v="Supplier"/>
    <m/>
    <x v="101"/>
    <s v="Anlian_SIF2013.xls"/>
    <s v=".xls"/>
    <d v="2014-03-18T00:00:00"/>
    <s v="as\afok"/>
    <m/>
    <s v="2013"/>
    <m/>
    <m/>
    <m/>
    <m/>
    <m/>
    <x v="0"/>
    <x v="0"/>
    <x v="0"/>
    <x v="0"/>
    <x v="2"/>
    <x v="3"/>
    <x v="18"/>
    <x v="17"/>
    <x v="16"/>
    <x v="15"/>
    <x v="8"/>
    <x v="12"/>
    <x v="11"/>
    <x v="7"/>
    <x v="8"/>
    <s v="CP Panel"/>
    <x v="0"/>
    <x v="0"/>
    <x v="1"/>
    <x v="3"/>
    <m/>
    <m/>
    <m/>
    <n v="1"/>
    <m/>
    <m/>
    <m/>
    <s v="CP"/>
    <m/>
    <m/>
    <s v="CP "/>
    <x v="2"/>
    <x v="1"/>
    <m/>
    <x v="0"/>
  </r>
  <r>
    <n v="520"/>
    <x v="13"/>
    <x v="13"/>
    <x v="11"/>
    <x v="4"/>
    <x v="8"/>
    <n v="506"/>
    <x v="17"/>
    <m/>
    <m/>
    <s v="Supplier"/>
    <m/>
    <x v="102"/>
    <s v="XIAMEN ANLIAN_Grade Critical Letter 2013.pdf"/>
    <s v=".pdf"/>
    <d v="2014-03-18T00:00:00"/>
    <s v="as\afok"/>
    <s v="Social Audit Letter"/>
    <m/>
    <m/>
    <m/>
    <m/>
    <m/>
    <m/>
    <x v="1"/>
    <x v="1"/>
    <x v="1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0"/>
  </r>
  <r>
    <n v="522"/>
    <x v="13"/>
    <x v="13"/>
    <x v="11"/>
    <x v="4"/>
    <x v="8"/>
    <n v="508"/>
    <x v="3"/>
    <m/>
    <m/>
    <s v="Supplier"/>
    <m/>
    <x v="67"/>
    <s v="ANLIAN Performance Review 20121220.ppt"/>
    <s v=".ppt"/>
    <d v="2014-03-18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0"/>
  </r>
  <r>
    <n v="543"/>
    <x v="14"/>
    <x v="14"/>
    <x v="12"/>
    <x v="0"/>
    <x v="9"/>
    <n v="529"/>
    <x v="7"/>
    <m/>
    <m/>
    <s v="Supplier"/>
    <m/>
    <x v="103"/>
    <s v="Art_Fair_Env_Declaration_29Mar2010.xls"/>
    <s v=".xls"/>
    <d v="2014-03-18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m/>
    <s v="FP"/>
    <m/>
    <s v="SP"/>
    <m/>
    <s v="FP SP "/>
    <x v="0"/>
    <x v="2"/>
    <m/>
    <x v="10"/>
  </r>
  <r>
    <n v="541"/>
    <x v="14"/>
    <x v="14"/>
    <x v="12"/>
    <x v="0"/>
    <x v="9"/>
    <n v="527"/>
    <x v="8"/>
    <m/>
    <m/>
    <s v="Supplier"/>
    <m/>
    <x v="104"/>
    <s v="Art_Fair_Responsible Purchasing Charter_26Sep12.pdf"/>
    <s v=".pdf"/>
    <d v="2014-03-1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m/>
    <s v="FP"/>
    <m/>
    <s v="SP"/>
    <m/>
    <s v="FP SP "/>
    <x v="0"/>
    <x v="2"/>
    <m/>
    <x v="10"/>
  </r>
  <r>
    <n v="539"/>
    <x v="14"/>
    <x v="14"/>
    <x v="12"/>
    <x v="0"/>
    <x v="9"/>
    <n v="525"/>
    <x v="1"/>
    <m/>
    <m/>
    <s v="Supplier"/>
    <m/>
    <x v="105"/>
    <s v="SEF_Artfair_20120830.xlsx"/>
    <s v=".xlsx"/>
    <d v="2014-03-18T00:00:00"/>
    <s v="as\afok"/>
    <m/>
    <s v="2012"/>
    <m/>
    <m/>
    <m/>
    <m/>
    <m/>
    <x v="0"/>
    <x v="0"/>
    <x v="0"/>
    <x v="14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m/>
    <s v="FP"/>
    <m/>
    <s v="SP"/>
    <m/>
    <s v="FP SP "/>
    <x v="0"/>
    <x v="2"/>
    <m/>
    <x v="10"/>
  </r>
  <r>
    <n v="542"/>
    <x v="14"/>
    <x v="14"/>
    <x v="12"/>
    <x v="0"/>
    <x v="9"/>
    <n v="528"/>
    <x v="2"/>
    <m/>
    <m/>
    <s v="Supplier"/>
    <m/>
    <x v="106"/>
    <s v="Art_Fair_SIF2012 _27Feb12.xls"/>
    <s v=".xls"/>
    <d v="2014-03-18T00:00:00"/>
    <s v="as\afok"/>
    <m/>
    <s v="2012"/>
    <m/>
    <m/>
    <m/>
    <m/>
    <m/>
    <x v="0"/>
    <x v="0"/>
    <x v="0"/>
    <x v="0"/>
    <x v="1"/>
    <x v="15"/>
    <x v="19"/>
    <x v="18"/>
    <x v="17"/>
    <x v="16"/>
    <x v="0"/>
    <x v="13"/>
    <x v="12"/>
    <x v="11"/>
    <x v="0"/>
    <m/>
    <x v="0"/>
    <x v="0"/>
    <x v="0"/>
    <x v="0"/>
    <m/>
    <m/>
    <m/>
    <m/>
    <m/>
    <m/>
    <s v="FP"/>
    <m/>
    <s v="SP"/>
    <m/>
    <s v="FP SP "/>
    <x v="3"/>
    <x v="2"/>
    <m/>
    <x v="10"/>
  </r>
  <r>
    <n v="540"/>
    <x v="14"/>
    <x v="14"/>
    <x v="12"/>
    <x v="0"/>
    <x v="9"/>
    <n v="526"/>
    <x v="3"/>
    <m/>
    <m/>
    <s v="Supplier"/>
    <m/>
    <x v="89"/>
    <s v="Artfair_SPR_2012.pptx"/>
    <s v=".pptx"/>
    <d v="2014-03-18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m/>
    <s v="FP"/>
    <m/>
    <s v="SP"/>
    <m/>
    <s v="FP SP "/>
    <x v="0"/>
    <x v="2"/>
    <m/>
    <x v="10"/>
  </r>
  <r>
    <n v="548"/>
    <x v="15"/>
    <x v="15"/>
    <x v="13"/>
    <x v="0"/>
    <x v="10"/>
    <n v="533"/>
    <x v="13"/>
    <m/>
    <m/>
    <s v="Supplier"/>
    <d v="2010-06-19T00:00:00"/>
    <x v="107"/>
    <s v="ASD_ISO14001_2010.pdf"/>
    <s v=".pdf"/>
    <d v="2014-03-1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m/>
    <m/>
    <s v="FP "/>
    <x v="0"/>
    <x v="1"/>
    <m/>
    <x v="0"/>
  </r>
  <r>
    <n v="547"/>
    <x v="15"/>
    <x v="15"/>
    <x v="13"/>
    <x v="0"/>
    <x v="10"/>
    <n v="532"/>
    <x v="9"/>
    <m/>
    <m/>
    <s v="Supplier"/>
    <m/>
    <x v="108"/>
    <s v="Hubei_ASD_LOC_15Jun2010.pdf"/>
    <s v=".pdf"/>
    <d v="2014-03-1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m/>
    <m/>
    <s v="FP "/>
    <x v="0"/>
    <x v="1"/>
    <m/>
    <x v="0"/>
  </r>
  <r>
    <n v="545"/>
    <x v="16"/>
    <x v="16"/>
    <x v="13"/>
    <x v="0"/>
    <x v="10"/>
    <n v="530"/>
    <x v="1"/>
    <m/>
    <m/>
    <s v="Supplier"/>
    <m/>
    <x v="109"/>
    <s v="SEF 2011 -  ASD V3.XLSX"/>
    <s v=".xlsx"/>
    <d v="2014-03-18T00:00:00"/>
    <s v="as\afok"/>
    <m/>
    <s v="2011"/>
    <m/>
    <m/>
    <m/>
    <m/>
    <m/>
    <x v="0"/>
    <x v="0"/>
    <x v="0"/>
    <x v="5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s v="CP"/>
    <m/>
    <s v="MOULD"/>
    <s v="FP CP MOULD "/>
    <x v="0"/>
    <x v="0"/>
    <m/>
    <x v="0"/>
  </r>
  <r>
    <n v="549"/>
    <x v="15"/>
    <x v="15"/>
    <x v="13"/>
    <x v="0"/>
    <x v="10"/>
    <n v="534"/>
    <x v="2"/>
    <m/>
    <m/>
    <s v="Supplier"/>
    <m/>
    <x v="7"/>
    <s v="ASD_SIF_2010.xlsx"/>
    <s v=".xlsx"/>
    <d v="2014-03-18T00:00:00"/>
    <s v="as\afok"/>
    <m/>
    <s v="2010"/>
    <m/>
    <m/>
    <m/>
    <m/>
    <m/>
    <x v="0"/>
    <x v="0"/>
    <x v="0"/>
    <x v="0"/>
    <x v="4"/>
    <x v="16"/>
    <x v="20"/>
    <x v="19"/>
    <x v="0"/>
    <x v="0"/>
    <x v="0"/>
    <x v="14"/>
    <x v="0"/>
    <x v="0"/>
    <x v="0"/>
    <m/>
    <x v="0"/>
    <x v="0"/>
    <x v="0"/>
    <x v="0"/>
    <m/>
    <m/>
    <m/>
    <n v="0"/>
    <m/>
    <n v="1"/>
    <s v="FP"/>
    <m/>
    <m/>
    <m/>
    <s v="FP "/>
    <x v="1"/>
    <x v="1"/>
    <m/>
    <x v="0"/>
  </r>
  <r>
    <n v="546"/>
    <x v="16"/>
    <x v="16"/>
    <x v="13"/>
    <x v="0"/>
    <x v="10"/>
    <n v="531"/>
    <x v="3"/>
    <m/>
    <m/>
    <s v="Supplier"/>
    <m/>
    <x v="110"/>
    <s v="SPR - ASD 2011 11-06-10.ppt"/>
    <s v=".ppt"/>
    <d v="2014-03-18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s v="CP"/>
    <m/>
    <s v="MOULD"/>
    <s v="FP CP MOULD "/>
    <x v="0"/>
    <x v="0"/>
    <m/>
    <x v="0"/>
  </r>
  <r>
    <n v="967"/>
    <x v="17"/>
    <x v="17"/>
    <x v="14"/>
    <x v="1"/>
    <x v="11"/>
    <n v="945"/>
    <x v="8"/>
    <m/>
    <m/>
    <s v="Supplier"/>
    <m/>
    <x v="19"/>
    <s v="Asia_Bright_Responsible_Purchasing_Charter_07Aug12.pdf"/>
    <s v=".pdf"/>
    <d v="2014-03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s v="CP"/>
    <m/>
    <m/>
    <s v="CP "/>
    <x v="0"/>
    <x v="1"/>
    <m/>
    <x v="4"/>
  </r>
  <r>
    <n v="965"/>
    <x v="17"/>
    <x v="17"/>
    <x v="14"/>
    <x v="1"/>
    <x v="11"/>
    <n v="943"/>
    <x v="1"/>
    <m/>
    <m/>
    <s v="Supplier"/>
    <m/>
    <x v="111"/>
    <s v="Asia Bright_SEF_2013-1.xls"/>
    <s v=".xls"/>
    <d v="2014-03-24T00:00:00"/>
    <s v="as\afok"/>
    <m/>
    <s v="2013"/>
    <m/>
    <m/>
    <m/>
    <m/>
    <m/>
    <x v="0"/>
    <x v="0"/>
    <x v="0"/>
    <x v="15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4"/>
  </r>
  <r>
    <n v="966"/>
    <x v="17"/>
    <x v="17"/>
    <x v="14"/>
    <x v="1"/>
    <x v="11"/>
    <n v="944"/>
    <x v="1"/>
    <m/>
    <m/>
    <s v="Supplier"/>
    <m/>
    <x v="112"/>
    <s v="Asia Bright_SEF_2012.xlsx"/>
    <s v=".xlsx"/>
    <d v="2014-03-24T00:00:00"/>
    <s v="as\afok"/>
    <m/>
    <s v="2012"/>
    <m/>
    <m/>
    <m/>
    <m/>
    <m/>
    <x v="0"/>
    <x v="0"/>
    <x v="0"/>
    <x v="16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4"/>
  </r>
  <r>
    <n v="964"/>
    <x v="17"/>
    <x v="17"/>
    <x v="14"/>
    <x v="1"/>
    <x v="11"/>
    <n v="942"/>
    <x v="2"/>
    <m/>
    <m/>
    <s v="Supplier"/>
    <m/>
    <x v="113"/>
    <s v="Aisa_Bright_SIF2013.xlsx"/>
    <s v=".xlsx"/>
    <d v="2014-03-24T00:00:00"/>
    <s v="as\afok"/>
    <m/>
    <s v="2013"/>
    <m/>
    <m/>
    <m/>
    <m/>
    <m/>
    <x v="0"/>
    <x v="0"/>
    <x v="0"/>
    <x v="0"/>
    <x v="2"/>
    <x v="17"/>
    <x v="21"/>
    <x v="20"/>
    <x v="18"/>
    <x v="17"/>
    <x v="9"/>
    <x v="15"/>
    <x v="0"/>
    <x v="0"/>
    <x v="0"/>
    <m/>
    <x v="0"/>
    <x v="0"/>
    <x v="0"/>
    <x v="0"/>
    <m/>
    <m/>
    <m/>
    <n v="0"/>
    <m/>
    <m/>
    <m/>
    <s v="CP"/>
    <m/>
    <m/>
    <s v="CP "/>
    <x v="2"/>
    <x v="1"/>
    <m/>
    <x v="4"/>
  </r>
  <r>
    <n v="550"/>
    <x v="18"/>
    <x v="18"/>
    <x v="15"/>
    <x v="5"/>
    <x v="12"/>
    <n v="535"/>
    <x v="8"/>
    <m/>
    <m/>
    <s v="Supplier"/>
    <m/>
    <x v="93"/>
    <s v="Athos_Responsible Purchaser Charter_9Aug2012.pdf"/>
    <s v=".pdf"/>
    <d v="2014-03-1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m/>
    <m/>
    <m/>
    <m/>
    <m/>
    <s v=""/>
    <x v="0"/>
    <x v="3"/>
    <m/>
    <x v="3"/>
  </r>
  <r>
    <n v="551"/>
    <x v="18"/>
    <x v="18"/>
    <x v="15"/>
    <x v="5"/>
    <x v="12"/>
    <n v="536"/>
    <x v="2"/>
    <m/>
    <m/>
    <s v="Supplier"/>
    <m/>
    <x v="31"/>
    <s v="ATHOS_SIF_18Apr2012.xls"/>
    <s v=".xls"/>
    <d v="2014-03-18T00:00:00"/>
    <s v="as\afok"/>
    <m/>
    <s v="2012"/>
    <m/>
    <m/>
    <m/>
    <m/>
    <m/>
    <x v="0"/>
    <x v="0"/>
    <x v="0"/>
    <x v="0"/>
    <x v="1"/>
    <x v="18"/>
    <x v="22"/>
    <x v="21"/>
    <x v="19"/>
    <x v="18"/>
    <x v="0"/>
    <x v="0"/>
    <x v="13"/>
    <x v="6"/>
    <x v="9"/>
    <m/>
    <x v="0"/>
    <x v="0"/>
    <x v="0"/>
    <x v="0"/>
    <m/>
    <m/>
    <m/>
    <m/>
    <m/>
    <m/>
    <m/>
    <m/>
    <m/>
    <m/>
    <s v=""/>
    <x v="2"/>
    <x v="3"/>
    <m/>
    <x v="3"/>
  </r>
  <r>
    <n v="804"/>
    <x v="19"/>
    <x v="19"/>
    <x v="16"/>
    <x v="1"/>
    <x v="1"/>
    <n v="782"/>
    <x v="7"/>
    <m/>
    <m/>
    <s v="Supplier"/>
    <m/>
    <x v="114"/>
    <s v="AuOne_Env_Declaration_08_Mar_2010.pdf"/>
    <s v=".pdf"/>
    <d v="2014-03-21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11"/>
  </r>
  <r>
    <n v="802"/>
    <x v="19"/>
    <x v="19"/>
    <x v="16"/>
    <x v="1"/>
    <x v="1"/>
    <n v="780"/>
    <x v="13"/>
    <m/>
    <m/>
    <s v="Supplier"/>
    <d v="2012-03-25T00:00:00"/>
    <x v="115"/>
    <s v="AuOne_ISO14001_25_Mar_2012.jpg"/>
    <s v=".jpg"/>
    <d v="2014-03-2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11"/>
  </r>
  <r>
    <n v="803"/>
    <x v="19"/>
    <x v="19"/>
    <x v="16"/>
    <x v="1"/>
    <x v="1"/>
    <n v="781"/>
    <x v="8"/>
    <m/>
    <m/>
    <s v="Supplier"/>
    <m/>
    <x v="116"/>
    <s v="Auone_Responsible Purchasing Charter_05sept2012.pdf"/>
    <s v=".pdf"/>
    <d v="2014-03-2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11"/>
  </r>
  <r>
    <n v="806"/>
    <x v="19"/>
    <x v="19"/>
    <x v="16"/>
    <x v="1"/>
    <x v="1"/>
    <n v="784"/>
    <x v="1"/>
    <m/>
    <m/>
    <s v="Supplier"/>
    <m/>
    <x v="10"/>
    <s v="Auone_SEF_2012.xlsx"/>
    <s v=".xlsx"/>
    <d v="2014-03-21T00:00:00"/>
    <s v="as\afok"/>
    <m/>
    <s v="2012"/>
    <m/>
    <m/>
    <m/>
    <m/>
    <m/>
    <x v="0"/>
    <x v="0"/>
    <x v="0"/>
    <x v="13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s v="CP"/>
    <m/>
    <m/>
    <s v="CP "/>
    <x v="0"/>
    <x v="1"/>
    <m/>
    <x v="11"/>
  </r>
  <r>
    <n v="805"/>
    <x v="19"/>
    <x v="19"/>
    <x v="16"/>
    <x v="1"/>
    <x v="1"/>
    <n v="783"/>
    <x v="2"/>
    <n v="1"/>
    <m/>
    <s v="Supplier"/>
    <m/>
    <x v="117"/>
    <s v="Auone_SIF 2013.xls"/>
    <s v=".xls"/>
    <d v="2014-03-21T00:00:00"/>
    <s v="as\afok"/>
    <m/>
    <s v="2013"/>
    <m/>
    <m/>
    <m/>
    <m/>
    <m/>
    <x v="0"/>
    <x v="0"/>
    <x v="0"/>
    <x v="0"/>
    <x v="2"/>
    <x v="0"/>
    <x v="23"/>
    <x v="22"/>
    <x v="20"/>
    <x v="19"/>
    <x v="0"/>
    <x v="0"/>
    <x v="0"/>
    <x v="0"/>
    <x v="0"/>
    <m/>
    <x v="0"/>
    <x v="0"/>
    <x v="0"/>
    <x v="0"/>
    <m/>
    <m/>
    <m/>
    <n v="0"/>
    <m/>
    <m/>
    <m/>
    <s v="CP"/>
    <m/>
    <m/>
    <s v="CP "/>
    <x v="2"/>
    <x v="1"/>
    <m/>
    <x v="11"/>
  </r>
  <r>
    <n v="801"/>
    <x v="19"/>
    <x v="19"/>
    <x v="16"/>
    <x v="1"/>
    <x v="1"/>
    <n v="779"/>
    <x v="2"/>
    <m/>
    <m/>
    <s v="Supplier"/>
    <m/>
    <x v="118"/>
    <s v="Auone_SIF 2013(REVISED13.08.2013).xls"/>
    <s v=".xls"/>
    <d v="2014-03-21T00:00:00"/>
    <s v="as\afok"/>
    <m/>
    <s v="2013"/>
    <m/>
    <m/>
    <m/>
    <m/>
    <m/>
    <x v="0"/>
    <x v="0"/>
    <x v="0"/>
    <x v="0"/>
    <x v="2"/>
    <x v="2"/>
    <x v="24"/>
    <x v="23"/>
    <x v="21"/>
    <x v="10"/>
    <x v="0"/>
    <x v="16"/>
    <x v="14"/>
    <x v="12"/>
    <x v="10"/>
    <m/>
    <x v="0"/>
    <x v="0"/>
    <x v="0"/>
    <x v="0"/>
    <m/>
    <m/>
    <m/>
    <n v="0"/>
    <m/>
    <m/>
    <m/>
    <s v="CP"/>
    <m/>
    <m/>
    <s v="CP "/>
    <x v="2"/>
    <x v="1"/>
    <m/>
    <x v="11"/>
  </r>
  <r>
    <n v="1657"/>
    <x v="20"/>
    <x v="20"/>
    <x v="17"/>
    <x v="5"/>
    <x v="7"/>
    <n v="1618"/>
    <x v="8"/>
    <m/>
    <m/>
    <s v="Supplier"/>
    <m/>
    <x v="119"/>
    <s v="AWECO_Responsible Purchasing Charter_7Dec2012.pdf"/>
    <s v=".pdf"/>
    <d v="2014-04-0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s v="CP"/>
    <m/>
    <m/>
    <s v="CP "/>
    <x v="0"/>
    <x v="1"/>
    <m/>
    <x v="12"/>
  </r>
  <r>
    <n v="2289"/>
    <x v="21"/>
    <x v="21"/>
    <x v="18"/>
    <x v="1"/>
    <x v="5"/>
    <n v="2230"/>
    <x v="4"/>
    <m/>
    <m/>
    <s v="Supplier"/>
    <m/>
    <x v="120"/>
    <s v="Baoli_Purchase_Agreement_2008.pdf"/>
    <s v=".pdf"/>
    <d v="2014-04-16T00:00:00"/>
    <s v="as\afok"/>
    <m/>
    <s v="V5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m/>
    <m/>
    <m/>
    <s v="CP"/>
    <m/>
    <m/>
    <s v="CP "/>
    <x v="0"/>
    <x v="1"/>
    <m/>
    <x v="13"/>
  </r>
  <r>
    <n v="2292"/>
    <x v="21"/>
    <x v="21"/>
    <x v="18"/>
    <x v="1"/>
    <x v="5"/>
    <n v="2233"/>
    <x v="4"/>
    <m/>
    <m/>
    <s v="Supplier"/>
    <m/>
    <x v="121"/>
    <s v="Baoli_General Agreement_V7.pdf"/>
    <s v=".pdf"/>
    <d v="2014-04-16T00:00:00"/>
    <s v="as\afok"/>
    <m/>
    <s v="V7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m/>
    <m/>
    <m/>
    <s v="CP"/>
    <m/>
    <m/>
    <s v="CP "/>
    <x v="0"/>
    <x v="1"/>
    <m/>
    <x v="13"/>
  </r>
  <r>
    <n v="2290"/>
    <x v="21"/>
    <x v="21"/>
    <x v="18"/>
    <x v="1"/>
    <x v="5"/>
    <n v="2231"/>
    <x v="5"/>
    <m/>
    <m/>
    <s v="Supplier"/>
    <m/>
    <x v="122"/>
    <s v="Baoli_Purchase_Agreement_2008.pdf"/>
    <s v=".pdf"/>
    <d v="2014-04-16T00:00:00"/>
    <s v="as\afok"/>
    <m/>
    <s v="FHA 00 014 ind.07"/>
    <m/>
    <m/>
    <m/>
    <n v="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n v="1"/>
    <m/>
    <n v="1"/>
    <m/>
    <m/>
    <m/>
    <s v="CP"/>
    <m/>
    <m/>
    <s v="CP "/>
    <x v="0"/>
    <x v="1"/>
    <m/>
    <x v="13"/>
  </r>
  <r>
    <n v="2295"/>
    <x v="21"/>
    <x v="21"/>
    <x v="18"/>
    <x v="1"/>
    <x v="5"/>
    <n v="2236"/>
    <x v="5"/>
    <m/>
    <m/>
    <s v="Supplier"/>
    <m/>
    <x v="121"/>
    <s v="Baoli_General Agreement_V7.pdf"/>
    <s v=".pdf"/>
    <d v="2014-04-16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n v="1"/>
    <m/>
    <n v="1"/>
    <m/>
    <m/>
    <m/>
    <s v="CP"/>
    <m/>
    <m/>
    <s v="CP "/>
    <x v="0"/>
    <x v="1"/>
    <m/>
    <x v="13"/>
  </r>
  <r>
    <n v="2294"/>
    <x v="21"/>
    <x v="21"/>
    <x v="18"/>
    <x v="1"/>
    <x v="5"/>
    <n v="2235"/>
    <x v="6"/>
    <m/>
    <m/>
    <s v="Supplier"/>
    <m/>
    <x v="121"/>
    <s v="Baoli_General Agreement_V7.pdf"/>
    <s v=".pdf"/>
    <d v="2014-04-16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n v="1"/>
    <n v="1"/>
    <m/>
    <m/>
    <m/>
    <s v="CP"/>
    <m/>
    <m/>
    <s v="CP "/>
    <x v="0"/>
    <x v="1"/>
    <m/>
    <x v="13"/>
  </r>
  <r>
    <n v="2305"/>
    <x v="21"/>
    <x v="21"/>
    <x v="18"/>
    <x v="1"/>
    <x v="5"/>
    <n v="2246"/>
    <x v="6"/>
    <m/>
    <m/>
    <s v="Supplier"/>
    <m/>
    <x v="123"/>
    <s v="Baoli_SupplyChainAppendix_V10-31-Oct-2013.pdf"/>
    <s v=".pdf"/>
    <d v="2014-04-16T00:00:00"/>
    <s v="as\afok"/>
    <m/>
    <s v="V10"/>
    <m/>
    <n v="28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n v="1"/>
    <n v="1"/>
    <n v="1"/>
    <m/>
    <m/>
    <s v="CP"/>
    <m/>
    <m/>
    <s v="CP "/>
    <x v="0"/>
    <x v="1"/>
    <m/>
    <x v="13"/>
  </r>
  <r>
    <n v="2296"/>
    <x v="21"/>
    <x v="21"/>
    <x v="18"/>
    <x v="1"/>
    <x v="5"/>
    <n v="2237"/>
    <x v="10"/>
    <m/>
    <m/>
    <s v="Supplier"/>
    <m/>
    <x v="121"/>
    <s v="Baoli_General Agreement_V7.pdf"/>
    <s v=".pdf"/>
    <d v="2014-04-1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13"/>
  </r>
  <r>
    <n v="2293"/>
    <x v="21"/>
    <x v="21"/>
    <x v="18"/>
    <x v="1"/>
    <x v="5"/>
    <n v="2234"/>
    <x v="7"/>
    <m/>
    <m/>
    <s v="Supplier"/>
    <m/>
    <x v="121"/>
    <s v="Baoli_General Agreement_V7.pdf"/>
    <s v=".pdf"/>
    <d v="2014-04-16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13"/>
  </r>
  <r>
    <n v="2303"/>
    <x v="21"/>
    <x v="21"/>
    <x v="18"/>
    <x v="1"/>
    <x v="5"/>
    <n v="2244"/>
    <x v="7"/>
    <m/>
    <m/>
    <s v="Supplier"/>
    <m/>
    <x v="124"/>
    <s v="Baoli_Env_Declaration_18May2010.xlsx"/>
    <s v=".xlsx"/>
    <d v="2014-04-16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13"/>
  </r>
  <r>
    <n v="2291"/>
    <x v="21"/>
    <x v="21"/>
    <x v="18"/>
    <x v="1"/>
    <x v="5"/>
    <n v="2232"/>
    <x v="9"/>
    <m/>
    <m/>
    <s v="Supplier"/>
    <m/>
    <x v="125"/>
    <s v="LOC_Baoli_2011.pdf"/>
    <s v=".pdf"/>
    <d v="2014-04-1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13"/>
  </r>
  <r>
    <n v="2302"/>
    <x v="21"/>
    <x v="21"/>
    <x v="18"/>
    <x v="1"/>
    <x v="5"/>
    <n v="2243"/>
    <x v="8"/>
    <m/>
    <m/>
    <s v="Supplier"/>
    <m/>
    <x v="126"/>
    <s v="Baoli_Responsible_Purchasing_Charter_06Aug12.pdf"/>
    <s v=".pdf"/>
    <d v="2014-04-1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13"/>
  </r>
  <r>
    <n v="2299"/>
    <x v="21"/>
    <x v="21"/>
    <x v="18"/>
    <x v="1"/>
    <x v="5"/>
    <n v="2240"/>
    <x v="1"/>
    <m/>
    <m/>
    <s v="Supplier"/>
    <m/>
    <x v="127"/>
    <s v="Baoli_SEF_2012-2.xlsx"/>
    <s v=".xlsx"/>
    <d v="2014-04-16T00:00:00"/>
    <s v="as\afok"/>
    <m/>
    <s v="2012"/>
    <m/>
    <m/>
    <m/>
    <m/>
    <m/>
    <x v="0"/>
    <x v="0"/>
    <x v="0"/>
    <x v="15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13"/>
  </r>
  <r>
    <n v="2297"/>
    <x v="21"/>
    <x v="21"/>
    <x v="18"/>
    <x v="1"/>
    <x v="5"/>
    <n v="2238"/>
    <x v="1"/>
    <m/>
    <m/>
    <s v="Supplier"/>
    <m/>
    <x v="128"/>
    <s v="Baoli_SEF_2012.xlsx"/>
    <s v=".xlsx"/>
    <d v="2014-04-16T00:00:00"/>
    <s v="as\afok"/>
    <m/>
    <s v="2012"/>
    <m/>
    <m/>
    <m/>
    <m/>
    <m/>
    <x v="0"/>
    <x v="0"/>
    <x v="0"/>
    <x v="15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13"/>
  </r>
  <r>
    <n v="2298"/>
    <x v="21"/>
    <x v="21"/>
    <x v="18"/>
    <x v="1"/>
    <x v="5"/>
    <n v="2239"/>
    <x v="2"/>
    <m/>
    <m/>
    <s v="Supplier"/>
    <m/>
    <x v="129"/>
    <s v="Baoli_SIF_2012_16May12.xlsx"/>
    <s v=".xlsx"/>
    <d v="2014-04-16T00:00:00"/>
    <s v="as\afok"/>
    <m/>
    <s v="2012"/>
    <m/>
    <m/>
    <m/>
    <m/>
    <m/>
    <x v="0"/>
    <x v="0"/>
    <x v="0"/>
    <x v="0"/>
    <x v="1"/>
    <x v="19"/>
    <x v="25"/>
    <x v="24"/>
    <x v="22"/>
    <x v="20"/>
    <x v="1"/>
    <x v="17"/>
    <x v="15"/>
    <x v="13"/>
    <x v="11"/>
    <s v="CP Panel"/>
    <x v="0"/>
    <x v="0"/>
    <x v="1"/>
    <x v="3"/>
    <m/>
    <m/>
    <m/>
    <n v="1"/>
    <m/>
    <m/>
    <m/>
    <s v="CP"/>
    <m/>
    <m/>
    <s v="CP "/>
    <x v="2"/>
    <x v="1"/>
    <m/>
    <x v="13"/>
  </r>
  <r>
    <n v="2304"/>
    <x v="21"/>
    <x v="21"/>
    <x v="18"/>
    <x v="1"/>
    <x v="5"/>
    <n v="2245"/>
    <x v="2"/>
    <n v="1"/>
    <m/>
    <s v="Supplier"/>
    <m/>
    <x v="101"/>
    <s v="Baoli_SIF 2013.xls"/>
    <s v=".xls"/>
    <d v="2014-04-16T00:00:00"/>
    <s v="as\afok"/>
    <m/>
    <s v="2013"/>
    <m/>
    <m/>
    <m/>
    <m/>
    <m/>
    <x v="0"/>
    <x v="0"/>
    <x v="0"/>
    <x v="0"/>
    <x v="2"/>
    <x v="20"/>
    <x v="26"/>
    <x v="24"/>
    <x v="22"/>
    <x v="20"/>
    <x v="4"/>
    <x v="5"/>
    <x v="15"/>
    <x v="13"/>
    <x v="11"/>
    <s v="CP Panel"/>
    <x v="0"/>
    <x v="0"/>
    <x v="1"/>
    <x v="3"/>
    <m/>
    <m/>
    <m/>
    <n v="1"/>
    <m/>
    <m/>
    <m/>
    <s v="CP"/>
    <m/>
    <m/>
    <s v="CP "/>
    <x v="2"/>
    <x v="1"/>
    <m/>
    <x v="13"/>
  </r>
  <r>
    <n v="2300"/>
    <x v="21"/>
    <x v="21"/>
    <x v="18"/>
    <x v="1"/>
    <x v="5"/>
    <n v="2241"/>
    <x v="3"/>
    <m/>
    <m/>
    <s v="Supplier"/>
    <m/>
    <x v="130"/>
    <s v="BAOLI_SPR_DEC2012.ppt"/>
    <s v=".ppt"/>
    <d v="2014-04-16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13"/>
  </r>
  <r>
    <n v="2301"/>
    <x v="21"/>
    <x v="21"/>
    <x v="18"/>
    <x v="1"/>
    <x v="5"/>
    <n v="2242"/>
    <x v="3"/>
    <m/>
    <m/>
    <s v="Supplier"/>
    <m/>
    <x v="130"/>
    <s v="Baoli_SPR_OCT2012.ppt"/>
    <s v=".ppt"/>
    <d v="2014-04-16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13"/>
  </r>
  <r>
    <n v="1541"/>
    <x v="22"/>
    <x v="22"/>
    <x v="19"/>
    <x v="5"/>
    <x v="12"/>
    <n v="1502"/>
    <x v="4"/>
    <m/>
    <m/>
    <s v="Supplier"/>
    <m/>
    <x v="131"/>
    <s v="Yuda_Supply Agreement_8Oct12.pdf"/>
    <s v=".pdf"/>
    <d v="2014-04-03T00:00:00"/>
    <s v="as\afok"/>
    <m/>
    <s v="V7"/>
    <s v="37D9 - Within 90 days Due net on posting date 37D9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4"/>
    <n v="1"/>
    <m/>
    <m/>
    <n v="1"/>
    <m/>
    <m/>
    <m/>
    <s v="CP"/>
    <m/>
    <m/>
    <s v="CP "/>
    <x v="0"/>
    <x v="1"/>
    <m/>
    <x v="2"/>
  </r>
  <r>
    <n v="1543"/>
    <x v="22"/>
    <x v="22"/>
    <x v="19"/>
    <x v="5"/>
    <x v="12"/>
    <n v="1504"/>
    <x v="5"/>
    <m/>
    <m/>
    <s v="Supplier"/>
    <m/>
    <x v="132"/>
    <s v="Yuda_Supply Agreement_8Oct12.pdf"/>
    <s v=".pdf"/>
    <d v="2014-04-03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4"/>
    <m/>
    <n v="1"/>
    <m/>
    <n v="1"/>
    <m/>
    <m/>
    <m/>
    <s v="CP"/>
    <m/>
    <m/>
    <s v="CP "/>
    <x v="0"/>
    <x v="1"/>
    <m/>
    <x v="2"/>
  </r>
  <r>
    <n v="1544"/>
    <x v="22"/>
    <x v="22"/>
    <x v="19"/>
    <x v="5"/>
    <x v="12"/>
    <n v="1505"/>
    <x v="10"/>
    <m/>
    <m/>
    <s v="Supplier"/>
    <m/>
    <x v="78"/>
    <s v="Yuda_Supply Agreement_8Oct12.pdf"/>
    <s v=".pdf"/>
    <d v="2014-04-0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4"/>
    <m/>
    <m/>
    <m/>
    <n v="1"/>
    <m/>
    <m/>
    <m/>
    <s v="CP"/>
    <m/>
    <m/>
    <s v="CP "/>
    <x v="0"/>
    <x v="1"/>
    <m/>
    <x v="2"/>
  </r>
  <r>
    <n v="1542"/>
    <x v="22"/>
    <x v="22"/>
    <x v="19"/>
    <x v="5"/>
    <x v="12"/>
    <n v="1503"/>
    <x v="7"/>
    <m/>
    <m/>
    <s v="Supplier"/>
    <m/>
    <x v="131"/>
    <s v="Yuda_Supply Agreement_8Oct12.pdf"/>
    <s v=".pdf"/>
    <d v="2014-04-03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4"/>
    <m/>
    <m/>
    <m/>
    <n v="1"/>
    <m/>
    <m/>
    <m/>
    <s v="CP"/>
    <m/>
    <m/>
    <s v="CP "/>
    <x v="0"/>
    <x v="1"/>
    <m/>
    <x v="2"/>
  </r>
  <r>
    <n v="1546"/>
    <x v="22"/>
    <x v="22"/>
    <x v="19"/>
    <x v="5"/>
    <x v="12"/>
    <n v="1507"/>
    <x v="7"/>
    <m/>
    <m/>
    <s v="Supplier"/>
    <m/>
    <x v="133"/>
    <s v="Yuda_Env_Declaration_31May2010.xls"/>
    <s v=".xls"/>
    <d v="2014-04-03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4"/>
    <m/>
    <m/>
    <m/>
    <n v="1"/>
    <m/>
    <m/>
    <m/>
    <s v="CP"/>
    <m/>
    <m/>
    <s v="CP "/>
    <x v="0"/>
    <x v="1"/>
    <m/>
    <x v="2"/>
  </r>
  <r>
    <n v="1539"/>
    <x v="22"/>
    <x v="22"/>
    <x v="19"/>
    <x v="5"/>
    <x v="12"/>
    <n v="1500"/>
    <x v="8"/>
    <m/>
    <m/>
    <s v="Supplier"/>
    <m/>
    <x v="93"/>
    <s v="Bi gold_Responsible Purchasing Charter_20140228.pdf"/>
    <s v=".pdf"/>
    <d v="2014-04-0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4"/>
    <m/>
    <m/>
    <m/>
    <n v="1"/>
    <m/>
    <m/>
    <m/>
    <s v="CP"/>
    <m/>
    <m/>
    <s v="CP "/>
    <x v="0"/>
    <x v="1"/>
    <m/>
    <x v="2"/>
  </r>
  <r>
    <n v="1550"/>
    <x v="22"/>
    <x v="22"/>
    <x v="19"/>
    <x v="5"/>
    <x v="12"/>
    <n v="1511"/>
    <x v="8"/>
    <m/>
    <m/>
    <s v="Supplier"/>
    <m/>
    <x v="134"/>
    <s v="Bi gold_Responsible Purchasing Charter_20140228.pdf"/>
    <s v=".pdf"/>
    <d v="2014-04-0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4"/>
    <m/>
    <m/>
    <m/>
    <n v="1"/>
    <n v="1"/>
    <m/>
    <m/>
    <s v="CP"/>
    <m/>
    <m/>
    <s v="CP "/>
    <x v="0"/>
    <x v="1"/>
    <m/>
    <x v="2"/>
  </r>
  <r>
    <n v="1538"/>
    <x v="22"/>
    <x v="22"/>
    <x v="19"/>
    <x v="5"/>
    <x v="12"/>
    <n v="1499"/>
    <x v="1"/>
    <m/>
    <m/>
    <s v="Supplier"/>
    <m/>
    <x v="135"/>
    <s v="Yuda 2012 1st SEF.xlsx"/>
    <s v=".xlsx"/>
    <d v="2014-04-03T00:00:00"/>
    <s v="as\afok"/>
    <m/>
    <s v="2012"/>
    <m/>
    <m/>
    <m/>
    <m/>
    <m/>
    <x v="0"/>
    <x v="0"/>
    <x v="0"/>
    <x v="17"/>
    <x v="0"/>
    <x v="0"/>
    <x v="0"/>
    <x v="0"/>
    <x v="0"/>
    <x v="0"/>
    <x v="0"/>
    <x v="0"/>
    <x v="0"/>
    <x v="0"/>
    <x v="0"/>
    <s v="CP Panel"/>
    <x v="0"/>
    <x v="0"/>
    <x v="1"/>
    <x v="4"/>
    <m/>
    <m/>
    <m/>
    <n v="1"/>
    <m/>
    <m/>
    <m/>
    <s v="CP"/>
    <m/>
    <m/>
    <s v="CP "/>
    <x v="0"/>
    <x v="1"/>
    <m/>
    <x v="2"/>
  </r>
  <r>
    <n v="1540"/>
    <x v="22"/>
    <x v="22"/>
    <x v="19"/>
    <x v="5"/>
    <x v="12"/>
    <n v="1501"/>
    <x v="2"/>
    <m/>
    <m/>
    <s v="Supplier"/>
    <m/>
    <x v="136"/>
    <s v="BI-GOLD_SIF_17Dec2012.xlsx"/>
    <s v=".xlsx"/>
    <d v="2014-04-03T00:00:00"/>
    <s v="as\afok"/>
    <m/>
    <s v="2012"/>
    <m/>
    <m/>
    <m/>
    <m/>
    <m/>
    <x v="0"/>
    <x v="0"/>
    <x v="0"/>
    <x v="0"/>
    <x v="1"/>
    <x v="21"/>
    <x v="27"/>
    <x v="0"/>
    <x v="0"/>
    <x v="0"/>
    <x v="10"/>
    <x v="10"/>
    <x v="0"/>
    <x v="0"/>
    <x v="0"/>
    <s v="CP Panel"/>
    <x v="0"/>
    <x v="0"/>
    <x v="1"/>
    <x v="4"/>
    <m/>
    <m/>
    <m/>
    <n v="1"/>
    <m/>
    <m/>
    <m/>
    <s v="CP"/>
    <m/>
    <m/>
    <s v="CP "/>
    <x v="2"/>
    <x v="1"/>
    <m/>
    <x v="2"/>
  </r>
  <r>
    <n v="1549"/>
    <x v="22"/>
    <x v="22"/>
    <x v="19"/>
    <x v="5"/>
    <x v="12"/>
    <n v="1510"/>
    <x v="2"/>
    <m/>
    <m/>
    <s v="Supplier"/>
    <m/>
    <x v="137"/>
    <s v="Bi gold_SIF_20140218.xlsx"/>
    <s v=".xlsx"/>
    <d v="2014-04-03T00:00:00"/>
    <s v="as\afok"/>
    <m/>
    <s v="2014"/>
    <m/>
    <m/>
    <m/>
    <m/>
    <m/>
    <x v="0"/>
    <x v="0"/>
    <x v="0"/>
    <x v="0"/>
    <x v="3"/>
    <x v="22"/>
    <x v="28"/>
    <x v="25"/>
    <x v="23"/>
    <x v="21"/>
    <x v="4"/>
    <x v="18"/>
    <x v="16"/>
    <x v="14"/>
    <x v="12"/>
    <s v="CP Panel"/>
    <x v="0"/>
    <x v="0"/>
    <x v="1"/>
    <x v="4"/>
    <m/>
    <m/>
    <m/>
    <n v="1"/>
    <m/>
    <m/>
    <m/>
    <s v="CP"/>
    <m/>
    <m/>
    <s v="CP "/>
    <x v="2"/>
    <x v="1"/>
    <m/>
    <x v="2"/>
  </r>
  <r>
    <n v="1545"/>
    <x v="22"/>
    <x v="22"/>
    <x v="19"/>
    <x v="5"/>
    <x v="12"/>
    <n v="1506"/>
    <x v="3"/>
    <m/>
    <m/>
    <s v="Supplier"/>
    <m/>
    <x v="75"/>
    <s v="SPR 2012 Yuda.pptx"/>
    <s v=".pptx"/>
    <d v="2014-04-03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4"/>
    <m/>
    <m/>
    <m/>
    <n v="1"/>
    <m/>
    <m/>
    <m/>
    <s v="CP"/>
    <m/>
    <m/>
    <s v="CP "/>
    <x v="0"/>
    <x v="1"/>
    <m/>
    <x v="2"/>
  </r>
  <r>
    <n v="1547"/>
    <x v="22"/>
    <x v="22"/>
    <x v="19"/>
    <x v="5"/>
    <x v="12"/>
    <n v="1508"/>
    <x v="18"/>
    <m/>
    <m/>
    <s v="Supplier"/>
    <m/>
    <x v="138"/>
    <s v="SSR 2013 Bi-gold.pptx"/>
    <s v=".pptx"/>
    <d v="2014-04-03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4"/>
    <m/>
    <m/>
    <m/>
    <n v="1"/>
    <m/>
    <m/>
    <m/>
    <s v="CP"/>
    <m/>
    <m/>
    <s v="CP "/>
    <x v="0"/>
    <x v="1"/>
    <m/>
    <x v="2"/>
  </r>
  <r>
    <n v="1548"/>
    <x v="22"/>
    <x v="22"/>
    <x v="19"/>
    <x v="5"/>
    <x v="12"/>
    <n v="1509"/>
    <x v="18"/>
    <m/>
    <m/>
    <s v="Supplier"/>
    <m/>
    <x v="139"/>
    <s v="SSR 2013 JULY_BI-GLOD.pptx"/>
    <s v=".pptx"/>
    <d v="2014-04-03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4"/>
    <m/>
    <m/>
    <m/>
    <n v="1"/>
    <m/>
    <m/>
    <m/>
    <s v="CP"/>
    <m/>
    <m/>
    <s v="CP "/>
    <x v="0"/>
    <x v="1"/>
    <m/>
    <x v="2"/>
  </r>
  <r>
    <n v="562"/>
    <x v="23"/>
    <x v="23"/>
    <x v="20"/>
    <x v="1"/>
    <x v="13"/>
    <n v="547"/>
    <x v="4"/>
    <m/>
    <m/>
    <s v="Supplier"/>
    <m/>
    <x v="140"/>
    <s v="BKZ_General Agreement_V7.pdf"/>
    <s v=".pdf"/>
    <d v="2014-03-18T00:00:00"/>
    <s v="as\afok"/>
    <m/>
    <s v="V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m/>
    <m/>
    <m/>
    <s v="CP"/>
    <m/>
    <m/>
    <s v="CP "/>
    <x v="0"/>
    <x v="1"/>
    <m/>
    <x v="6"/>
  </r>
  <r>
    <n v="556"/>
    <x v="24"/>
    <x v="24"/>
    <x v="20"/>
    <x v="1"/>
    <x v="13"/>
    <n v="541"/>
    <x v="4"/>
    <m/>
    <m/>
    <s v="Supplier"/>
    <m/>
    <x v="141"/>
    <s v="BKZ_0.SupplyAgreementV8.pdf"/>
    <s v=".pdf"/>
    <d v="2014-03-18T00:00:00"/>
    <s v="as\afok"/>
    <m/>
    <s v="V8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m/>
    <m/>
    <m/>
    <s v="CP"/>
    <m/>
    <m/>
    <s v="CP "/>
    <x v="0"/>
    <x v="1"/>
    <m/>
    <x v="6"/>
  </r>
  <r>
    <n v="564"/>
    <x v="23"/>
    <x v="23"/>
    <x v="20"/>
    <x v="1"/>
    <x v="13"/>
    <n v="549"/>
    <x v="5"/>
    <m/>
    <m/>
    <s v="Supplier"/>
    <m/>
    <x v="140"/>
    <s v="BKZ_General Agreement_V7.pdf"/>
    <s v=".pdf"/>
    <d v="2014-03-18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n v="1"/>
    <m/>
    <n v="1"/>
    <m/>
    <m/>
    <m/>
    <s v="CP"/>
    <m/>
    <m/>
    <s v="CP "/>
    <x v="0"/>
    <x v="1"/>
    <m/>
    <x v="6"/>
  </r>
  <r>
    <n v="554"/>
    <x v="24"/>
    <x v="24"/>
    <x v="20"/>
    <x v="1"/>
    <x v="13"/>
    <n v="539"/>
    <x v="5"/>
    <m/>
    <m/>
    <s v="Supplier"/>
    <m/>
    <x v="142"/>
    <s v="BKZ_4.QualityPolicy8Nov2013.pdf"/>
    <s v=".pdf"/>
    <d v="2014-03-18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n v="1"/>
    <m/>
    <n v="1"/>
    <m/>
    <m/>
    <m/>
    <s v="CP"/>
    <m/>
    <m/>
    <s v="CP "/>
    <x v="0"/>
    <x v="1"/>
    <m/>
    <x v="6"/>
  </r>
  <r>
    <n v="563"/>
    <x v="23"/>
    <x v="23"/>
    <x v="20"/>
    <x v="1"/>
    <x v="13"/>
    <n v="548"/>
    <x v="6"/>
    <m/>
    <m/>
    <s v="Supplier"/>
    <m/>
    <x v="140"/>
    <s v="BKZ_General Agreement_V7.pdf"/>
    <s v=".pdf"/>
    <d v="2014-03-18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n v="1"/>
    <n v="1"/>
    <m/>
    <m/>
    <m/>
    <s v="CP"/>
    <m/>
    <m/>
    <s v="CP "/>
    <x v="0"/>
    <x v="1"/>
    <m/>
    <x v="6"/>
  </r>
  <r>
    <n v="553"/>
    <x v="24"/>
    <x v="24"/>
    <x v="20"/>
    <x v="1"/>
    <x v="13"/>
    <n v="538"/>
    <x v="6"/>
    <m/>
    <m/>
    <s v="Supplier"/>
    <m/>
    <x v="142"/>
    <s v="BKZ_5.SupplyChainAppendix_8Nov2013.pdf"/>
    <s v=".pdf"/>
    <d v="2014-03-18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n v="1"/>
    <n v="1"/>
    <m/>
    <m/>
    <m/>
    <s v="CP"/>
    <m/>
    <m/>
    <s v="CP "/>
    <x v="0"/>
    <x v="1"/>
    <m/>
    <x v="6"/>
  </r>
  <r>
    <n v="552"/>
    <x v="24"/>
    <x v="24"/>
    <x v="20"/>
    <x v="1"/>
    <x v="13"/>
    <n v="537"/>
    <x v="10"/>
    <m/>
    <m/>
    <s v="Supplier"/>
    <m/>
    <x v="141"/>
    <s v="BKZ_6.DeclarationLetter_30May2013.pdf"/>
    <s v=".pdf"/>
    <d v="2014-03-1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6"/>
  </r>
  <r>
    <n v="566"/>
    <x v="23"/>
    <x v="23"/>
    <x v="20"/>
    <x v="1"/>
    <x v="13"/>
    <n v="551"/>
    <x v="10"/>
    <m/>
    <m/>
    <s v="Supplier"/>
    <m/>
    <x v="143"/>
    <s v="BKZ_General Agreement_V7.pdf"/>
    <s v=".pdf"/>
    <d v="2014-03-1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6"/>
  </r>
  <r>
    <n v="567"/>
    <x v="23"/>
    <x v="23"/>
    <x v="20"/>
    <x v="1"/>
    <x v="13"/>
    <n v="552"/>
    <x v="7"/>
    <m/>
    <m/>
    <s v="Supplier"/>
    <m/>
    <x v="140"/>
    <s v="BKZ_General Agreement_V7.pdf"/>
    <s v=".pdf"/>
    <d v="2014-03-18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n v="1"/>
    <m/>
    <m/>
    <s v="CP"/>
    <m/>
    <m/>
    <s v="CP "/>
    <x v="0"/>
    <x v="1"/>
    <m/>
    <x v="6"/>
  </r>
  <r>
    <n v="555"/>
    <x v="24"/>
    <x v="24"/>
    <x v="20"/>
    <x v="1"/>
    <x v="13"/>
    <n v="540"/>
    <x v="7"/>
    <m/>
    <m/>
    <s v="Supplier"/>
    <m/>
    <x v="144"/>
    <s v="BKZ_3.EnvironmentalDeclaration_9Sep2013.pdf"/>
    <s v=".pdf"/>
    <d v="2014-03-18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6"/>
  </r>
  <r>
    <n v="558"/>
    <x v="23"/>
    <x v="23"/>
    <x v="20"/>
    <x v="1"/>
    <x v="13"/>
    <n v="543"/>
    <x v="8"/>
    <m/>
    <m/>
    <s v="Supplier"/>
    <m/>
    <x v="93"/>
    <s v="BKZ_Responsible_Purchasing_Charter_09Aug12.pdf"/>
    <s v=".pdf"/>
    <d v="2014-03-1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6"/>
  </r>
  <r>
    <n v="561"/>
    <x v="23"/>
    <x v="23"/>
    <x v="20"/>
    <x v="1"/>
    <x v="13"/>
    <n v="546"/>
    <x v="1"/>
    <m/>
    <m/>
    <s v="Supplier"/>
    <m/>
    <x v="145"/>
    <s v="BKZ_SEF_2012.xls"/>
    <s v=".xls"/>
    <d v="2014-03-18T00:00:00"/>
    <s v="as\afok"/>
    <m/>
    <s v="2012"/>
    <m/>
    <m/>
    <m/>
    <m/>
    <m/>
    <x v="0"/>
    <x v="0"/>
    <x v="0"/>
    <x v="18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6"/>
  </r>
  <r>
    <n v="557"/>
    <x v="23"/>
    <x v="23"/>
    <x v="20"/>
    <x v="1"/>
    <x v="13"/>
    <n v="542"/>
    <x v="1"/>
    <m/>
    <m/>
    <s v="Supplier"/>
    <m/>
    <x v="138"/>
    <s v="BKZ_SEF_2013-1.xlsx"/>
    <s v=".xlsx"/>
    <d v="2014-03-18T00:00:00"/>
    <s v="as\afok"/>
    <m/>
    <s v="2013"/>
    <m/>
    <m/>
    <m/>
    <m/>
    <m/>
    <x v="0"/>
    <x v="0"/>
    <x v="0"/>
    <x v="19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6"/>
  </r>
  <r>
    <n v="560"/>
    <x v="23"/>
    <x v="23"/>
    <x v="20"/>
    <x v="1"/>
    <x v="13"/>
    <n v="545"/>
    <x v="1"/>
    <m/>
    <m/>
    <s v="Supplier"/>
    <m/>
    <x v="130"/>
    <s v="BKZ_SEF 2012 Nov.xlsx"/>
    <s v=".xlsx"/>
    <d v="2014-03-18T00:00:00"/>
    <s v="as\afok"/>
    <m/>
    <s v="2012"/>
    <m/>
    <m/>
    <m/>
    <m/>
    <m/>
    <x v="0"/>
    <x v="0"/>
    <x v="0"/>
    <x v="2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6"/>
  </r>
  <r>
    <n v="565"/>
    <x v="23"/>
    <x v="23"/>
    <x v="20"/>
    <x v="1"/>
    <x v="13"/>
    <n v="550"/>
    <x v="2"/>
    <m/>
    <m/>
    <s v="Supplier"/>
    <m/>
    <x v="89"/>
    <s v="BKZ_SIF_2010.xls"/>
    <s v=".xls"/>
    <d v="2014-03-18T00:00:00"/>
    <s v="as\afok"/>
    <m/>
    <s v="2010"/>
    <m/>
    <m/>
    <m/>
    <m/>
    <m/>
    <x v="0"/>
    <x v="0"/>
    <x v="0"/>
    <x v="0"/>
    <x v="3"/>
    <x v="23"/>
    <x v="0"/>
    <x v="26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2"/>
    <x v="1"/>
    <m/>
    <x v="6"/>
  </r>
  <r>
    <n v="559"/>
    <x v="23"/>
    <x v="23"/>
    <x v="20"/>
    <x v="1"/>
    <x v="13"/>
    <n v="544"/>
    <x v="3"/>
    <m/>
    <m/>
    <s v="Supplier"/>
    <m/>
    <x v="75"/>
    <s v="BKZ SPR_OCT2012.pptx"/>
    <s v=".pptx"/>
    <d v="2014-03-18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6"/>
  </r>
  <r>
    <n v="1208"/>
    <x v="25"/>
    <x v="25"/>
    <x v="21"/>
    <x v="2"/>
    <x v="2"/>
    <n v="1184"/>
    <x v="4"/>
    <m/>
    <m/>
    <s v="Supplier"/>
    <m/>
    <x v="146"/>
    <s v="Blue Electro_General Agreement_ind.11_2012-07-06.pdf"/>
    <s v=".pdf"/>
    <d v="2014-03-26T00:00:00"/>
    <s v="as\afok"/>
    <m/>
    <s v="FHA 00 016 ind.11"/>
    <s v="37D6 - Within 60 days Due net on posting date 37D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m/>
    <s v="SP"/>
    <s v="MOULD"/>
    <s v="FP SP MOULD "/>
    <x v="0"/>
    <x v="1"/>
    <m/>
    <x v="11"/>
  </r>
  <r>
    <n v="1210"/>
    <x v="25"/>
    <x v="25"/>
    <x v="21"/>
    <x v="2"/>
    <x v="2"/>
    <n v="1186"/>
    <x v="5"/>
    <m/>
    <m/>
    <s v="Supplier"/>
    <m/>
    <x v="146"/>
    <s v="Blue Electro_General Agreement_ind.11_2012-07-06.pdf"/>
    <s v=".pdf"/>
    <d v="2014-03-26T00:00:00"/>
    <s v="as\afok"/>
    <m/>
    <m/>
    <m/>
    <m/>
    <m/>
    <n v="20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m/>
    <s v="SP"/>
    <s v="MOULD"/>
    <s v="FP SP MOULD "/>
    <x v="0"/>
    <x v="1"/>
    <m/>
    <x v="11"/>
  </r>
  <r>
    <n v="1209"/>
    <x v="25"/>
    <x v="25"/>
    <x v="21"/>
    <x v="2"/>
    <x v="2"/>
    <n v="1185"/>
    <x v="6"/>
    <m/>
    <m/>
    <s v="Supplier"/>
    <m/>
    <x v="146"/>
    <s v="Blue Electro_General Agreement_ind.11_2012-07-06.pdf"/>
    <s v=".pdf"/>
    <d v="2014-03-26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m/>
    <s v="SP"/>
    <s v="MOULD"/>
    <s v="FP SP MOULD "/>
    <x v="0"/>
    <x v="1"/>
    <m/>
    <x v="11"/>
  </r>
  <r>
    <n v="1211"/>
    <x v="25"/>
    <x v="25"/>
    <x v="21"/>
    <x v="2"/>
    <x v="2"/>
    <n v="1187"/>
    <x v="10"/>
    <m/>
    <m/>
    <s v="Supplier"/>
    <m/>
    <x v="147"/>
    <s v="Blue Electro_General Agreement_ind.11_2012-07-06.pdf"/>
    <s v=".pdf"/>
    <d v="2014-03-2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11"/>
  </r>
  <r>
    <n v="1212"/>
    <x v="25"/>
    <x v="25"/>
    <x v="21"/>
    <x v="2"/>
    <x v="2"/>
    <n v="1188"/>
    <x v="11"/>
    <m/>
    <m/>
    <s v="Supplier"/>
    <m/>
    <x v="148"/>
    <s v="BLUE ELECTRO_Exclusivity 932007.pdf"/>
    <s v=".pdf"/>
    <d v="2014-03-2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11"/>
  </r>
  <r>
    <n v="1214"/>
    <x v="25"/>
    <x v="25"/>
    <x v="21"/>
    <x v="2"/>
    <x v="2"/>
    <n v="1190"/>
    <x v="8"/>
    <m/>
    <m/>
    <s v="Supplier"/>
    <m/>
    <x v="149"/>
    <s v="Blue Electro - Responsible Purchasing Charter (CH).pdf"/>
    <s v=".pdf"/>
    <d v="2014-03-26T00:00:00"/>
    <s v="as\afok"/>
    <s v="Chinese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11"/>
  </r>
  <r>
    <n v="1213"/>
    <x v="25"/>
    <x v="25"/>
    <x v="21"/>
    <x v="2"/>
    <x v="2"/>
    <n v="1189"/>
    <x v="8"/>
    <m/>
    <m/>
    <s v="Supplier"/>
    <m/>
    <x v="149"/>
    <s v="Blue Electro - Responsible Purchasing Charter (ENG).pdf"/>
    <s v=".pdf"/>
    <d v="2014-03-26T00:00:00"/>
    <s v="as\afok"/>
    <s v="English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11"/>
  </r>
  <r>
    <n v="1206"/>
    <x v="25"/>
    <x v="25"/>
    <x v="21"/>
    <x v="2"/>
    <x v="2"/>
    <n v="1182"/>
    <x v="1"/>
    <m/>
    <m/>
    <s v="Supplier"/>
    <m/>
    <x v="102"/>
    <s v="SEF 2013 - Blue Electro.xlsx"/>
    <s v=".xlsx"/>
    <d v="2014-03-26T00:00:00"/>
    <s v="as\afok"/>
    <m/>
    <s v="2013"/>
    <m/>
    <m/>
    <m/>
    <m/>
    <m/>
    <x v="0"/>
    <x v="0"/>
    <x v="0"/>
    <x v="21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11"/>
  </r>
  <r>
    <n v="1216"/>
    <x v="25"/>
    <x v="25"/>
    <x v="21"/>
    <x v="2"/>
    <x v="2"/>
    <n v="1192"/>
    <x v="1"/>
    <m/>
    <m/>
    <s v="Supplier"/>
    <m/>
    <x v="150"/>
    <s v="BE SEF 2011.xlsx"/>
    <s v=".xlsx"/>
    <d v="2014-03-27T00:00:00"/>
    <s v="as\afok"/>
    <m/>
    <s v="2011"/>
    <m/>
    <m/>
    <m/>
    <m/>
    <m/>
    <x v="0"/>
    <x v="0"/>
    <x v="0"/>
    <x v="22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11"/>
  </r>
  <r>
    <n v="1207"/>
    <x v="25"/>
    <x v="25"/>
    <x v="21"/>
    <x v="2"/>
    <x v="2"/>
    <n v="1183"/>
    <x v="2"/>
    <m/>
    <m/>
    <s v="Supplier"/>
    <m/>
    <x v="151"/>
    <s v="Blue Electro - SIF 2013.xlsx"/>
    <s v=".xlsx"/>
    <d v="2014-03-26T00:00:00"/>
    <s v="as\afok"/>
    <m/>
    <s v="2013"/>
    <m/>
    <m/>
    <m/>
    <m/>
    <m/>
    <x v="0"/>
    <x v="0"/>
    <x v="0"/>
    <x v="0"/>
    <x v="2"/>
    <x v="24"/>
    <x v="3"/>
    <x v="3"/>
    <x v="24"/>
    <x v="22"/>
    <x v="11"/>
    <x v="19"/>
    <x v="17"/>
    <x v="15"/>
    <x v="13"/>
    <m/>
    <x v="0"/>
    <x v="0"/>
    <x v="0"/>
    <x v="0"/>
    <m/>
    <m/>
    <m/>
    <n v="1"/>
    <m/>
    <m/>
    <s v="FP"/>
    <m/>
    <s v="SP"/>
    <s v="MOULD"/>
    <s v="FP SP MOULD "/>
    <x v="3"/>
    <x v="1"/>
    <m/>
    <x v="11"/>
  </r>
  <r>
    <n v="1215"/>
    <x v="25"/>
    <x v="25"/>
    <x v="21"/>
    <x v="2"/>
    <x v="2"/>
    <n v="1191"/>
    <x v="2"/>
    <n v="1"/>
    <m/>
    <s v="Supplier"/>
    <m/>
    <x v="36"/>
    <s v="Blue Electro - SIF 2012.xls"/>
    <s v=".xls"/>
    <d v="2014-03-27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3"/>
    <x v="1"/>
    <m/>
    <x v="11"/>
  </r>
  <r>
    <n v="1217"/>
    <x v="25"/>
    <x v="25"/>
    <x v="21"/>
    <x v="2"/>
    <x v="2"/>
    <n v="1193"/>
    <x v="3"/>
    <m/>
    <m/>
    <s v="Supplier"/>
    <d v="2014-03-27T00:00:00"/>
    <x v="152"/>
    <s v="Blue Electrp_SPR_2008.xlsx"/>
    <s v=".xlsx"/>
    <d v="2014-03-27T00:00:00"/>
    <s v="as\afok"/>
    <m/>
    <s v="2008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n v="1"/>
    <m/>
    <s v="FP"/>
    <m/>
    <s v="SP"/>
    <s v="MOULD"/>
    <s v="FP SP MOULD "/>
    <x v="0"/>
    <x v="1"/>
    <m/>
    <x v="11"/>
  </r>
  <r>
    <n v="2148"/>
    <x v="26"/>
    <x v="26"/>
    <x v="22"/>
    <x v="4"/>
    <x v="8"/>
    <n v="2091"/>
    <x v="4"/>
    <m/>
    <m/>
    <s v="Supplier"/>
    <m/>
    <x v="153"/>
    <s v="Agreement_Camewould_Revised_Sep2012.pdf"/>
    <s v=".pdf"/>
    <d v="2014-04-14T00:00:00"/>
    <s v="as\afok"/>
    <m/>
    <s v="V7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m/>
    <m/>
    <m/>
    <s v="CP"/>
    <s v="SP"/>
    <m/>
    <s v="CP SP "/>
    <x v="0"/>
    <x v="1"/>
    <m/>
    <x v="14"/>
  </r>
  <r>
    <n v="2141"/>
    <x v="26"/>
    <x v="26"/>
    <x v="22"/>
    <x v="4"/>
    <x v="8"/>
    <n v="2084"/>
    <x v="4"/>
    <m/>
    <m/>
    <s v="Supplier"/>
    <m/>
    <x v="154"/>
    <s v="SupplyAgreementV8_Camewould_6Feb2014.pdf"/>
    <s v=".pdf"/>
    <d v="2014-04-14T00:00:00"/>
    <s v="as\afok"/>
    <m/>
    <s v="V8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m/>
    <m/>
    <m/>
    <s v="CP"/>
    <s v="SP"/>
    <m/>
    <s v="CP SP "/>
    <x v="0"/>
    <x v="1"/>
    <m/>
    <x v="14"/>
  </r>
  <r>
    <n v="2140"/>
    <x v="26"/>
    <x v="26"/>
    <x v="22"/>
    <x v="4"/>
    <x v="8"/>
    <n v="2083"/>
    <x v="5"/>
    <m/>
    <m/>
    <s v="Supplier"/>
    <m/>
    <x v="154"/>
    <s v="QualityAppendix_Camewould_6Feb2014.pdf"/>
    <s v=".pdf"/>
    <d v="2014-04-14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n v="1"/>
    <m/>
    <n v="1"/>
    <m/>
    <m/>
    <m/>
    <s v="CP"/>
    <s v="SP"/>
    <m/>
    <s v="CP SP "/>
    <x v="0"/>
    <x v="1"/>
    <m/>
    <x v="14"/>
  </r>
  <r>
    <n v="2144"/>
    <x v="26"/>
    <x v="26"/>
    <x v="22"/>
    <x v="4"/>
    <x v="8"/>
    <n v="2087"/>
    <x v="6"/>
    <m/>
    <m/>
    <s v="Supplier"/>
    <m/>
    <x v="155"/>
    <s v="Supplier_chain_appendixV.10_Camewould_REVISED_01.08.2013.pdf"/>
    <s v=".pdf"/>
    <d v="2014-04-14T00:00:00"/>
    <s v="as\afok"/>
    <m/>
    <s v="V10"/>
    <m/>
    <n v="0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n v="1"/>
    <n v="1"/>
    <m/>
    <m/>
    <m/>
    <s v="CP"/>
    <s v="SP"/>
    <m/>
    <s v="CP SP "/>
    <x v="0"/>
    <x v="1"/>
    <m/>
    <x v="14"/>
  </r>
  <r>
    <n v="2142"/>
    <x v="26"/>
    <x v="26"/>
    <x v="22"/>
    <x v="4"/>
    <x v="8"/>
    <n v="2085"/>
    <x v="6"/>
    <m/>
    <m/>
    <s v="Supplier"/>
    <m/>
    <x v="156"/>
    <s v="Supplier_chain_appendixV.10_Camewould_REVISED_01.08.2013.pdf"/>
    <s v=".pdf"/>
    <d v="2014-04-14T00:00:00"/>
    <s v="as\afok"/>
    <m/>
    <s v="V10"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n v="1"/>
    <n v="1"/>
    <m/>
    <m/>
    <m/>
    <s v="CP"/>
    <s v="SP"/>
    <m/>
    <s v="CP SP "/>
    <x v="0"/>
    <x v="1"/>
    <m/>
    <x v="14"/>
  </r>
  <r>
    <n v="2139"/>
    <x v="26"/>
    <x v="26"/>
    <x v="22"/>
    <x v="4"/>
    <x v="8"/>
    <n v="2082"/>
    <x v="10"/>
    <m/>
    <m/>
    <s v="Supplier"/>
    <m/>
    <x v="157"/>
    <s v="LOC_Camewould_6Feb2014.pdf"/>
    <s v=".pdf"/>
    <d v="2014-04-1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s v="SP"/>
    <m/>
    <s v="CP SP "/>
    <x v="0"/>
    <x v="1"/>
    <m/>
    <x v="14"/>
  </r>
  <r>
    <n v="2869"/>
    <x v="26"/>
    <x v="26"/>
    <x v="22"/>
    <x v="4"/>
    <x v="8"/>
    <n v="2608"/>
    <x v="7"/>
    <m/>
    <m/>
    <s v="Supplier"/>
    <m/>
    <x v="154"/>
    <s v="Environmental_Camewould_6Feb2014.pdf"/>
    <s v=".pdf"/>
    <d v="2014-04-25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s v="SP"/>
    <m/>
    <s v="CP SP "/>
    <x v="0"/>
    <x v="1"/>
    <m/>
    <x v="14"/>
  </r>
  <r>
    <n v="2149"/>
    <x v="26"/>
    <x v="26"/>
    <x v="22"/>
    <x v="4"/>
    <x v="8"/>
    <n v="2092"/>
    <x v="13"/>
    <m/>
    <m/>
    <s v="Supplier"/>
    <d v="2014-04-14T00:00:00"/>
    <x v="158"/>
    <s v="Camewould_ISO14001-2004.pdf"/>
    <s v=".pdf"/>
    <d v="2014-04-1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s v="SP"/>
    <m/>
    <s v="CP SP "/>
    <x v="0"/>
    <x v="1"/>
    <m/>
    <x v="14"/>
  </r>
  <r>
    <n v="2150"/>
    <x v="26"/>
    <x v="26"/>
    <x v="22"/>
    <x v="4"/>
    <x v="8"/>
    <n v="2093"/>
    <x v="9"/>
    <m/>
    <m/>
    <s v="Supplier"/>
    <m/>
    <x v="18"/>
    <s v="LOC_Camewould.pdf"/>
    <s v=".pdf"/>
    <d v="2014-04-1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s v="SP"/>
    <m/>
    <s v="CP SP "/>
    <x v="0"/>
    <x v="1"/>
    <m/>
    <x v="14"/>
  </r>
  <r>
    <n v="2870"/>
    <x v="26"/>
    <x v="26"/>
    <x v="22"/>
    <x v="4"/>
    <x v="8"/>
    <n v="2609"/>
    <x v="9"/>
    <m/>
    <m/>
    <s v="Supplier"/>
    <m/>
    <x v="157"/>
    <s v="LOC_Camewould_6Feb2014.pdf"/>
    <s v=".pdf"/>
    <d v="2014-04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n v="1"/>
    <m/>
    <m/>
    <s v="CP"/>
    <s v="SP"/>
    <m/>
    <s v="CP SP "/>
    <x v="0"/>
    <x v="1"/>
    <m/>
    <x v="14"/>
  </r>
  <r>
    <n v="2147"/>
    <x v="26"/>
    <x v="26"/>
    <x v="22"/>
    <x v="4"/>
    <x v="8"/>
    <n v="2090"/>
    <x v="8"/>
    <m/>
    <m/>
    <s v="Supplier"/>
    <m/>
    <x v="19"/>
    <s v="Camewould_Responsible_Purchasing_Charter_07Aug12.pdf"/>
    <s v=".pdf"/>
    <d v="2014-04-1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s v="SP"/>
    <m/>
    <s v="CP SP "/>
    <x v="0"/>
    <x v="1"/>
    <m/>
    <x v="14"/>
  </r>
  <r>
    <n v="2151"/>
    <x v="26"/>
    <x v="26"/>
    <x v="22"/>
    <x v="4"/>
    <x v="8"/>
    <n v="2094"/>
    <x v="1"/>
    <m/>
    <m/>
    <s v="Supplier"/>
    <m/>
    <x v="159"/>
    <s v="CAMEWOULD_Supplier_Evaluation_May_2012.xlsx"/>
    <s v=".xlsx"/>
    <d v="2014-04-14T00:00:00"/>
    <s v="as\afok"/>
    <m/>
    <s v="2012"/>
    <m/>
    <m/>
    <m/>
    <m/>
    <m/>
    <x v="0"/>
    <x v="0"/>
    <x v="0"/>
    <x v="13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s v="SP"/>
    <m/>
    <s v="CP SP "/>
    <x v="0"/>
    <x v="1"/>
    <m/>
    <x v="14"/>
  </r>
  <r>
    <n v="2145"/>
    <x v="26"/>
    <x v="26"/>
    <x v="22"/>
    <x v="4"/>
    <x v="8"/>
    <n v="2088"/>
    <x v="1"/>
    <m/>
    <m/>
    <s v="Supplier"/>
    <m/>
    <x v="160"/>
    <s v="CAMEWOULD Supplier Evaluation Form Apr 2013.xlsx"/>
    <s v=".xlsx"/>
    <d v="2014-04-14T00:00:00"/>
    <s v="as\afok"/>
    <m/>
    <s v="2013"/>
    <m/>
    <m/>
    <m/>
    <m/>
    <m/>
    <x v="0"/>
    <x v="0"/>
    <x v="0"/>
    <x v="23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s v="SP"/>
    <m/>
    <s v="CP SP "/>
    <x v="0"/>
    <x v="1"/>
    <m/>
    <x v="14"/>
  </r>
  <r>
    <n v="2143"/>
    <x v="26"/>
    <x v="26"/>
    <x v="22"/>
    <x v="4"/>
    <x v="8"/>
    <n v="2086"/>
    <x v="2"/>
    <m/>
    <m/>
    <s v="Supplier"/>
    <m/>
    <x v="161"/>
    <s v="Camewould_SIF2013.xlsx"/>
    <s v=".xlsx"/>
    <d v="2014-04-14T00:00:00"/>
    <s v="as\afok"/>
    <m/>
    <s v="2013"/>
    <m/>
    <m/>
    <m/>
    <m/>
    <m/>
    <x v="0"/>
    <x v="0"/>
    <x v="0"/>
    <x v="0"/>
    <x v="2"/>
    <x v="25"/>
    <x v="29"/>
    <x v="27"/>
    <x v="25"/>
    <x v="23"/>
    <x v="0"/>
    <x v="20"/>
    <x v="18"/>
    <x v="16"/>
    <x v="14"/>
    <s v="CP Panel"/>
    <x v="0"/>
    <x v="0"/>
    <x v="1"/>
    <x v="3"/>
    <m/>
    <m/>
    <m/>
    <n v="1"/>
    <m/>
    <m/>
    <m/>
    <s v="CP"/>
    <s v="SP"/>
    <m/>
    <s v="CP SP "/>
    <x v="2"/>
    <x v="1"/>
    <m/>
    <x v="14"/>
  </r>
  <r>
    <n v="2152"/>
    <x v="26"/>
    <x v="26"/>
    <x v="22"/>
    <x v="4"/>
    <x v="8"/>
    <n v="2095"/>
    <x v="2"/>
    <n v="1"/>
    <m/>
    <s v="Supplier"/>
    <m/>
    <x v="140"/>
    <s v="Camewould_SIF2012_23APR12.xlsx"/>
    <s v=".xlsx"/>
    <d v="2014-04-14T00:00:00"/>
    <s v="as\afok"/>
    <m/>
    <s v="2012"/>
    <m/>
    <m/>
    <m/>
    <m/>
    <m/>
    <x v="0"/>
    <x v="0"/>
    <x v="0"/>
    <x v="0"/>
    <x v="1"/>
    <x v="26"/>
    <x v="30"/>
    <x v="28"/>
    <x v="26"/>
    <x v="24"/>
    <x v="12"/>
    <x v="21"/>
    <x v="19"/>
    <x v="17"/>
    <x v="15"/>
    <s v="CP Panel"/>
    <x v="0"/>
    <x v="0"/>
    <x v="1"/>
    <x v="3"/>
    <m/>
    <m/>
    <m/>
    <n v="1"/>
    <m/>
    <m/>
    <m/>
    <s v="CP"/>
    <s v="SP"/>
    <m/>
    <s v="CP SP "/>
    <x v="2"/>
    <x v="1"/>
    <m/>
    <x v="14"/>
  </r>
  <r>
    <n v="2146"/>
    <x v="26"/>
    <x v="26"/>
    <x v="22"/>
    <x v="4"/>
    <x v="8"/>
    <n v="2089"/>
    <x v="3"/>
    <m/>
    <m/>
    <s v="Supplier"/>
    <m/>
    <x v="162"/>
    <s v="SPR Camewould 24 May 2013.pptx"/>
    <s v=".pptx"/>
    <d v="2014-04-14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s v="SP"/>
    <m/>
    <s v="CP SP "/>
    <x v="0"/>
    <x v="1"/>
    <m/>
    <x v="14"/>
  </r>
  <r>
    <n v="2157"/>
    <x v="27"/>
    <x v="27"/>
    <x v="23"/>
    <x v="4"/>
    <x v="8"/>
    <n v="2100"/>
    <x v="4"/>
    <m/>
    <m/>
    <s v="Supplier"/>
    <m/>
    <x v="163"/>
    <s v="Agreement_CCI_MAR12.pdf"/>
    <s v=".pdf"/>
    <d v="2014-04-14T00:00:00"/>
    <s v="as\afok"/>
    <m/>
    <s v="V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m/>
    <m/>
    <m/>
    <s v="CP"/>
    <m/>
    <m/>
    <s v="CP "/>
    <x v="0"/>
    <x v="1"/>
    <m/>
    <x v="15"/>
  </r>
  <r>
    <n v="2162"/>
    <x v="27"/>
    <x v="27"/>
    <x v="23"/>
    <x v="4"/>
    <x v="8"/>
    <n v="2105"/>
    <x v="4"/>
    <m/>
    <m/>
    <s v="Supplier"/>
    <m/>
    <x v="153"/>
    <s v="Agreement_CCI_Revised_Sep2012.pdf"/>
    <s v=".pdf"/>
    <d v="2014-04-14T00:00:00"/>
    <s v="as\afok"/>
    <m/>
    <m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m/>
    <m/>
    <m/>
    <s v="CP"/>
    <m/>
    <m/>
    <s v="CP "/>
    <x v="0"/>
    <x v="1"/>
    <m/>
    <x v="15"/>
  </r>
  <r>
    <n v="2168"/>
    <x v="27"/>
    <x v="27"/>
    <x v="23"/>
    <x v="4"/>
    <x v="8"/>
    <n v="2111"/>
    <x v="4"/>
    <m/>
    <m/>
    <s v="Supplier"/>
    <m/>
    <x v="132"/>
    <s v="CCI_SupplyAgreementV8_2013.pdf"/>
    <s v=".pdf"/>
    <d v="2014-04-14T00:00:00"/>
    <s v="as\afok"/>
    <m/>
    <s v="V8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n v="1"/>
    <m/>
    <m/>
    <s v="CP"/>
    <m/>
    <m/>
    <s v="CP "/>
    <x v="0"/>
    <x v="1"/>
    <m/>
    <x v="15"/>
  </r>
  <r>
    <n v="2159"/>
    <x v="27"/>
    <x v="27"/>
    <x v="23"/>
    <x v="4"/>
    <x v="8"/>
    <n v="2102"/>
    <x v="5"/>
    <m/>
    <m/>
    <s v="Supplier"/>
    <m/>
    <x v="163"/>
    <s v="Agreement_CCI_MAR12.pdf"/>
    <s v=".pdf"/>
    <d v="2014-04-14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n v="1"/>
    <m/>
    <n v="1"/>
    <m/>
    <m/>
    <m/>
    <s v="CP"/>
    <m/>
    <m/>
    <s v="CP "/>
    <x v="0"/>
    <x v="1"/>
    <m/>
    <x v="15"/>
  </r>
  <r>
    <n v="2160"/>
    <x v="27"/>
    <x v="27"/>
    <x v="23"/>
    <x v="4"/>
    <x v="8"/>
    <n v="2103"/>
    <x v="6"/>
    <m/>
    <m/>
    <s v="Supplier"/>
    <m/>
    <x v="163"/>
    <s v="Agreement_CCI_MAR12.pdf"/>
    <s v=".pdf"/>
    <d v="2014-04-14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n v="1"/>
    <n v="1"/>
    <m/>
    <m/>
    <m/>
    <s v="CP"/>
    <m/>
    <m/>
    <s v="CP "/>
    <x v="0"/>
    <x v="1"/>
    <m/>
    <x v="15"/>
  </r>
  <r>
    <n v="2167"/>
    <x v="27"/>
    <x v="27"/>
    <x v="23"/>
    <x v="4"/>
    <x v="8"/>
    <n v="2110"/>
    <x v="6"/>
    <m/>
    <m/>
    <s v="Supplier"/>
    <m/>
    <x v="164"/>
    <s v="CCI_SupplyChainAppendix_V10-Oct-2013.pdf"/>
    <s v=".pdf"/>
    <d v="2014-04-14T00:00:00"/>
    <s v="as\afok"/>
    <m/>
    <s v="V10"/>
    <m/>
    <n v="40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n v="1"/>
    <n v="1"/>
    <m/>
    <m/>
    <m/>
    <s v="CP"/>
    <m/>
    <m/>
    <s v="CP "/>
    <x v="0"/>
    <x v="1"/>
    <m/>
    <x v="15"/>
  </r>
  <r>
    <n v="2161"/>
    <x v="27"/>
    <x v="27"/>
    <x v="23"/>
    <x v="4"/>
    <x v="8"/>
    <n v="2104"/>
    <x v="10"/>
    <m/>
    <m/>
    <s v="Supplier"/>
    <m/>
    <x v="165"/>
    <s v="Agreement_CCI_MAR12.pdf"/>
    <s v=".pdf"/>
    <d v="2014-04-1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15"/>
  </r>
  <r>
    <n v="2158"/>
    <x v="27"/>
    <x v="27"/>
    <x v="23"/>
    <x v="4"/>
    <x v="8"/>
    <n v="2101"/>
    <x v="7"/>
    <m/>
    <m/>
    <s v="Supplier"/>
    <m/>
    <x v="163"/>
    <s v="Agreement_CCI_MAR12.pdf"/>
    <s v=".pdf"/>
    <d v="2014-04-14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15"/>
  </r>
  <r>
    <n v="2163"/>
    <x v="27"/>
    <x v="27"/>
    <x v="23"/>
    <x v="4"/>
    <x v="8"/>
    <n v="2106"/>
    <x v="14"/>
    <m/>
    <m/>
    <s v="Supplier"/>
    <d v="2013-06-18T00:00:00"/>
    <x v="166"/>
    <s v="CCI_ISO9001_19Jun2010.pdf"/>
    <s v=".pdf"/>
    <d v="2014-04-1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15"/>
  </r>
  <r>
    <n v="2155"/>
    <x v="27"/>
    <x v="27"/>
    <x v="23"/>
    <x v="4"/>
    <x v="8"/>
    <n v="2098"/>
    <x v="9"/>
    <m/>
    <m/>
    <s v="Supplier"/>
    <m/>
    <x v="167"/>
    <s v="Letter of Confidentiality - CCI.pdf"/>
    <s v=".pdf"/>
    <d v="2014-04-1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15"/>
  </r>
  <r>
    <n v="2164"/>
    <x v="27"/>
    <x v="27"/>
    <x v="23"/>
    <x v="4"/>
    <x v="8"/>
    <n v="2107"/>
    <x v="8"/>
    <m/>
    <m/>
    <s v="Supplier"/>
    <m/>
    <x v="8"/>
    <s v="CCI_Responsible_Purchasing_Charter_08Aug12.pdf"/>
    <s v=".pdf"/>
    <d v="2014-04-1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15"/>
  </r>
  <r>
    <n v="2154"/>
    <x v="27"/>
    <x v="27"/>
    <x v="23"/>
    <x v="4"/>
    <x v="8"/>
    <n v="2097"/>
    <x v="1"/>
    <m/>
    <m/>
    <s v="Supplier"/>
    <m/>
    <x v="168"/>
    <s v="CCI_Supplier_Evaluation_May_2012.xlsx"/>
    <s v=".xlsx"/>
    <d v="2014-04-14T00:00:00"/>
    <s v="as\afok"/>
    <m/>
    <s v="2012"/>
    <m/>
    <m/>
    <m/>
    <m/>
    <m/>
    <x v="0"/>
    <x v="0"/>
    <x v="0"/>
    <x v="14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15"/>
  </r>
  <r>
    <n v="2153"/>
    <x v="27"/>
    <x v="27"/>
    <x v="23"/>
    <x v="4"/>
    <x v="8"/>
    <n v="2096"/>
    <x v="2"/>
    <m/>
    <m/>
    <s v="Supplier"/>
    <m/>
    <x v="48"/>
    <s v="CCI_SIF2012_20APR12.xlsx"/>
    <s v=".xlsx"/>
    <d v="2014-04-14T00:00:00"/>
    <s v="as\afok"/>
    <m/>
    <s v="2012"/>
    <m/>
    <m/>
    <m/>
    <m/>
    <m/>
    <x v="0"/>
    <x v="0"/>
    <x v="0"/>
    <x v="0"/>
    <x v="1"/>
    <x v="27"/>
    <x v="15"/>
    <x v="29"/>
    <x v="27"/>
    <x v="25"/>
    <x v="13"/>
    <x v="22"/>
    <x v="20"/>
    <x v="14"/>
    <x v="16"/>
    <s v="CP Panel"/>
    <x v="0"/>
    <x v="0"/>
    <x v="1"/>
    <x v="3"/>
    <m/>
    <m/>
    <m/>
    <n v="1"/>
    <m/>
    <m/>
    <m/>
    <s v="CP"/>
    <m/>
    <m/>
    <s v="CP "/>
    <x v="2"/>
    <x v="1"/>
    <m/>
    <x v="15"/>
  </r>
  <r>
    <n v="2165"/>
    <x v="27"/>
    <x v="27"/>
    <x v="23"/>
    <x v="4"/>
    <x v="8"/>
    <n v="2108"/>
    <x v="2"/>
    <m/>
    <m/>
    <s v="Supplier"/>
    <m/>
    <x v="169"/>
    <s v="CCI_SIF2013.xlsx"/>
    <s v=".xlsx"/>
    <d v="2014-04-14T00:00:00"/>
    <s v="as\afok"/>
    <m/>
    <s v="2013"/>
    <m/>
    <m/>
    <m/>
    <m/>
    <m/>
    <x v="0"/>
    <x v="0"/>
    <x v="0"/>
    <x v="0"/>
    <x v="2"/>
    <x v="28"/>
    <x v="31"/>
    <x v="30"/>
    <x v="28"/>
    <x v="26"/>
    <x v="14"/>
    <x v="23"/>
    <x v="21"/>
    <x v="18"/>
    <x v="17"/>
    <s v="CP Panel"/>
    <x v="0"/>
    <x v="0"/>
    <x v="1"/>
    <x v="3"/>
    <m/>
    <m/>
    <m/>
    <n v="1"/>
    <m/>
    <m/>
    <m/>
    <s v="CP"/>
    <m/>
    <m/>
    <s v="CP "/>
    <x v="2"/>
    <x v="1"/>
    <m/>
    <x v="15"/>
  </r>
  <r>
    <n v="2156"/>
    <x v="27"/>
    <x v="27"/>
    <x v="23"/>
    <x v="4"/>
    <x v="8"/>
    <n v="2099"/>
    <x v="3"/>
    <m/>
    <m/>
    <s v="Supplier"/>
    <m/>
    <x v="168"/>
    <s v="CCI_SPR_08May12.pptx"/>
    <s v=".pptx"/>
    <d v="2014-04-14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15"/>
  </r>
  <r>
    <n v="2166"/>
    <x v="27"/>
    <x v="27"/>
    <x v="23"/>
    <x v="4"/>
    <x v="8"/>
    <n v="2109"/>
    <x v="3"/>
    <m/>
    <m/>
    <s v="Supplier"/>
    <m/>
    <x v="170"/>
    <s v="SPR_CCI_20131024.pptx"/>
    <s v=".pptx"/>
    <d v="2014-04-14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15"/>
  </r>
  <r>
    <n v="972"/>
    <x v="28"/>
    <x v="28"/>
    <x v="24"/>
    <x v="1"/>
    <x v="11"/>
    <n v="949"/>
    <x v="4"/>
    <m/>
    <m/>
    <s v="Supplier"/>
    <m/>
    <x v="171"/>
    <s v="Chaus_General Agreement_V7.pdf"/>
    <s v=".pdf"/>
    <d v="2014-03-24T00:00:00"/>
    <s v="as\afok"/>
    <m/>
    <s v="V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m/>
    <m/>
    <m/>
    <s v="CP"/>
    <m/>
    <m/>
    <s v="CP "/>
    <x v="0"/>
    <x v="1"/>
    <m/>
    <x v="16"/>
  </r>
  <r>
    <n v="975"/>
    <x v="28"/>
    <x v="28"/>
    <x v="24"/>
    <x v="1"/>
    <x v="11"/>
    <n v="952"/>
    <x v="5"/>
    <m/>
    <m/>
    <s v="Supplier"/>
    <m/>
    <x v="172"/>
    <s v="Chaus_General Agreement_V7.pdf"/>
    <s v=".pdf"/>
    <d v="2014-03-24T00:00:00"/>
    <s v="as\afok"/>
    <m/>
    <s v="V4"/>
    <m/>
    <m/>
    <m/>
    <n v="10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n v="1"/>
    <m/>
    <n v="1"/>
    <m/>
    <m/>
    <m/>
    <s v="CP"/>
    <m/>
    <m/>
    <s v="CP "/>
    <x v="0"/>
    <x v="1"/>
    <m/>
    <x v="16"/>
  </r>
  <r>
    <n v="974"/>
    <x v="28"/>
    <x v="28"/>
    <x v="24"/>
    <x v="1"/>
    <x v="11"/>
    <n v="951"/>
    <x v="6"/>
    <m/>
    <m/>
    <s v="Supplier"/>
    <m/>
    <x v="171"/>
    <s v="Chaus_General Agreement_V7.pdf"/>
    <s v=".pdf"/>
    <d v="2014-03-24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n v="1"/>
    <n v="1"/>
    <m/>
    <m/>
    <m/>
    <s v="CP"/>
    <m/>
    <m/>
    <s v="CP "/>
    <x v="0"/>
    <x v="1"/>
    <m/>
    <x v="16"/>
  </r>
  <r>
    <n v="976"/>
    <x v="28"/>
    <x v="28"/>
    <x v="24"/>
    <x v="1"/>
    <x v="11"/>
    <n v="953"/>
    <x v="10"/>
    <m/>
    <m/>
    <s v="Supplier"/>
    <m/>
    <x v="173"/>
    <s v="Chaus_General Agreement_V7.pdf"/>
    <s v=".pdf"/>
    <d v="2014-03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16"/>
  </r>
  <r>
    <n v="973"/>
    <x v="28"/>
    <x v="28"/>
    <x v="24"/>
    <x v="1"/>
    <x v="11"/>
    <n v="950"/>
    <x v="7"/>
    <m/>
    <m/>
    <s v="Supplier"/>
    <m/>
    <x v="171"/>
    <s v="Chaus_General Agreement_V7.pdf"/>
    <s v=".pdf"/>
    <d v="2014-03-24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16"/>
  </r>
  <r>
    <n v="977"/>
    <x v="28"/>
    <x v="28"/>
    <x v="24"/>
    <x v="1"/>
    <x v="11"/>
    <n v="954"/>
    <x v="13"/>
    <m/>
    <m/>
    <s v="Supplier"/>
    <d v="2012-11-26T00:00:00"/>
    <x v="174"/>
    <s v="Chau's_IS14001_16Dec2012.pdf"/>
    <s v=".pdf"/>
    <d v="2014-03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16"/>
  </r>
  <r>
    <n v="983"/>
    <x v="28"/>
    <x v="28"/>
    <x v="24"/>
    <x v="1"/>
    <x v="11"/>
    <n v="960"/>
    <x v="13"/>
    <m/>
    <m/>
    <s v="Supplier"/>
    <d v="2012-11-26T00:00:00"/>
    <x v="174"/>
    <s v="Chaus_ISO14001_2012.pdf"/>
    <s v=".pdf"/>
    <d v="2014-03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16"/>
  </r>
  <r>
    <n v="984"/>
    <x v="28"/>
    <x v="28"/>
    <x v="24"/>
    <x v="1"/>
    <x v="11"/>
    <n v="961"/>
    <x v="9"/>
    <m/>
    <m/>
    <s v="Supplier"/>
    <m/>
    <x v="175"/>
    <s v="LOC_CHAU'S_2011.pdf"/>
    <s v=".pdf"/>
    <d v="2014-03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n v="1"/>
    <m/>
    <m/>
    <s v="CP"/>
    <m/>
    <m/>
    <s v="CP "/>
    <x v="0"/>
    <x v="1"/>
    <m/>
    <x v="16"/>
  </r>
  <r>
    <n v="979"/>
    <x v="28"/>
    <x v="28"/>
    <x v="24"/>
    <x v="1"/>
    <x v="11"/>
    <n v="956"/>
    <x v="8"/>
    <m/>
    <m/>
    <s v="Supplier"/>
    <m/>
    <x v="176"/>
    <s v="Chaus_Responsible Purchasing Charter_17Aug12.pdf"/>
    <s v=".pdf"/>
    <d v="2014-03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16"/>
  </r>
  <r>
    <n v="981"/>
    <x v="28"/>
    <x v="28"/>
    <x v="24"/>
    <x v="1"/>
    <x v="11"/>
    <n v="958"/>
    <x v="1"/>
    <m/>
    <m/>
    <s v="Supplier"/>
    <m/>
    <x v="145"/>
    <s v="Chaus_SEF_2012.xls"/>
    <s v=".xls"/>
    <d v="2014-03-24T00:00:00"/>
    <s v="as\afok"/>
    <m/>
    <s v="2012"/>
    <m/>
    <m/>
    <m/>
    <m/>
    <m/>
    <x v="0"/>
    <x v="0"/>
    <x v="0"/>
    <x v="23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16"/>
  </r>
  <r>
    <n v="970"/>
    <x v="28"/>
    <x v="28"/>
    <x v="24"/>
    <x v="1"/>
    <x v="11"/>
    <n v="947"/>
    <x v="1"/>
    <m/>
    <m/>
    <s v="Supplier"/>
    <m/>
    <x v="177"/>
    <s v="Chaus_SEF_2013-1.xls"/>
    <s v=".xls"/>
    <d v="2014-03-24T00:00:00"/>
    <s v="as\afok"/>
    <m/>
    <s v="2013"/>
    <m/>
    <m/>
    <m/>
    <m/>
    <m/>
    <x v="0"/>
    <x v="0"/>
    <x v="0"/>
    <x v="24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16"/>
  </r>
  <r>
    <n v="982"/>
    <x v="28"/>
    <x v="28"/>
    <x v="24"/>
    <x v="1"/>
    <x v="11"/>
    <n v="959"/>
    <x v="2"/>
    <m/>
    <m/>
    <s v="Supplier"/>
    <m/>
    <x v="178"/>
    <s v="Chau's_SIF2012_2Mar12.xls"/>
    <s v=".xls"/>
    <d v="2014-03-24T00:00:00"/>
    <s v="as\afok"/>
    <m/>
    <s v="2012"/>
    <m/>
    <m/>
    <m/>
    <m/>
    <m/>
    <x v="0"/>
    <x v="0"/>
    <x v="0"/>
    <x v="0"/>
    <x v="5"/>
    <x v="29"/>
    <x v="32"/>
    <x v="31"/>
    <x v="29"/>
    <x v="27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2"/>
    <x v="1"/>
    <m/>
    <x v="16"/>
  </r>
  <r>
    <n v="971"/>
    <x v="28"/>
    <x v="28"/>
    <x v="24"/>
    <x v="1"/>
    <x v="11"/>
    <n v="948"/>
    <x v="2"/>
    <n v="1"/>
    <m/>
    <s v="Supplier"/>
    <m/>
    <x v="179"/>
    <s v="Chaus_SIF 2013.xls"/>
    <s v=".xls"/>
    <d v="2014-03-24T00:00:00"/>
    <s v="as\afok"/>
    <m/>
    <s v="2013"/>
    <m/>
    <m/>
    <m/>
    <m/>
    <m/>
    <x v="0"/>
    <x v="0"/>
    <x v="0"/>
    <x v="0"/>
    <x v="2"/>
    <x v="30"/>
    <x v="33"/>
    <x v="32"/>
    <x v="30"/>
    <x v="28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2"/>
    <x v="1"/>
    <m/>
    <x v="16"/>
  </r>
  <r>
    <n v="969"/>
    <x v="28"/>
    <x v="28"/>
    <x v="24"/>
    <x v="1"/>
    <x v="11"/>
    <n v="946"/>
    <x v="3"/>
    <m/>
    <m/>
    <s v="Supplier"/>
    <m/>
    <x v="180"/>
    <s v="Chaus_SPR_2013_05.pptx"/>
    <s v=".pptx"/>
    <d v="2014-03-24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16"/>
  </r>
  <r>
    <n v="980"/>
    <x v="28"/>
    <x v="28"/>
    <x v="24"/>
    <x v="1"/>
    <x v="11"/>
    <n v="957"/>
    <x v="3"/>
    <m/>
    <m/>
    <s v="Supplier"/>
    <m/>
    <x v="153"/>
    <s v="Chaus_SPR_Sept 2012 (revised).pptx"/>
    <s v=".pptx"/>
    <d v="2014-03-24T00:00:00"/>
    <s v="as\afok"/>
    <s v="Revised"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16"/>
  </r>
  <r>
    <n v="978"/>
    <x v="28"/>
    <x v="28"/>
    <x v="24"/>
    <x v="1"/>
    <x v="11"/>
    <n v="955"/>
    <x v="3"/>
    <m/>
    <m/>
    <s v="Supplier"/>
    <m/>
    <x v="153"/>
    <s v="Chaus_SPR_SSept 2012.pptx"/>
    <s v=".pptx"/>
    <d v="2014-03-24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16"/>
  </r>
  <r>
    <n v="1985"/>
    <x v="29"/>
    <x v="29"/>
    <x v="25"/>
    <x v="4"/>
    <x v="14"/>
    <n v="1936"/>
    <x v="6"/>
    <m/>
    <m/>
    <s v="Supplier"/>
    <m/>
    <x v="181"/>
    <s v="SupplyChain_Appendix_V10_Cheuk_Kit_19Aug2013.pdf"/>
    <s v=".pdf"/>
    <d v="2014-04-10T00:00:00"/>
    <s v="as\afok"/>
    <m/>
    <s v="V10"/>
    <m/>
    <n v="40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n v="1"/>
    <n v="0"/>
    <m/>
    <n v="1"/>
    <m/>
    <s v="CP"/>
    <m/>
    <m/>
    <s v="CP "/>
    <x v="0"/>
    <x v="1"/>
    <m/>
    <x v="6"/>
  </r>
  <r>
    <n v="1978"/>
    <x v="29"/>
    <x v="29"/>
    <x v="25"/>
    <x v="4"/>
    <x v="14"/>
    <n v="1929"/>
    <x v="14"/>
    <m/>
    <m/>
    <s v="Supplier"/>
    <d v="2012-08-09T00:00:00"/>
    <x v="182"/>
    <s v="Mingjie Plastic_ISO_9001.jpg"/>
    <s v=".jpg"/>
    <d v="2014-04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0"/>
    <m/>
    <m/>
    <m/>
    <s v="CP"/>
    <m/>
    <m/>
    <s v="CP "/>
    <x v="0"/>
    <x v="1"/>
    <m/>
    <x v="6"/>
  </r>
  <r>
    <n v="1977"/>
    <x v="29"/>
    <x v="29"/>
    <x v="25"/>
    <x v="4"/>
    <x v="14"/>
    <n v="1928"/>
    <x v="9"/>
    <m/>
    <m/>
    <s v="Product / Project"/>
    <m/>
    <x v="183"/>
    <s v="LOC_Cheuk_Kit(project Nara).pdf"/>
    <s v=".pdf"/>
    <d v="2014-04-10T00:00:00"/>
    <s v="as\afok"/>
    <m/>
    <m/>
    <m/>
    <m/>
    <m/>
    <m/>
    <s v="Nara"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0"/>
    <m/>
    <m/>
    <m/>
    <s v="CP"/>
    <m/>
    <m/>
    <s v="CP "/>
    <x v="0"/>
    <x v="1"/>
    <m/>
    <x v="6"/>
  </r>
  <r>
    <n v="1976"/>
    <x v="29"/>
    <x v="29"/>
    <x v="25"/>
    <x v="4"/>
    <x v="14"/>
    <n v="1927"/>
    <x v="9"/>
    <m/>
    <m/>
    <s v="Supplier"/>
    <m/>
    <x v="184"/>
    <s v="LOC_Cheuk kit Industrial (HK) Limited.jpg"/>
    <s v=".jpg"/>
    <d v="2014-04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0"/>
    <m/>
    <m/>
    <m/>
    <s v="CP"/>
    <m/>
    <m/>
    <s v="CP "/>
    <x v="0"/>
    <x v="1"/>
    <m/>
    <x v="6"/>
  </r>
  <r>
    <n v="1982"/>
    <x v="29"/>
    <x v="29"/>
    <x v="25"/>
    <x v="4"/>
    <x v="14"/>
    <n v="1933"/>
    <x v="8"/>
    <m/>
    <m/>
    <s v="Supplier"/>
    <m/>
    <x v="19"/>
    <s v="Mingjie_Responsible_Purchasing_Charter_07Aug12.pdf"/>
    <s v=".pdf"/>
    <d v="2014-04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0"/>
    <m/>
    <m/>
    <m/>
    <s v="CP"/>
    <m/>
    <m/>
    <s v="CP "/>
    <x v="0"/>
    <x v="1"/>
    <m/>
    <x v="6"/>
  </r>
  <r>
    <n v="1984"/>
    <x v="29"/>
    <x v="29"/>
    <x v="25"/>
    <x v="4"/>
    <x v="14"/>
    <n v="1935"/>
    <x v="8"/>
    <m/>
    <m/>
    <s v="Supplier"/>
    <m/>
    <x v="185"/>
    <s v="Cheuk_Kit_Responsible_Purchasing_Charter_27Feb13.tif"/>
    <s v=".tif"/>
    <d v="2014-04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0"/>
    <m/>
    <m/>
    <m/>
    <s v="CP"/>
    <m/>
    <m/>
    <s v="CP "/>
    <x v="0"/>
    <x v="1"/>
    <m/>
    <x v="6"/>
  </r>
  <r>
    <n v="1981"/>
    <x v="29"/>
    <x v="29"/>
    <x v="25"/>
    <x v="4"/>
    <x v="14"/>
    <n v="1932"/>
    <x v="1"/>
    <m/>
    <m/>
    <s v="Supplier"/>
    <m/>
    <x v="47"/>
    <s v="Mingjie_SEF_July12-82.xlsx"/>
    <s v=".xlsx"/>
    <d v="2014-04-10T00:00:00"/>
    <s v="as\afok"/>
    <m/>
    <s v="2012"/>
    <m/>
    <m/>
    <m/>
    <m/>
    <m/>
    <x v="0"/>
    <x v="0"/>
    <x v="0"/>
    <x v="17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0"/>
    <m/>
    <m/>
    <m/>
    <s v="CP"/>
    <m/>
    <m/>
    <s v="CP "/>
    <x v="0"/>
    <x v="1"/>
    <m/>
    <x v="6"/>
  </r>
  <r>
    <n v="1979"/>
    <x v="29"/>
    <x v="29"/>
    <x v="25"/>
    <x v="4"/>
    <x v="14"/>
    <n v="1930"/>
    <x v="2"/>
    <m/>
    <m/>
    <s v="Supplier"/>
    <m/>
    <x v="186"/>
    <s v="MingJie_SIF2012_17Apr12.xls"/>
    <s v=".xls"/>
    <d v="2014-04-10T00:00:00"/>
    <s v="as\afok"/>
    <m/>
    <s v="2012"/>
    <m/>
    <m/>
    <m/>
    <m/>
    <m/>
    <x v="0"/>
    <x v="0"/>
    <x v="0"/>
    <x v="0"/>
    <x v="1"/>
    <x v="31"/>
    <x v="34"/>
    <x v="33"/>
    <x v="31"/>
    <x v="29"/>
    <x v="5"/>
    <x v="24"/>
    <x v="22"/>
    <x v="6"/>
    <x v="9"/>
    <s v="CP Panel"/>
    <x v="0"/>
    <x v="0"/>
    <x v="1"/>
    <x v="3"/>
    <m/>
    <m/>
    <m/>
    <n v="0"/>
    <m/>
    <m/>
    <m/>
    <s v="CP"/>
    <m/>
    <m/>
    <s v="CP "/>
    <x v="2"/>
    <x v="1"/>
    <m/>
    <x v="6"/>
  </r>
  <r>
    <n v="1983"/>
    <x v="29"/>
    <x v="29"/>
    <x v="25"/>
    <x v="4"/>
    <x v="14"/>
    <n v="1934"/>
    <x v="2"/>
    <m/>
    <m/>
    <s v="Supplier"/>
    <m/>
    <x v="187"/>
    <s v="Mingjie_SIF2013.xls"/>
    <s v=".xls"/>
    <d v="2014-04-10T00:00:00"/>
    <s v="as\afok"/>
    <m/>
    <s v="2013"/>
    <m/>
    <m/>
    <m/>
    <m/>
    <m/>
    <x v="0"/>
    <x v="0"/>
    <x v="0"/>
    <x v="0"/>
    <x v="2"/>
    <x v="31"/>
    <x v="34"/>
    <x v="33"/>
    <x v="31"/>
    <x v="29"/>
    <x v="5"/>
    <x v="24"/>
    <x v="22"/>
    <x v="6"/>
    <x v="9"/>
    <s v="CP Panel"/>
    <x v="0"/>
    <x v="0"/>
    <x v="1"/>
    <x v="3"/>
    <m/>
    <m/>
    <m/>
    <n v="0"/>
    <m/>
    <m/>
    <m/>
    <s v="CP"/>
    <m/>
    <m/>
    <s v="CP "/>
    <x v="2"/>
    <x v="1"/>
    <m/>
    <x v="6"/>
  </r>
  <r>
    <n v="1980"/>
    <x v="29"/>
    <x v="29"/>
    <x v="25"/>
    <x v="4"/>
    <x v="14"/>
    <n v="1931"/>
    <x v="3"/>
    <m/>
    <m/>
    <s v="Supplier"/>
    <m/>
    <x v="47"/>
    <s v="Mingjie_SPR_July2012.pptx"/>
    <s v=".pptx"/>
    <d v="2014-04-10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0"/>
    <m/>
    <m/>
    <m/>
    <s v="CP"/>
    <m/>
    <m/>
    <s v="CP "/>
    <x v="0"/>
    <x v="1"/>
    <m/>
    <x v="6"/>
  </r>
  <r>
    <n v="986"/>
    <x v="30"/>
    <x v="30"/>
    <x v="26"/>
    <x v="1"/>
    <x v="11"/>
    <n v="963"/>
    <x v="4"/>
    <m/>
    <m/>
    <s v="Supplier"/>
    <m/>
    <x v="188"/>
    <s v="Chi_Fung_General Agreement_V7.pdf"/>
    <s v=".pdf"/>
    <d v="2014-03-24T00:00:00"/>
    <s v="as\afok"/>
    <m/>
    <s v="V7"/>
    <s v="37D6 - Within 60 days Due net on posting date 37D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m/>
    <s v="CP"/>
    <m/>
    <m/>
    <s v="CP "/>
    <x v="0"/>
    <x v="1"/>
    <m/>
    <x v="8"/>
  </r>
  <r>
    <n v="988"/>
    <x v="30"/>
    <x v="30"/>
    <x v="26"/>
    <x v="1"/>
    <x v="11"/>
    <n v="965"/>
    <x v="5"/>
    <m/>
    <m/>
    <s v="Supplier"/>
    <m/>
    <x v="189"/>
    <s v="Chi_Fung_General Agreement_V7.pdf"/>
    <s v=".pdf"/>
    <d v="2014-03-24T00:00:00"/>
    <s v="as\afok"/>
    <m/>
    <s v="V4"/>
    <m/>
    <m/>
    <m/>
    <n v="10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m/>
    <s v="CP"/>
    <m/>
    <m/>
    <s v="CP "/>
    <x v="0"/>
    <x v="1"/>
    <m/>
    <x v="8"/>
  </r>
  <r>
    <n v="989"/>
    <x v="30"/>
    <x v="30"/>
    <x v="26"/>
    <x v="1"/>
    <x v="11"/>
    <n v="966"/>
    <x v="6"/>
    <m/>
    <m/>
    <s v="Supplier"/>
    <m/>
    <x v="97"/>
    <s v="Chi_Fung_General Agreement_V7.pdf"/>
    <s v=".pdf"/>
    <d v="2014-03-24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m/>
    <s v="CP"/>
    <m/>
    <m/>
    <s v="CP "/>
    <x v="0"/>
    <x v="1"/>
    <m/>
    <x v="8"/>
  </r>
  <r>
    <n v="990"/>
    <x v="30"/>
    <x v="30"/>
    <x v="26"/>
    <x v="1"/>
    <x v="11"/>
    <n v="967"/>
    <x v="10"/>
    <m/>
    <m/>
    <s v="Supplier"/>
    <m/>
    <x v="105"/>
    <s v="Chi_Fung_General Agreement_V7.pdf"/>
    <s v=".pdf"/>
    <d v="2014-03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8"/>
  </r>
  <r>
    <n v="987"/>
    <x v="30"/>
    <x v="30"/>
    <x v="26"/>
    <x v="1"/>
    <x v="11"/>
    <n v="964"/>
    <x v="7"/>
    <m/>
    <m/>
    <s v="Supplier"/>
    <m/>
    <x v="188"/>
    <s v="Chi_Fung_General Agreement_V7.pdf"/>
    <s v=".pdf"/>
    <d v="2014-03-24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8"/>
  </r>
  <r>
    <n v="992"/>
    <x v="30"/>
    <x v="30"/>
    <x v="26"/>
    <x v="1"/>
    <x v="11"/>
    <n v="969"/>
    <x v="8"/>
    <m/>
    <m/>
    <s v="Supplier"/>
    <m/>
    <x v="35"/>
    <s v="Chi_Fung_Responsible_Purchasing_Charter_15Aug12.pdf"/>
    <s v=".pdf"/>
    <d v="2014-03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8"/>
  </r>
  <r>
    <n v="994"/>
    <x v="30"/>
    <x v="30"/>
    <x v="26"/>
    <x v="1"/>
    <x v="11"/>
    <n v="971"/>
    <x v="1"/>
    <m/>
    <m/>
    <s v="Supplier"/>
    <m/>
    <x v="30"/>
    <s v="Chi Fung_SEF_2012.xlsx"/>
    <s v=".xlsx"/>
    <d v="2014-03-24T00:00:00"/>
    <s v="as\afok"/>
    <m/>
    <s v="2012"/>
    <m/>
    <m/>
    <m/>
    <m/>
    <m/>
    <x v="0"/>
    <x v="0"/>
    <x v="0"/>
    <x v="25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8"/>
  </r>
  <r>
    <n v="985"/>
    <x v="30"/>
    <x v="30"/>
    <x v="26"/>
    <x v="1"/>
    <x v="11"/>
    <n v="962"/>
    <x v="1"/>
    <m/>
    <m/>
    <s v="Supplier"/>
    <m/>
    <x v="190"/>
    <s v="Chi Fung_SEF_2013-1.xlsx"/>
    <s v=".xlsx"/>
    <d v="2014-03-24T00:00:00"/>
    <s v="as\afok"/>
    <m/>
    <s v="2013"/>
    <m/>
    <m/>
    <m/>
    <m/>
    <m/>
    <x v="0"/>
    <x v="0"/>
    <x v="0"/>
    <x v="6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8"/>
  </r>
  <r>
    <n v="991"/>
    <x v="30"/>
    <x v="30"/>
    <x v="26"/>
    <x v="1"/>
    <x v="11"/>
    <n v="968"/>
    <x v="1"/>
    <m/>
    <m/>
    <s v="Supplier"/>
    <m/>
    <x v="112"/>
    <s v="Chi Fung_SEF_2012-2.xlsx"/>
    <s v=".xlsx"/>
    <d v="2014-03-24T00:00:00"/>
    <s v="as\afok"/>
    <m/>
    <s v="2012"/>
    <m/>
    <m/>
    <m/>
    <m/>
    <m/>
    <x v="0"/>
    <x v="0"/>
    <x v="0"/>
    <x v="17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8"/>
  </r>
  <r>
    <n v="995"/>
    <x v="30"/>
    <x v="30"/>
    <x v="26"/>
    <x v="1"/>
    <x v="11"/>
    <n v="972"/>
    <x v="2"/>
    <n v="1"/>
    <m/>
    <s v="Supplier"/>
    <m/>
    <x v="191"/>
    <s v="Chi Fung_SIF2012_2Mar12.xls"/>
    <s v=".xls"/>
    <d v="2014-03-24T00:00:00"/>
    <s v="as\afok"/>
    <m/>
    <s v="2012"/>
    <m/>
    <m/>
    <m/>
    <m/>
    <m/>
    <x v="0"/>
    <x v="0"/>
    <x v="0"/>
    <x v="0"/>
    <x v="1"/>
    <x v="0"/>
    <x v="0"/>
    <x v="0"/>
    <x v="0"/>
    <x v="0"/>
    <x v="0"/>
    <x v="25"/>
    <x v="23"/>
    <x v="19"/>
    <x v="18"/>
    <m/>
    <x v="0"/>
    <x v="0"/>
    <x v="0"/>
    <x v="0"/>
    <m/>
    <m/>
    <m/>
    <n v="1"/>
    <n v="1"/>
    <m/>
    <m/>
    <s v="CP"/>
    <m/>
    <m/>
    <s v="CP "/>
    <x v="2"/>
    <x v="1"/>
    <m/>
    <x v="8"/>
  </r>
  <r>
    <n v="993"/>
    <x v="30"/>
    <x v="30"/>
    <x v="26"/>
    <x v="1"/>
    <x v="11"/>
    <n v="970"/>
    <x v="2"/>
    <m/>
    <m/>
    <s v="Supplier"/>
    <m/>
    <x v="192"/>
    <s v="Chi_Fung_SIF 2013.xls"/>
    <s v=".xls"/>
    <d v="2014-03-24T00:00:00"/>
    <s v="as\afok"/>
    <m/>
    <s v="2013"/>
    <m/>
    <m/>
    <m/>
    <m/>
    <m/>
    <x v="0"/>
    <x v="0"/>
    <x v="0"/>
    <x v="0"/>
    <x v="2"/>
    <x v="0"/>
    <x v="35"/>
    <x v="4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2"/>
    <x v="1"/>
    <m/>
    <x v="8"/>
  </r>
  <r>
    <n v="812"/>
    <x v="31"/>
    <x v="31"/>
    <x v="27"/>
    <x v="1"/>
    <x v="1"/>
    <n v="790"/>
    <x v="13"/>
    <m/>
    <m/>
    <s v="Supplier"/>
    <d v="2010-08-06T00:00:00"/>
    <x v="193"/>
    <s v="CCL_ISO14001_20May2010.pdf"/>
    <s v=".pdf"/>
    <d v="2014-03-2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5"/>
    <m/>
    <m/>
    <m/>
    <n v="0"/>
    <m/>
    <m/>
    <m/>
    <s v="CP"/>
    <m/>
    <m/>
    <s v="CP "/>
    <x v="0"/>
    <x v="1"/>
    <m/>
    <x v="6"/>
  </r>
  <r>
    <n v="811"/>
    <x v="31"/>
    <x v="31"/>
    <x v="27"/>
    <x v="1"/>
    <x v="1"/>
    <n v="789"/>
    <x v="8"/>
    <m/>
    <m/>
    <s v="Supplier"/>
    <m/>
    <x v="116"/>
    <s v="ChiaPhua_Responsible Purchasing Charter_05sept2012.pdf"/>
    <s v=".pdf"/>
    <d v="2014-03-2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5"/>
    <m/>
    <m/>
    <m/>
    <n v="0"/>
    <m/>
    <m/>
    <m/>
    <s v="CP"/>
    <m/>
    <m/>
    <s v="CP "/>
    <x v="0"/>
    <x v="1"/>
    <m/>
    <x v="6"/>
  </r>
  <r>
    <n v="813"/>
    <x v="31"/>
    <x v="31"/>
    <x v="27"/>
    <x v="1"/>
    <x v="1"/>
    <n v="791"/>
    <x v="1"/>
    <m/>
    <m/>
    <s v="Supplier"/>
    <m/>
    <x v="10"/>
    <s v="CCL_SEF_2012.xlsx"/>
    <s v=".xlsx"/>
    <d v="2014-03-21T00:00:00"/>
    <s v="as\afok"/>
    <m/>
    <s v="2012"/>
    <m/>
    <m/>
    <m/>
    <m/>
    <m/>
    <x v="0"/>
    <x v="0"/>
    <x v="0"/>
    <x v="14"/>
    <x v="0"/>
    <x v="0"/>
    <x v="0"/>
    <x v="0"/>
    <x v="0"/>
    <x v="0"/>
    <x v="0"/>
    <x v="0"/>
    <x v="0"/>
    <x v="0"/>
    <x v="0"/>
    <s v="CP Panel"/>
    <x v="0"/>
    <x v="0"/>
    <x v="1"/>
    <x v="5"/>
    <m/>
    <m/>
    <m/>
    <n v="0"/>
    <m/>
    <n v="1"/>
    <m/>
    <s v="CP"/>
    <m/>
    <m/>
    <s v="CP "/>
    <x v="0"/>
    <x v="1"/>
    <m/>
    <x v="6"/>
  </r>
  <r>
    <n v="808"/>
    <x v="31"/>
    <x v="31"/>
    <x v="27"/>
    <x v="1"/>
    <x v="1"/>
    <n v="786"/>
    <x v="1"/>
    <m/>
    <m/>
    <s v="Supplier"/>
    <m/>
    <x v="9"/>
    <s v="CCL SEF 2013- Designer-20130601-94.xlsx"/>
    <s v=".xlsx"/>
    <d v="2014-03-21T00:00:00"/>
    <s v="as\afok"/>
    <m/>
    <s v="2013"/>
    <m/>
    <m/>
    <m/>
    <m/>
    <m/>
    <x v="0"/>
    <x v="0"/>
    <x v="0"/>
    <x v="26"/>
    <x v="0"/>
    <x v="0"/>
    <x v="0"/>
    <x v="0"/>
    <x v="0"/>
    <x v="0"/>
    <x v="0"/>
    <x v="0"/>
    <x v="0"/>
    <x v="0"/>
    <x v="0"/>
    <s v="CP Panel"/>
    <x v="0"/>
    <x v="0"/>
    <x v="1"/>
    <x v="5"/>
    <m/>
    <m/>
    <m/>
    <n v="0"/>
    <m/>
    <m/>
    <m/>
    <s v="CP"/>
    <m/>
    <m/>
    <s v="CP "/>
    <x v="0"/>
    <x v="1"/>
    <m/>
    <x v="6"/>
  </r>
  <r>
    <n v="809"/>
    <x v="31"/>
    <x v="31"/>
    <x v="27"/>
    <x v="1"/>
    <x v="1"/>
    <n v="787"/>
    <x v="2"/>
    <n v="1"/>
    <m/>
    <s v="Supplier"/>
    <m/>
    <x v="194"/>
    <s v="CCL_SIF 2013.xlsx"/>
    <s v=".xlsx"/>
    <d v="2014-03-21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5"/>
    <m/>
    <m/>
    <m/>
    <n v="0"/>
    <m/>
    <m/>
    <m/>
    <s v="CP"/>
    <m/>
    <m/>
    <s v="CP "/>
    <x v="2"/>
    <x v="1"/>
    <m/>
    <x v="6"/>
  </r>
  <r>
    <n v="810"/>
    <x v="31"/>
    <x v="31"/>
    <x v="27"/>
    <x v="1"/>
    <x v="1"/>
    <n v="788"/>
    <x v="3"/>
    <m/>
    <m/>
    <s v="Supplier"/>
    <m/>
    <x v="130"/>
    <s v="CCL_SPR_2012.pptx"/>
    <s v=".pptx"/>
    <d v="2014-03-21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5"/>
    <m/>
    <m/>
    <m/>
    <n v="0"/>
    <m/>
    <m/>
    <m/>
    <s v="CP"/>
    <m/>
    <m/>
    <s v="CP "/>
    <x v="0"/>
    <x v="1"/>
    <m/>
    <x v="6"/>
  </r>
  <r>
    <n v="807"/>
    <x v="31"/>
    <x v="31"/>
    <x v="27"/>
    <x v="1"/>
    <x v="1"/>
    <n v="785"/>
    <x v="3"/>
    <m/>
    <m/>
    <s v="Supplier"/>
    <m/>
    <x v="13"/>
    <s v="CCL_SPR_2013.pptx"/>
    <s v=".pptx"/>
    <d v="2014-03-21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5"/>
    <m/>
    <m/>
    <m/>
    <n v="0"/>
    <m/>
    <m/>
    <m/>
    <s v="CP"/>
    <m/>
    <m/>
    <s v="CP "/>
    <x v="0"/>
    <x v="1"/>
    <m/>
    <x v="6"/>
  </r>
  <r>
    <n v="2178"/>
    <x v="32"/>
    <x v="32"/>
    <x v="28"/>
    <x v="4"/>
    <x v="8"/>
    <n v="2121"/>
    <x v="4"/>
    <m/>
    <m/>
    <s v="Supplier"/>
    <m/>
    <x v="195"/>
    <s v="Agreement_Ching Ming_Revised_Oct2012.pdf"/>
    <s v=".pdf"/>
    <d v="2014-04-14T00:00:00"/>
    <s v="as\afok"/>
    <m/>
    <m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m/>
    <m/>
    <m/>
    <s v="CP"/>
    <m/>
    <m/>
    <s v="CP "/>
    <x v="0"/>
    <x v="1"/>
    <m/>
    <x v="17"/>
  </r>
  <r>
    <n v="2173"/>
    <x v="32"/>
    <x v="32"/>
    <x v="28"/>
    <x v="4"/>
    <x v="8"/>
    <n v="2116"/>
    <x v="4"/>
    <m/>
    <m/>
    <s v="Supplier"/>
    <m/>
    <x v="31"/>
    <s v="Agreement_Ching Ming_APR12.pdf"/>
    <s v=".pdf"/>
    <d v="2014-04-14T00:00:00"/>
    <s v="as\afok"/>
    <m/>
    <s v="V7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m/>
    <m/>
    <m/>
    <s v="CP"/>
    <m/>
    <m/>
    <s v="CP "/>
    <x v="0"/>
    <x v="1"/>
    <m/>
    <x v="17"/>
  </r>
  <r>
    <n v="2175"/>
    <x v="32"/>
    <x v="32"/>
    <x v="28"/>
    <x v="4"/>
    <x v="8"/>
    <n v="2118"/>
    <x v="5"/>
    <m/>
    <m/>
    <s v="Supplier"/>
    <m/>
    <x v="31"/>
    <s v="Agreement_Ching Ming_APR12.pdf"/>
    <s v=".pdf"/>
    <d v="2014-04-14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n v="1"/>
    <m/>
    <n v="1"/>
    <m/>
    <m/>
    <m/>
    <s v="CP"/>
    <m/>
    <m/>
    <s v="CP "/>
    <x v="0"/>
    <x v="1"/>
    <m/>
    <x v="17"/>
  </r>
  <r>
    <n v="2176"/>
    <x v="32"/>
    <x v="32"/>
    <x v="28"/>
    <x v="4"/>
    <x v="8"/>
    <n v="2119"/>
    <x v="6"/>
    <m/>
    <m/>
    <s v="Supplier"/>
    <m/>
    <x v="31"/>
    <s v="Agreement_Ching Ming_APR12.pdf"/>
    <s v=".pdf"/>
    <d v="2014-04-14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n v="1"/>
    <n v="1"/>
    <m/>
    <m/>
    <m/>
    <s v="CP"/>
    <m/>
    <m/>
    <s v="CP "/>
    <x v="0"/>
    <x v="1"/>
    <m/>
    <x v="17"/>
  </r>
  <r>
    <n v="2183"/>
    <x v="32"/>
    <x v="32"/>
    <x v="28"/>
    <x v="4"/>
    <x v="8"/>
    <n v="2126"/>
    <x v="6"/>
    <m/>
    <m/>
    <s v="Supplier"/>
    <m/>
    <x v="196"/>
    <s v="Supply_chain_appendixV.10_ChingMing_16Aug13.pdf"/>
    <s v=".pdf"/>
    <d v="2014-04-14T00:00:00"/>
    <s v="as\afok"/>
    <m/>
    <m/>
    <m/>
    <n v="40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n v="1"/>
    <n v="1"/>
    <n v="1"/>
    <m/>
    <m/>
    <s v="CP"/>
    <m/>
    <m/>
    <s v="CP "/>
    <x v="0"/>
    <x v="1"/>
    <m/>
    <x v="17"/>
  </r>
  <r>
    <n v="2177"/>
    <x v="32"/>
    <x v="32"/>
    <x v="28"/>
    <x v="4"/>
    <x v="8"/>
    <n v="2120"/>
    <x v="10"/>
    <m/>
    <m/>
    <s v="Supplier"/>
    <m/>
    <x v="197"/>
    <s v="Agreement_Ching Ming_APR12.pdf"/>
    <s v=".pdf"/>
    <d v="2014-04-1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17"/>
  </r>
  <r>
    <n v="2174"/>
    <x v="32"/>
    <x v="32"/>
    <x v="28"/>
    <x v="4"/>
    <x v="8"/>
    <n v="2117"/>
    <x v="7"/>
    <m/>
    <m/>
    <s v="Supplier"/>
    <m/>
    <x v="31"/>
    <s v="Agreement_Ching Ming_APR12.pdf"/>
    <s v=".pdf"/>
    <d v="2014-04-14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17"/>
  </r>
  <r>
    <n v="2179"/>
    <x v="32"/>
    <x v="32"/>
    <x v="28"/>
    <x v="4"/>
    <x v="8"/>
    <n v="2122"/>
    <x v="13"/>
    <m/>
    <m/>
    <s v="Supplier"/>
    <d v="2011-03-30T00:00:00"/>
    <x v="198"/>
    <s v="Ching_Ming_ISO1400_2011.pdf"/>
    <s v=".pdf"/>
    <d v="2014-04-1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17"/>
  </r>
  <r>
    <n v="2171"/>
    <x v="32"/>
    <x v="32"/>
    <x v="28"/>
    <x v="4"/>
    <x v="8"/>
    <n v="2114"/>
    <x v="9"/>
    <m/>
    <m/>
    <s v="Product / Project"/>
    <m/>
    <x v="199"/>
    <s v="LOC_Ching_Ming(Nara_Project).pdf"/>
    <s v=".pdf"/>
    <d v="2014-04-14T00:00:00"/>
    <s v="as\afok"/>
    <m/>
    <m/>
    <m/>
    <m/>
    <m/>
    <m/>
    <s v="Nara"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17"/>
  </r>
  <r>
    <n v="2169"/>
    <x v="32"/>
    <x v="32"/>
    <x v="28"/>
    <x v="4"/>
    <x v="8"/>
    <n v="2112"/>
    <x v="9"/>
    <m/>
    <m/>
    <s v="Supplier"/>
    <m/>
    <x v="200"/>
    <s v="LOC_Ching_Ming.pdf"/>
    <s v=".pdf"/>
    <d v="2014-04-1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17"/>
  </r>
  <r>
    <n v="2180"/>
    <x v="32"/>
    <x v="32"/>
    <x v="28"/>
    <x v="4"/>
    <x v="8"/>
    <n v="2123"/>
    <x v="8"/>
    <m/>
    <m/>
    <s v="Supplier"/>
    <m/>
    <x v="8"/>
    <s v="Ching_Ming_Responsible_Purchasing_Charter_07Aug12.pdf"/>
    <s v=".pdf"/>
    <d v="2014-04-1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17"/>
  </r>
  <r>
    <n v="2172"/>
    <x v="32"/>
    <x v="32"/>
    <x v="28"/>
    <x v="4"/>
    <x v="8"/>
    <n v="2115"/>
    <x v="1"/>
    <m/>
    <m/>
    <s v="Supplier"/>
    <m/>
    <x v="159"/>
    <s v="CHING_MING_Supplier_Evaluation_May_2012.xlsx"/>
    <s v=".xlsx"/>
    <d v="2014-04-14T00:00:00"/>
    <s v="as\afok"/>
    <m/>
    <s v="2012"/>
    <m/>
    <m/>
    <m/>
    <m/>
    <m/>
    <x v="0"/>
    <x v="0"/>
    <x v="0"/>
    <x v="27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17"/>
  </r>
  <r>
    <n v="2182"/>
    <x v="32"/>
    <x v="32"/>
    <x v="28"/>
    <x v="4"/>
    <x v="8"/>
    <n v="2125"/>
    <x v="1"/>
    <m/>
    <m/>
    <s v="Supplier"/>
    <m/>
    <x v="201"/>
    <s v="CHING MING Supplier Evaluation Form Apr 2013.xlsx"/>
    <s v=".xlsx"/>
    <d v="2014-04-14T00:00:00"/>
    <s v="as\afok"/>
    <m/>
    <s v="2013"/>
    <m/>
    <m/>
    <m/>
    <m/>
    <m/>
    <x v="0"/>
    <x v="0"/>
    <x v="0"/>
    <x v="15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17"/>
  </r>
  <r>
    <n v="2170"/>
    <x v="32"/>
    <x v="32"/>
    <x v="28"/>
    <x v="4"/>
    <x v="8"/>
    <n v="2113"/>
    <x v="2"/>
    <m/>
    <m/>
    <s v="Supplier"/>
    <m/>
    <x v="202"/>
    <s v="Ching Ming_SIF2012_16Apr12.xlsx"/>
    <s v=".xlsx"/>
    <d v="2014-04-14T00:00:00"/>
    <s v="as\afok"/>
    <m/>
    <s v="2012"/>
    <m/>
    <m/>
    <m/>
    <m/>
    <m/>
    <x v="0"/>
    <x v="0"/>
    <x v="0"/>
    <x v="0"/>
    <x v="1"/>
    <x v="32"/>
    <x v="36"/>
    <x v="34"/>
    <x v="32"/>
    <x v="30"/>
    <x v="15"/>
    <x v="26"/>
    <x v="22"/>
    <x v="6"/>
    <x v="9"/>
    <s v="CP Panel"/>
    <x v="0"/>
    <x v="0"/>
    <x v="1"/>
    <x v="3"/>
    <m/>
    <m/>
    <m/>
    <n v="1"/>
    <m/>
    <m/>
    <m/>
    <s v="CP"/>
    <m/>
    <m/>
    <s v="CP "/>
    <x v="2"/>
    <x v="1"/>
    <m/>
    <x v="17"/>
  </r>
  <r>
    <n v="2181"/>
    <x v="32"/>
    <x v="32"/>
    <x v="28"/>
    <x v="4"/>
    <x v="8"/>
    <n v="2124"/>
    <x v="2"/>
    <m/>
    <m/>
    <s v="Supplier"/>
    <m/>
    <x v="25"/>
    <s v="Ching Ming_SIF2013.xlsx"/>
    <s v=".xlsx"/>
    <d v="2014-04-14T00:00:00"/>
    <s v="as\afok"/>
    <m/>
    <s v="2013"/>
    <m/>
    <m/>
    <m/>
    <m/>
    <m/>
    <x v="0"/>
    <x v="0"/>
    <x v="0"/>
    <x v="0"/>
    <x v="2"/>
    <x v="33"/>
    <x v="37"/>
    <x v="35"/>
    <x v="33"/>
    <x v="31"/>
    <x v="15"/>
    <x v="27"/>
    <x v="24"/>
    <x v="6"/>
    <x v="9"/>
    <s v="CP Panel"/>
    <x v="0"/>
    <x v="0"/>
    <x v="1"/>
    <x v="3"/>
    <m/>
    <m/>
    <m/>
    <n v="1"/>
    <m/>
    <m/>
    <m/>
    <s v="CP"/>
    <m/>
    <m/>
    <s v="CP "/>
    <x v="2"/>
    <x v="1"/>
    <m/>
    <x v="17"/>
  </r>
  <r>
    <n v="2309"/>
    <x v="33"/>
    <x v="33"/>
    <x v="29"/>
    <x v="1"/>
    <x v="5"/>
    <n v="2250"/>
    <x v="4"/>
    <m/>
    <m/>
    <s v="Supplier"/>
    <m/>
    <x v="203"/>
    <s v="ChungFu_General Agreement_V7.pdf"/>
    <s v=".pdf"/>
    <d v="2014-04-16T00:00:00"/>
    <s v="as\afok"/>
    <m/>
    <s v="V7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n v="1"/>
    <m/>
    <m/>
    <n v="1"/>
    <m/>
    <m/>
    <m/>
    <s v="CP"/>
    <m/>
    <m/>
    <s v="CP "/>
    <x v="0"/>
    <x v="1"/>
    <m/>
    <x v="18"/>
  </r>
  <r>
    <n v="2312"/>
    <x v="33"/>
    <x v="33"/>
    <x v="29"/>
    <x v="1"/>
    <x v="5"/>
    <n v="2253"/>
    <x v="5"/>
    <m/>
    <m/>
    <s v="Supplier"/>
    <m/>
    <x v="203"/>
    <s v="ChungFu_General Agreement_V7.pdf"/>
    <s v=".pdf"/>
    <d v="2014-04-16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n v="1"/>
    <m/>
    <n v="1"/>
    <m/>
    <m/>
    <m/>
    <s v="CP"/>
    <m/>
    <m/>
    <s v="CP "/>
    <x v="0"/>
    <x v="1"/>
    <m/>
    <x v="18"/>
  </r>
  <r>
    <n v="2311"/>
    <x v="33"/>
    <x v="33"/>
    <x v="29"/>
    <x v="1"/>
    <x v="5"/>
    <n v="2252"/>
    <x v="6"/>
    <m/>
    <m/>
    <s v="Supplier"/>
    <m/>
    <x v="203"/>
    <s v="ChungFu_General Agreement_V7.pdf"/>
    <s v=".pdf"/>
    <d v="2014-04-16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n v="1"/>
    <n v="1"/>
    <m/>
    <m/>
    <m/>
    <s v="CP"/>
    <m/>
    <m/>
    <s v="CP "/>
    <x v="0"/>
    <x v="1"/>
    <m/>
    <x v="18"/>
  </r>
  <r>
    <n v="2313"/>
    <x v="33"/>
    <x v="33"/>
    <x v="29"/>
    <x v="1"/>
    <x v="5"/>
    <n v="2254"/>
    <x v="10"/>
    <m/>
    <m/>
    <s v="Supplier"/>
    <m/>
    <x v="204"/>
    <s v="ChungFu_General Agreement_V7.pdf"/>
    <s v=".pdf"/>
    <d v="2014-04-1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18"/>
  </r>
  <r>
    <n v="2310"/>
    <x v="33"/>
    <x v="33"/>
    <x v="29"/>
    <x v="1"/>
    <x v="5"/>
    <n v="2251"/>
    <x v="7"/>
    <m/>
    <m/>
    <s v="Supplier"/>
    <m/>
    <x v="203"/>
    <s v="ChungFu_General Agreement_V7.pdf"/>
    <s v=".pdf"/>
    <d v="2014-04-16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18"/>
  </r>
  <r>
    <n v="2308"/>
    <x v="33"/>
    <x v="33"/>
    <x v="29"/>
    <x v="1"/>
    <x v="5"/>
    <n v="2249"/>
    <x v="8"/>
    <m/>
    <m/>
    <s v="Supplier"/>
    <m/>
    <x v="93"/>
    <s v="Chung_Fu_Responsible_Purchasing_Charter_09Aug12.pdf"/>
    <s v=".pdf"/>
    <d v="2014-04-1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18"/>
  </r>
  <r>
    <n v="2314"/>
    <x v="33"/>
    <x v="33"/>
    <x v="29"/>
    <x v="1"/>
    <x v="5"/>
    <n v="2255"/>
    <x v="1"/>
    <m/>
    <m/>
    <s v="Supplier"/>
    <m/>
    <x v="205"/>
    <s v="Chung Fu_SEF_2012.xlsx"/>
    <s v=".xlsx"/>
    <d v="2014-04-16T00:00:00"/>
    <s v="as\afok"/>
    <m/>
    <s v="2012"/>
    <m/>
    <m/>
    <m/>
    <m/>
    <m/>
    <x v="0"/>
    <x v="0"/>
    <x v="0"/>
    <x v="11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n v="1"/>
    <m/>
    <m/>
    <s v="CP"/>
    <m/>
    <m/>
    <s v="CP "/>
    <x v="0"/>
    <x v="1"/>
    <m/>
    <x v="18"/>
  </r>
  <r>
    <n v="2307"/>
    <x v="33"/>
    <x v="33"/>
    <x v="29"/>
    <x v="1"/>
    <x v="5"/>
    <n v="2248"/>
    <x v="1"/>
    <m/>
    <m/>
    <s v="Supplier"/>
    <m/>
    <x v="78"/>
    <s v="Chung Fu_SEF_2012-2.xlsx"/>
    <s v=".xlsx"/>
    <d v="2014-04-16T00:00:00"/>
    <s v="as\afok"/>
    <m/>
    <s v="2012"/>
    <m/>
    <m/>
    <m/>
    <m/>
    <m/>
    <x v="0"/>
    <x v="0"/>
    <x v="0"/>
    <x v="28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18"/>
  </r>
  <r>
    <n v="2306"/>
    <x v="33"/>
    <x v="33"/>
    <x v="29"/>
    <x v="1"/>
    <x v="5"/>
    <n v="2247"/>
    <x v="2"/>
    <m/>
    <m/>
    <s v="Supplier"/>
    <m/>
    <x v="12"/>
    <s v="Chung Fu_SIF 2013.xlsx"/>
    <s v=".xlsx"/>
    <d v="2014-04-16T00:00:00"/>
    <s v="as\afok"/>
    <m/>
    <s v="2013"/>
    <m/>
    <m/>
    <m/>
    <m/>
    <m/>
    <x v="0"/>
    <x v="0"/>
    <x v="0"/>
    <x v="0"/>
    <x v="2"/>
    <x v="34"/>
    <x v="38"/>
    <x v="36"/>
    <x v="34"/>
    <x v="32"/>
    <x v="4"/>
    <x v="28"/>
    <x v="25"/>
    <x v="20"/>
    <x v="19"/>
    <s v="CP Panel"/>
    <x v="0"/>
    <x v="0"/>
    <x v="1"/>
    <x v="1"/>
    <m/>
    <m/>
    <m/>
    <n v="1"/>
    <m/>
    <m/>
    <m/>
    <s v="CP"/>
    <m/>
    <m/>
    <s v="CP "/>
    <x v="2"/>
    <x v="1"/>
    <m/>
    <x v="18"/>
  </r>
  <r>
    <n v="677"/>
    <x v="34"/>
    <x v="34"/>
    <x v="30"/>
    <x v="2"/>
    <x v="15"/>
    <n v="660"/>
    <x v="4"/>
    <m/>
    <m/>
    <s v="Supplier"/>
    <m/>
    <x v="206"/>
    <s v="Chung Mei_General Agreement_ind.10_2012-05-07.pdf"/>
    <s v=".pdf"/>
    <d v="2014-03-19T00:00:00"/>
    <s v="as\afok"/>
    <m/>
    <s v="FHA 00 016 ind.10"/>
    <s v="37D9 - Within 90 days Due net on posting date 37D9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m/>
    <s v="SP"/>
    <m/>
    <s v="FP SP "/>
    <x v="0"/>
    <x v="1"/>
    <m/>
    <x v="19"/>
  </r>
  <r>
    <n v="680"/>
    <x v="34"/>
    <x v="34"/>
    <x v="30"/>
    <x v="2"/>
    <x v="15"/>
    <n v="663"/>
    <x v="5"/>
    <m/>
    <m/>
    <s v="Supplier"/>
    <m/>
    <x v="206"/>
    <s v="Chung Mei_General Agreement_ind.10_2012-05-07.pdf"/>
    <s v=".pdf"/>
    <d v="2014-03-19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m/>
    <s v="SP"/>
    <m/>
    <s v="FP SP "/>
    <x v="0"/>
    <x v="1"/>
    <m/>
    <x v="19"/>
  </r>
  <r>
    <n v="679"/>
    <x v="34"/>
    <x v="34"/>
    <x v="30"/>
    <x v="2"/>
    <x v="15"/>
    <n v="662"/>
    <x v="6"/>
    <m/>
    <m/>
    <s v="Supplier"/>
    <m/>
    <x v="206"/>
    <s v="Chung Mei_General Agreement_ind.10_2012-05-07.pdf"/>
    <s v=".pdf"/>
    <d v="2014-03-19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m/>
    <s v="SP"/>
    <m/>
    <s v="FP SP "/>
    <x v="0"/>
    <x v="1"/>
    <m/>
    <x v="19"/>
  </r>
  <r>
    <n v="681"/>
    <x v="34"/>
    <x v="34"/>
    <x v="30"/>
    <x v="2"/>
    <x v="15"/>
    <n v="664"/>
    <x v="10"/>
    <m/>
    <m/>
    <s v="Supplier"/>
    <m/>
    <x v="207"/>
    <s v="Chung Mei_General Agreement_ind.10_2012-05-07.pdf"/>
    <s v=".pdf"/>
    <d v="2014-03-1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19"/>
  </r>
  <r>
    <n v="675"/>
    <x v="34"/>
    <x v="34"/>
    <x v="30"/>
    <x v="2"/>
    <x v="15"/>
    <n v="658"/>
    <x v="7"/>
    <m/>
    <m/>
    <s v="Supplier"/>
    <m/>
    <x v="208"/>
    <s v="Chungmei_Env_Declaration_07Jun2010.xls"/>
    <s v=".xls"/>
    <d v="2014-03-19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19"/>
  </r>
  <r>
    <n v="678"/>
    <x v="34"/>
    <x v="34"/>
    <x v="30"/>
    <x v="2"/>
    <x v="15"/>
    <n v="661"/>
    <x v="7"/>
    <m/>
    <m/>
    <s v="Supplier"/>
    <m/>
    <x v="206"/>
    <s v="Chung Mei_General Agreement_ind.10_2012-05-07.pdf"/>
    <s v=".pdf"/>
    <d v="2014-03-19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19"/>
  </r>
  <r>
    <n v="676"/>
    <x v="34"/>
    <x v="34"/>
    <x v="30"/>
    <x v="2"/>
    <x v="15"/>
    <n v="659"/>
    <x v="11"/>
    <m/>
    <m/>
    <s v="Product / Project"/>
    <m/>
    <x v="206"/>
    <s v="Chung Mei_EA_Ice Cream maker_2012-05-07.pdf"/>
    <s v=".pdf"/>
    <d v="2014-03-19T00:00:00"/>
    <s v="as\afok"/>
    <m/>
    <m/>
    <m/>
    <m/>
    <m/>
    <m/>
    <s v="Ice Cream maker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19"/>
  </r>
  <r>
    <n v="674"/>
    <x v="34"/>
    <x v="34"/>
    <x v="30"/>
    <x v="2"/>
    <x v="15"/>
    <n v="657"/>
    <x v="11"/>
    <m/>
    <m/>
    <s v="Supplier"/>
    <m/>
    <x v="73"/>
    <s v="Exclusivity Summary - Chung Mei on 20130128.xlsx"/>
    <s v=".xlsx"/>
    <d v="2014-03-19T00:00:00"/>
    <s v="as\afok"/>
    <s v="Exclusivity Summary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19"/>
  </r>
  <r>
    <n v="682"/>
    <x v="34"/>
    <x v="34"/>
    <x v="30"/>
    <x v="2"/>
    <x v="15"/>
    <n v="665"/>
    <x v="0"/>
    <m/>
    <m/>
    <s v="Supplier"/>
    <m/>
    <x v="209"/>
    <s v="Chung Mei FRD00069 ind.04 200906.pdf"/>
    <s v=".pdf"/>
    <d v="2014-03-19T00:00:00"/>
    <s v="as\afok"/>
    <m/>
    <s v="FRD00069 ind.04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19"/>
  </r>
  <r>
    <n v="672"/>
    <x v="34"/>
    <x v="34"/>
    <x v="30"/>
    <x v="2"/>
    <x v="15"/>
    <n v="655"/>
    <x v="1"/>
    <m/>
    <m/>
    <s v="Supplier"/>
    <m/>
    <x v="210"/>
    <s v="SEF-Chung Mei 2013 Jun.xlsx"/>
    <s v=".xlsx"/>
    <d v="2014-03-19T00:00:00"/>
    <s v="as\afok"/>
    <m/>
    <s v="2013"/>
    <m/>
    <m/>
    <m/>
    <m/>
    <m/>
    <x v="0"/>
    <x v="0"/>
    <x v="0"/>
    <x v="15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19"/>
  </r>
  <r>
    <n v="673"/>
    <x v="34"/>
    <x v="34"/>
    <x v="30"/>
    <x v="2"/>
    <x v="15"/>
    <n v="656"/>
    <x v="2"/>
    <n v="1"/>
    <m/>
    <s v="Supplier"/>
    <m/>
    <x v="211"/>
    <s v="Chung Mei - FHA6E502_EN - SIF 2013.xlsx"/>
    <s v=".xlsx"/>
    <d v="2014-03-19T00:00:00"/>
    <s v="as\afok"/>
    <m/>
    <s v="2013"/>
    <m/>
    <m/>
    <m/>
    <m/>
    <m/>
    <x v="0"/>
    <x v="0"/>
    <x v="0"/>
    <x v="0"/>
    <x v="2"/>
    <x v="35"/>
    <x v="39"/>
    <x v="37"/>
    <x v="35"/>
    <x v="33"/>
    <x v="16"/>
    <x v="29"/>
    <x v="26"/>
    <x v="21"/>
    <x v="20"/>
    <m/>
    <x v="0"/>
    <x v="0"/>
    <x v="0"/>
    <x v="0"/>
    <m/>
    <m/>
    <m/>
    <n v="1"/>
    <m/>
    <m/>
    <s v="FP"/>
    <m/>
    <s v="SP"/>
    <m/>
    <s v="FP SP "/>
    <x v="3"/>
    <x v="1"/>
    <m/>
    <x v="19"/>
  </r>
  <r>
    <n v="683"/>
    <x v="34"/>
    <x v="34"/>
    <x v="30"/>
    <x v="2"/>
    <x v="15"/>
    <n v="666"/>
    <x v="3"/>
    <m/>
    <m/>
    <s v="Supplier"/>
    <m/>
    <x v="212"/>
    <s v="Chung_Mei_SPR_2009.xlsx"/>
    <s v=".xlsx"/>
    <d v="2014-03-19T00:00:00"/>
    <s v="as\afok"/>
    <m/>
    <s v="2009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n v="1"/>
    <m/>
    <s v="FP"/>
    <m/>
    <s v="SP"/>
    <m/>
    <s v="FP SP "/>
    <x v="0"/>
    <x v="1"/>
    <m/>
    <x v="19"/>
  </r>
  <r>
    <n v="2387"/>
    <x v="35"/>
    <x v="35"/>
    <x v="31"/>
    <x v="5"/>
    <x v="16"/>
    <n v="2328"/>
    <x v="11"/>
    <m/>
    <m/>
    <s v="Supplier"/>
    <m/>
    <x v="213"/>
    <s v="Chunju_Exclusivity Summary.xlsx"/>
    <s v=".xlsx"/>
    <d v="2014-04-17T00:00:00"/>
    <s v="as\afok"/>
    <s v="Exclusivity Summary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0"/>
    <m/>
    <m/>
    <s v="FP"/>
    <m/>
    <s v="SP"/>
    <s v="MOULD"/>
    <s v="FP SP MOULD "/>
    <x v="0"/>
    <x v="1"/>
    <m/>
    <x v="5"/>
  </r>
  <r>
    <n v="2386"/>
    <x v="35"/>
    <x v="35"/>
    <x v="31"/>
    <x v="5"/>
    <x v="16"/>
    <n v="2327"/>
    <x v="11"/>
    <m/>
    <m/>
    <s v="Supplier"/>
    <m/>
    <x v="213"/>
    <s v="Chunju_Exclusivity Agreement_MS552501_18Jan2013.pdf"/>
    <s v=".pdf"/>
    <d v="2014-04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0"/>
    <m/>
    <m/>
    <s v="FP"/>
    <m/>
    <s v="SP"/>
    <s v="MOULD"/>
    <s v="FP SP MOULD "/>
    <x v="0"/>
    <x v="1"/>
    <m/>
    <x v="5"/>
  </r>
  <r>
    <n v="2385"/>
    <x v="35"/>
    <x v="35"/>
    <x v="31"/>
    <x v="5"/>
    <x v="16"/>
    <n v="2326"/>
    <x v="12"/>
    <m/>
    <m/>
    <s v="Supplier"/>
    <m/>
    <x v="213"/>
    <s v="Chunju_IP_18Jan2013.pdf"/>
    <s v=".pdf"/>
    <d v="2014-04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0"/>
    <m/>
    <m/>
    <s v="FP"/>
    <m/>
    <s v="SP"/>
    <s v="MOULD"/>
    <s v="FP SP MOULD "/>
    <x v="0"/>
    <x v="1"/>
    <m/>
    <x v="5"/>
  </r>
  <r>
    <n v="2384"/>
    <x v="35"/>
    <x v="35"/>
    <x v="31"/>
    <x v="5"/>
    <x v="16"/>
    <n v="2325"/>
    <x v="8"/>
    <m/>
    <m/>
    <s v="Supplier"/>
    <m/>
    <x v="214"/>
    <s v="Chunju_Responsible Purchasing Charter_20140301.pdf"/>
    <s v=".pdf"/>
    <d v="2014-04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0"/>
    <m/>
    <m/>
    <s v="FP"/>
    <m/>
    <s v="SP"/>
    <s v="MOULD"/>
    <s v="FP SP MOULD "/>
    <x v="0"/>
    <x v="1"/>
    <m/>
    <x v="5"/>
  </r>
  <r>
    <n v="2383"/>
    <x v="35"/>
    <x v="35"/>
    <x v="31"/>
    <x v="5"/>
    <x v="16"/>
    <n v="2324"/>
    <x v="2"/>
    <m/>
    <m/>
    <s v="Supplier"/>
    <m/>
    <x v="215"/>
    <s v="Chunju_SIF_20140217.xls"/>
    <s v=".xls"/>
    <d v="2014-04-17T00:00:00"/>
    <s v="as\afok"/>
    <m/>
    <m/>
    <m/>
    <m/>
    <m/>
    <m/>
    <m/>
    <x v="0"/>
    <x v="0"/>
    <x v="0"/>
    <x v="0"/>
    <x v="3"/>
    <x v="6"/>
    <x v="40"/>
    <x v="38"/>
    <x v="36"/>
    <x v="34"/>
    <x v="17"/>
    <x v="30"/>
    <x v="0"/>
    <x v="0"/>
    <x v="0"/>
    <s v="FP panel"/>
    <x v="1"/>
    <x v="1"/>
    <x v="0"/>
    <x v="0"/>
    <m/>
    <m/>
    <m/>
    <n v="0"/>
    <m/>
    <m/>
    <s v="FP"/>
    <m/>
    <s v="SP"/>
    <s v="MOULD"/>
    <s v="FP SP MOULD "/>
    <x v="3"/>
    <x v="1"/>
    <m/>
    <x v="5"/>
  </r>
  <r>
    <n v="2388"/>
    <x v="35"/>
    <x v="35"/>
    <x v="31"/>
    <x v="5"/>
    <x v="16"/>
    <n v="2329"/>
    <x v="2"/>
    <m/>
    <m/>
    <s v="Supplier"/>
    <m/>
    <x v="216"/>
    <s v="CHUNJI_SIF_2012Sep12.xls"/>
    <s v=".xls"/>
    <d v="2014-04-17T00:00:00"/>
    <s v="as\afok"/>
    <m/>
    <s v="2012"/>
    <m/>
    <m/>
    <m/>
    <m/>
    <m/>
    <x v="0"/>
    <x v="0"/>
    <x v="0"/>
    <x v="0"/>
    <x v="1"/>
    <x v="36"/>
    <x v="41"/>
    <x v="39"/>
    <x v="37"/>
    <x v="35"/>
    <x v="0"/>
    <x v="0"/>
    <x v="0"/>
    <x v="0"/>
    <x v="0"/>
    <s v="FP panel"/>
    <x v="1"/>
    <x v="1"/>
    <x v="0"/>
    <x v="0"/>
    <m/>
    <m/>
    <m/>
    <n v="0"/>
    <m/>
    <n v="1"/>
    <s v="FP"/>
    <m/>
    <s v="SP"/>
    <s v="MOULD"/>
    <s v="FP SP MOULD "/>
    <x v="3"/>
    <x v="1"/>
    <m/>
    <x v="5"/>
  </r>
  <r>
    <n v="1665"/>
    <x v="36"/>
    <x v="36"/>
    <x v="32"/>
    <x v="5"/>
    <x v="7"/>
    <n v="1621"/>
    <x v="4"/>
    <m/>
    <m/>
    <s v="Supplier"/>
    <m/>
    <x v="197"/>
    <s v="Cinderson_General Agreement_26Mar12(final).pdf"/>
    <s v=".pdf"/>
    <d v="2014-04-07T00:00:00"/>
    <s v="as\afok"/>
    <m/>
    <s v="V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m/>
    <m/>
    <m/>
    <s v="CP"/>
    <m/>
    <m/>
    <s v="CP "/>
    <x v="0"/>
    <x v="1"/>
    <m/>
    <x v="5"/>
  </r>
  <r>
    <n v="1662"/>
    <x v="36"/>
    <x v="36"/>
    <x v="32"/>
    <x v="5"/>
    <x v="7"/>
    <n v="1623"/>
    <x v="5"/>
    <m/>
    <m/>
    <s v="Supplier"/>
    <m/>
    <x v="217"/>
    <s v="Cinderson_General Agreement_26Mar12(final).pdf"/>
    <s v=".pdf"/>
    <d v="2014-04-07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n v="1"/>
    <m/>
    <n v="1"/>
    <m/>
    <m/>
    <m/>
    <s v="CP"/>
    <m/>
    <m/>
    <s v="CP "/>
    <x v="0"/>
    <x v="1"/>
    <m/>
    <x v="5"/>
  </r>
  <r>
    <n v="1661"/>
    <x v="36"/>
    <x v="36"/>
    <x v="32"/>
    <x v="5"/>
    <x v="7"/>
    <n v="1622"/>
    <x v="6"/>
    <m/>
    <m/>
    <s v="Supplier"/>
    <m/>
    <x v="197"/>
    <s v="Cinderson_General Agreement_26Mar12(final).pdf"/>
    <s v=".pdf"/>
    <d v="2014-04-07T00:00:00"/>
    <s v="as\afok"/>
    <m/>
    <m/>
    <m/>
    <n v="50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n v="1"/>
    <n v="1"/>
    <m/>
    <m/>
    <m/>
    <s v="CP"/>
    <m/>
    <m/>
    <s v="CP "/>
    <x v="0"/>
    <x v="1"/>
    <m/>
    <x v="5"/>
  </r>
  <r>
    <n v="1663"/>
    <x v="36"/>
    <x v="36"/>
    <x v="32"/>
    <x v="5"/>
    <x v="7"/>
    <n v="1624"/>
    <x v="10"/>
    <m/>
    <m/>
    <s v="Supplier"/>
    <m/>
    <x v="143"/>
    <s v="Cinderson_General Agreement_26Mar12(final).pdf"/>
    <s v=".pdf"/>
    <d v="2014-04-0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5"/>
  </r>
  <r>
    <n v="1659"/>
    <x v="36"/>
    <x v="36"/>
    <x v="32"/>
    <x v="5"/>
    <x v="7"/>
    <n v="1620"/>
    <x v="7"/>
    <m/>
    <m/>
    <s v="Supplier"/>
    <m/>
    <x v="197"/>
    <s v="Cinderson_Env Declaration_26Mar2012.pdf"/>
    <s v=".pdf"/>
    <d v="2014-04-07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5"/>
  </r>
  <r>
    <n v="1667"/>
    <x v="36"/>
    <x v="36"/>
    <x v="32"/>
    <x v="5"/>
    <x v="7"/>
    <n v="1626"/>
    <x v="13"/>
    <m/>
    <m/>
    <s v="Supplier"/>
    <d v="2013-01-13T00:00:00"/>
    <x v="218"/>
    <s v="Cinderson_ISO14001_04Jun2010_Ch.jpg"/>
    <s v=".jpg"/>
    <d v="2014-04-07T00:00:00"/>
    <s v="as\afok"/>
    <s v="Chinese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5"/>
  </r>
  <r>
    <n v="1664"/>
    <x v="36"/>
    <x v="36"/>
    <x v="32"/>
    <x v="5"/>
    <x v="7"/>
    <n v="1625"/>
    <x v="13"/>
    <m/>
    <m/>
    <s v="Supplier"/>
    <d v="2011-01-13T00:00:00"/>
    <x v="218"/>
    <s v="Cinderson_ISO14001_04Jun2010_Eng.jpg"/>
    <s v=".jpg"/>
    <d v="2014-04-07T00:00:00"/>
    <s v="as\afok"/>
    <s v="English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5"/>
  </r>
  <r>
    <n v="1668"/>
    <x v="36"/>
    <x v="36"/>
    <x v="32"/>
    <x v="5"/>
    <x v="7"/>
    <n v="1627"/>
    <x v="8"/>
    <m/>
    <m/>
    <s v="Supplier"/>
    <m/>
    <x v="19"/>
    <s v="Cinderson_Responsible Purchaser Charter_9Aug2012.pdf"/>
    <s v=".pdf"/>
    <d v="2014-04-0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5"/>
  </r>
  <r>
    <n v="1671"/>
    <x v="36"/>
    <x v="36"/>
    <x v="32"/>
    <x v="5"/>
    <x v="7"/>
    <n v="1630"/>
    <x v="1"/>
    <m/>
    <m/>
    <s v="Supplier"/>
    <m/>
    <x v="219"/>
    <s v="Cinderson _2nd SEF_ Dec 2011.xlsx"/>
    <s v=".xlsx"/>
    <d v="2014-04-07T00:00:00"/>
    <s v="as\afok"/>
    <m/>
    <s v="2011"/>
    <m/>
    <m/>
    <m/>
    <m/>
    <m/>
    <x v="0"/>
    <x v="0"/>
    <x v="0"/>
    <x v="23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n v="1"/>
    <m/>
    <m/>
    <s v="CP"/>
    <m/>
    <m/>
    <s v="CP "/>
    <x v="0"/>
    <x v="1"/>
    <m/>
    <x v="5"/>
  </r>
  <r>
    <n v="1670"/>
    <x v="36"/>
    <x v="36"/>
    <x v="32"/>
    <x v="5"/>
    <x v="7"/>
    <n v="1629"/>
    <x v="2"/>
    <n v="1"/>
    <m/>
    <s v="Supplier"/>
    <m/>
    <x v="220"/>
    <s v="Cinderson_SIF_18Apr2012.xls"/>
    <s v=".xls"/>
    <d v="2014-04-07T00:00:00"/>
    <s v="as\afok"/>
    <m/>
    <s v="2012"/>
    <m/>
    <m/>
    <m/>
    <m/>
    <m/>
    <x v="0"/>
    <x v="0"/>
    <x v="0"/>
    <x v="0"/>
    <x v="1"/>
    <x v="37"/>
    <x v="42"/>
    <x v="40"/>
    <x v="38"/>
    <x v="36"/>
    <x v="10"/>
    <x v="10"/>
    <x v="27"/>
    <x v="22"/>
    <x v="21"/>
    <s v="CP Panel"/>
    <x v="0"/>
    <x v="0"/>
    <x v="1"/>
    <x v="3"/>
    <m/>
    <m/>
    <m/>
    <n v="1"/>
    <m/>
    <m/>
    <m/>
    <s v="CP"/>
    <m/>
    <m/>
    <s v="CP "/>
    <x v="2"/>
    <x v="1"/>
    <m/>
    <x v="5"/>
  </r>
  <r>
    <n v="1666"/>
    <x v="36"/>
    <x v="36"/>
    <x v="32"/>
    <x v="5"/>
    <x v="7"/>
    <n v="1619"/>
    <x v="3"/>
    <m/>
    <m/>
    <s v="Supplier"/>
    <m/>
    <x v="138"/>
    <s v="Cinderson_SPR_2013.pptx"/>
    <s v=".pptx"/>
    <d v="2014-04-07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5"/>
  </r>
  <r>
    <n v="1669"/>
    <x v="36"/>
    <x v="36"/>
    <x v="32"/>
    <x v="5"/>
    <x v="7"/>
    <n v="1628"/>
    <x v="3"/>
    <m/>
    <m/>
    <s v="Supplier"/>
    <m/>
    <x v="47"/>
    <s v="Cinderson_SPR_201207.pptx"/>
    <s v=".pptx"/>
    <d v="2014-04-07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5"/>
  </r>
  <r>
    <n v="996"/>
    <x v="37"/>
    <x v="37"/>
    <x v="33"/>
    <x v="1"/>
    <x v="11"/>
    <n v="973"/>
    <x v="13"/>
    <m/>
    <m/>
    <s v="Supplier"/>
    <d v="2011-03-29T00:00:00"/>
    <x v="221"/>
    <s v="COILS_ISO14001_23Mar2010.pdf"/>
    <s v=".pdf"/>
    <d v="2014-03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0"/>
    <m/>
    <m/>
    <m/>
    <s v="CP"/>
    <m/>
    <m/>
    <s v="CP "/>
    <x v="0"/>
    <x v="1"/>
    <m/>
    <x v="8"/>
  </r>
  <r>
    <n v="998"/>
    <x v="37"/>
    <x v="37"/>
    <x v="33"/>
    <x v="1"/>
    <x v="11"/>
    <n v="975"/>
    <x v="8"/>
    <m/>
    <m/>
    <s v="Supplier"/>
    <m/>
    <x v="93"/>
    <s v="Coils_Responsible_Purchasing_Charter_09Aug12.pdf"/>
    <s v=".pdf"/>
    <d v="2014-03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0"/>
    <m/>
    <m/>
    <m/>
    <s v="CP"/>
    <m/>
    <m/>
    <s v="CP "/>
    <x v="0"/>
    <x v="1"/>
    <m/>
    <x v="8"/>
  </r>
  <r>
    <n v="997"/>
    <x v="37"/>
    <x v="37"/>
    <x v="33"/>
    <x v="1"/>
    <x v="11"/>
    <n v="974"/>
    <x v="1"/>
    <m/>
    <m/>
    <s v="Supplier"/>
    <m/>
    <x v="112"/>
    <s v="Coils_SEF_2012-2.xlsx"/>
    <s v=".xlsx"/>
    <d v="2014-03-24T00:00:00"/>
    <s v="as\afok"/>
    <m/>
    <s v="2012"/>
    <m/>
    <m/>
    <m/>
    <m/>
    <m/>
    <x v="0"/>
    <x v="0"/>
    <x v="0"/>
    <x v="16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0"/>
    <m/>
    <m/>
    <m/>
    <s v="CP"/>
    <m/>
    <m/>
    <s v="CP "/>
    <x v="0"/>
    <x v="1"/>
    <m/>
    <x v="8"/>
  </r>
  <r>
    <n v="1000"/>
    <x v="37"/>
    <x v="37"/>
    <x v="33"/>
    <x v="1"/>
    <x v="11"/>
    <n v="977"/>
    <x v="1"/>
    <m/>
    <m/>
    <s v="Supplier"/>
    <m/>
    <x v="30"/>
    <s v="Coils_SEF_2012.xlsx"/>
    <s v=".xlsx"/>
    <d v="2014-03-24T00:00:00"/>
    <s v="as\afok"/>
    <m/>
    <s v="2012"/>
    <m/>
    <m/>
    <m/>
    <m/>
    <m/>
    <x v="0"/>
    <x v="0"/>
    <x v="0"/>
    <x v="15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0"/>
    <m/>
    <m/>
    <m/>
    <s v="CP"/>
    <m/>
    <m/>
    <s v="CP "/>
    <x v="0"/>
    <x v="1"/>
    <m/>
    <x v="8"/>
  </r>
  <r>
    <n v="1001"/>
    <x v="37"/>
    <x v="37"/>
    <x v="33"/>
    <x v="1"/>
    <x v="11"/>
    <n v="978"/>
    <x v="2"/>
    <m/>
    <m/>
    <s v="Supplier"/>
    <m/>
    <x v="191"/>
    <s v="COILS_SIF2012_6Mar12.xls"/>
    <s v=".xls"/>
    <d v="2014-03-24T00:00:00"/>
    <s v="as\afok"/>
    <m/>
    <s v="2012"/>
    <m/>
    <m/>
    <m/>
    <m/>
    <m/>
    <x v="0"/>
    <x v="0"/>
    <x v="0"/>
    <x v="0"/>
    <x v="1"/>
    <x v="38"/>
    <x v="43"/>
    <x v="41"/>
    <x v="39"/>
    <x v="37"/>
    <x v="18"/>
    <x v="31"/>
    <x v="13"/>
    <x v="0"/>
    <x v="0"/>
    <s v="CP Panel"/>
    <x v="0"/>
    <x v="0"/>
    <x v="1"/>
    <x v="3"/>
    <m/>
    <m/>
    <m/>
    <n v="0"/>
    <m/>
    <n v="1"/>
    <m/>
    <s v="CP"/>
    <m/>
    <m/>
    <s v="CP "/>
    <x v="2"/>
    <x v="1"/>
    <m/>
    <x v="8"/>
  </r>
  <r>
    <n v="999"/>
    <x v="37"/>
    <x v="37"/>
    <x v="33"/>
    <x v="1"/>
    <x v="11"/>
    <n v="976"/>
    <x v="3"/>
    <m/>
    <m/>
    <s v="Supplier"/>
    <m/>
    <x v="222"/>
    <s v="Coils_SPR_Dec 2012.pptx"/>
    <s v=".pptx"/>
    <d v="2014-03-24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0"/>
    <m/>
    <m/>
    <m/>
    <s v="CP"/>
    <m/>
    <m/>
    <s v="CP "/>
    <x v="0"/>
    <x v="1"/>
    <m/>
    <x v="8"/>
  </r>
  <r>
    <n v="1119"/>
    <x v="38"/>
    <x v="38"/>
    <x v="34"/>
    <x v="0"/>
    <x v="9"/>
    <n v="1095"/>
    <x v="4"/>
    <m/>
    <m/>
    <s v="Supplier"/>
    <m/>
    <x v="46"/>
    <s v="Coway_General Agreement_24Aug12.pdf"/>
    <s v=".pdf"/>
    <d v="2014-03-25T00:00:00"/>
    <s v="as\afok"/>
    <m/>
    <s v="FHA 00 016 ind.11"/>
    <s v="37D6 - Within 60 days Due net on posting date 37D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m/>
    <s v="SP"/>
    <m/>
    <s v="FP SP "/>
    <x v="0"/>
    <x v="1"/>
    <m/>
    <x v="4"/>
  </r>
  <r>
    <n v="1121"/>
    <x v="38"/>
    <x v="38"/>
    <x v="34"/>
    <x v="0"/>
    <x v="9"/>
    <n v="1097"/>
    <x v="5"/>
    <m/>
    <m/>
    <s v="Supplier"/>
    <m/>
    <x v="46"/>
    <s v="Coway_General Agreement_24Aug12.pdf"/>
    <s v=".pdf"/>
    <d v="2014-03-25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m/>
    <s v="SP"/>
    <m/>
    <s v="FP SP "/>
    <x v="0"/>
    <x v="1"/>
    <m/>
    <x v="4"/>
  </r>
  <r>
    <n v="1120"/>
    <x v="38"/>
    <x v="38"/>
    <x v="34"/>
    <x v="0"/>
    <x v="9"/>
    <n v="1096"/>
    <x v="6"/>
    <m/>
    <m/>
    <s v="Supplier"/>
    <m/>
    <x v="46"/>
    <s v="Coway_General Agreement_24Aug12.pdf"/>
    <s v=".pdf"/>
    <d v="2014-03-25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m/>
    <s v="SP"/>
    <m/>
    <s v="FP SP "/>
    <x v="0"/>
    <x v="1"/>
    <m/>
    <x v="4"/>
  </r>
  <r>
    <n v="1122"/>
    <x v="38"/>
    <x v="38"/>
    <x v="34"/>
    <x v="0"/>
    <x v="9"/>
    <n v="1098"/>
    <x v="7"/>
    <m/>
    <m/>
    <s v="Supplier"/>
    <m/>
    <x v="46"/>
    <s v="Coway_General Agreement_24Aug12.pdf"/>
    <s v=".pdf"/>
    <d v="2014-03-25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4"/>
  </r>
  <r>
    <n v="1125"/>
    <x v="38"/>
    <x v="38"/>
    <x v="34"/>
    <x v="0"/>
    <x v="9"/>
    <n v="1101"/>
    <x v="11"/>
    <m/>
    <m/>
    <s v="Supplier"/>
    <m/>
    <x v="46"/>
    <s v="Coway_General Agreement_24Aug12.pdf"/>
    <s v=".pdf"/>
    <d v="2014-03-25T00:00:00"/>
    <s v="as\afok"/>
    <m/>
    <s v="FRD 6E 030 ind,0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4"/>
  </r>
  <r>
    <n v="1124"/>
    <x v="38"/>
    <x v="38"/>
    <x v="34"/>
    <x v="0"/>
    <x v="9"/>
    <n v="1100"/>
    <x v="12"/>
    <m/>
    <m/>
    <s v="Supplier"/>
    <m/>
    <x v="46"/>
    <s v="Coway_General Agreement_24Aug12.pdf"/>
    <s v=".pdf"/>
    <d v="2014-03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4"/>
  </r>
  <r>
    <n v="1123"/>
    <x v="38"/>
    <x v="38"/>
    <x v="34"/>
    <x v="0"/>
    <x v="9"/>
    <n v="1099"/>
    <x v="9"/>
    <m/>
    <m/>
    <s v="Supplier"/>
    <m/>
    <x v="46"/>
    <s v="Coway_General Agreement_24Aug12.pdf"/>
    <s v=".pdf"/>
    <d v="2014-03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4"/>
  </r>
  <r>
    <n v="1116"/>
    <x v="38"/>
    <x v="38"/>
    <x v="34"/>
    <x v="0"/>
    <x v="9"/>
    <n v="1092"/>
    <x v="1"/>
    <m/>
    <m/>
    <s v="Supplier"/>
    <m/>
    <x v="223"/>
    <s v="SEF Coway 20130809.xlsx"/>
    <s v=".xlsx"/>
    <d v="2014-03-25T00:00:00"/>
    <s v="as\afok"/>
    <m/>
    <s v="2013"/>
    <m/>
    <m/>
    <m/>
    <m/>
    <m/>
    <x v="0"/>
    <x v="0"/>
    <x v="0"/>
    <x v="29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4"/>
  </r>
  <r>
    <n v="1118"/>
    <x v="38"/>
    <x v="38"/>
    <x v="34"/>
    <x v="0"/>
    <x v="9"/>
    <n v="1094"/>
    <x v="1"/>
    <m/>
    <m/>
    <s v="Supplier"/>
    <m/>
    <x v="105"/>
    <s v="SEF_Coway_20120830.xlsx"/>
    <s v=".xlsx"/>
    <d v="2014-03-25T00:00:00"/>
    <s v="as\afok"/>
    <m/>
    <s v="2012"/>
    <m/>
    <m/>
    <m/>
    <m/>
    <m/>
    <x v="0"/>
    <x v="0"/>
    <x v="0"/>
    <x v="8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4"/>
  </r>
  <r>
    <n v="1126"/>
    <x v="38"/>
    <x v="38"/>
    <x v="34"/>
    <x v="0"/>
    <x v="9"/>
    <n v="1102"/>
    <x v="2"/>
    <m/>
    <m/>
    <s v="Supplier"/>
    <m/>
    <x v="224"/>
    <s v="Coway - SIF2012.pdf"/>
    <s v=".pdf"/>
    <d v="2014-03-25T00:00:00"/>
    <s v="as\afok"/>
    <m/>
    <s v="2012"/>
    <m/>
    <m/>
    <m/>
    <m/>
    <m/>
    <x v="0"/>
    <x v="0"/>
    <x v="0"/>
    <x v="0"/>
    <x v="1"/>
    <x v="39"/>
    <x v="44"/>
    <x v="42"/>
    <x v="40"/>
    <x v="38"/>
    <x v="0"/>
    <x v="0"/>
    <x v="0"/>
    <x v="0"/>
    <x v="0"/>
    <m/>
    <x v="0"/>
    <x v="0"/>
    <x v="0"/>
    <x v="0"/>
    <m/>
    <m/>
    <m/>
    <n v="1"/>
    <n v="1"/>
    <m/>
    <s v="FP"/>
    <m/>
    <s v="SP"/>
    <m/>
    <s v="FP SP "/>
    <x v="3"/>
    <x v="1"/>
    <m/>
    <x v="4"/>
  </r>
  <r>
    <n v="1117"/>
    <x v="38"/>
    <x v="38"/>
    <x v="34"/>
    <x v="0"/>
    <x v="9"/>
    <n v="1093"/>
    <x v="2"/>
    <m/>
    <m/>
    <s v="Supplier"/>
    <m/>
    <x v="225"/>
    <s v="Coway_SIF 2013.xls"/>
    <s v=".xls"/>
    <d v="2014-03-25T00:00:00"/>
    <s v="as\afok"/>
    <m/>
    <s v="2013"/>
    <m/>
    <m/>
    <m/>
    <m/>
    <m/>
    <x v="0"/>
    <x v="0"/>
    <x v="0"/>
    <x v="0"/>
    <x v="2"/>
    <x v="40"/>
    <x v="45"/>
    <x v="43"/>
    <x v="41"/>
    <x v="39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3"/>
    <x v="1"/>
    <m/>
    <x v="4"/>
  </r>
  <r>
    <n v="1586"/>
    <x v="39"/>
    <x v="39"/>
    <x v="35"/>
    <x v="3"/>
    <x v="4"/>
    <n v="1547"/>
    <x v="4"/>
    <m/>
    <m/>
    <s v="Supplier"/>
    <m/>
    <x v="226"/>
    <s v="Crastal FHA00016 ind.07 20080117.pdf"/>
    <s v=".pdf"/>
    <d v="2014-04-04T00:00:00"/>
    <s v="as\afok"/>
    <m/>
    <s v="FHA 00 016 ind.0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n v="1"/>
    <m/>
    <s v="FP"/>
    <s v="CP"/>
    <s v="SP"/>
    <s v="MOULD"/>
    <s v="FP CP SP MOULD Both"/>
    <x v="0"/>
    <x v="1"/>
    <m/>
    <x v="20"/>
  </r>
  <r>
    <n v="1561"/>
    <x v="39"/>
    <x v="39"/>
    <x v="35"/>
    <x v="3"/>
    <x v="4"/>
    <n v="1522"/>
    <x v="4"/>
    <m/>
    <m/>
    <s v="Supplier"/>
    <m/>
    <x v="227"/>
    <s v="Crastal_General Agreement_2012-08-23.pdf"/>
    <s v=".pdf"/>
    <d v="2014-04-04T00:00:00"/>
    <s v="as\afok"/>
    <m/>
    <s v="FHA 00 016 ind.11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s v="CP"/>
    <s v="SP"/>
    <s v="MOULD"/>
    <s v="FP CP SP MOULD Both"/>
    <x v="0"/>
    <x v="1"/>
    <m/>
    <x v="20"/>
  </r>
  <r>
    <n v="1556"/>
    <x v="39"/>
    <x v="39"/>
    <x v="35"/>
    <x v="3"/>
    <x v="4"/>
    <n v="1517"/>
    <x v="4"/>
    <m/>
    <m/>
    <s v="Supplier"/>
    <m/>
    <x v="228"/>
    <s v="Crastal General Agreement - Addendum 1 23Jul10.pdf"/>
    <s v=".pdf"/>
    <d v="2014-04-04T00:00:00"/>
    <s v="as\afok"/>
    <m/>
    <m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s v="CP"/>
    <s v="SP"/>
    <s v="MOULD"/>
    <s v="FP CP SP MOULD Both"/>
    <x v="0"/>
    <x v="1"/>
    <m/>
    <x v="20"/>
  </r>
  <r>
    <n v="1564"/>
    <x v="39"/>
    <x v="39"/>
    <x v="35"/>
    <x v="3"/>
    <x v="4"/>
    <n v="1525"/>
    <x v="5"/>
    <m/>
    <m/>
    <s v="Supplier"/>
    <m/>
    <x v="93"/>
    <s v="Crastal_General Agreement_2012-08-23.pdf"/>
    <s v=".pdf"/>
    <d v="2014-04-04T00:00:00"/>
    <s v="as\afok"/>
    <m/>
    <m/>
    <m/>
    <m/>
    <m/>
    <n v="30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s v="CP"/>
    <s v="SP"/>
    <s v="MOULD"/>
    <s v="FP CP SP MOULD Both"/>
    <x v="0"/>
    <x v="1"/>
    <m/>
    <x v="20"/>
  </r>
  <r>
    <n v="1563"/>
    <x v="39"/>
    <x v="39"/>
    <x v="35"/>
    <x v="3"/>
    <x v="4"/>
    <n v="1524"/>
    <x v="6"/>
    <m/>
    <m/>
    <s v="Supplier"/>
    <m/>
    <x v="93"/>
    <s v="Crastal_General Agreement_2012-08-23.pdf"/>
    <s v=".pdf"/>
    <d v="2014-04-04T00:00:00"/>
    <s v="as\afok"/>
    <m/>
    <m/>
    <m/>
    <n v="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s v="CP"/>
    <s v="SP"/>
    <s v="MOULD"/>
    <s v="FP CP SP MOULD Both"/>
    <x v="0"/>
    <x v="1"/>
    <m/>
    <x v="20"/>
  </r>
  <r>
    <n v="1565"/>
    <x v="39"/>
    <x v="39"/>
    <x v="35"/>
    <x v="3"/>
    <x v="4"/>
    <n v="1526"/>
    <x v="10"/>
    <m/>
    <m/>
    <s v="Supplier"/>
    <m/>
    <x v="77"/>
    <s v="Crastal_General Agreement_2012-08-23.pdf"/>
    <s v=".pdf"/>
    <d v="2014-04-0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62"/>
    <x v="39"/>
    <x v="39"/>
    <x v="35"/>
    <x v="3"/>
    <x v="4"/>
    <n v="1523"/>
    <x v="7"/>
    <m/>
    <m/>
    <s v="Supplier"/>
    <m/>
    <x v="229"/>
    <s v="Crastal_General Agreement_2012-08-23.pdf"/>
    <s v=".pdf"/>
    <d v="2014-04-04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66"/>
    <x v="39"/>
    <x v="39"/>
    <x v="35"/>
    <x v="3"/>
    <x v="4"/>
    <n v="1527"/>
    <x v="11"/>
    <m/>
    <m/>
    <s v="Product / Project"/>
    <m/>
    <x v="230"/>
    <s v="Crastal_EA_Pittsburg Kettle (SS)_20110617.pdf"/>
    <s v=".pdf"/>
    <d v="2014-04-04T00:00:00"/>
    <s v="as\afok"/>
    <m/>
    <m/>
    <m/>
    <m/>
    <m/>
    <m/>
    <s v="Pittsburg Kettle (SS)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68"/>
    <x v="39"/>
    <x v="39"/>
    <x v="35"/>
    <x v="3"/>
    <x v="4"/>
    <n v="1529"/>
    <x v="11"/>
    <m/>
    <m/>
    <s v="Product / Project"/>
    <m/>
    <x v="230"/>
    <s v="Crastal_EA_Performa Toaster_20110617.pdf"/>
    <s v=".pdf"/>
    <d v="2014-04-04T00:00:00"/>
    <s v="as\afok"/>
    <m/>
    <m/>
    <m/>
    <m/>
    <m/>
    <m/>
    <s v="Performa Toaster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67"/>
    <x v="39"/>
    <x v="39"/>
    <x v="35"/>
    <x v="3"/>
    <x v="4"/>
    <n v="1528"/>
    <x v="11"/>
    <m/>
    <m/>
    <s v="Product / Project"/>
    <m/>
    <x v="230"/>
    <s v="Crastal_EA_Pittsburg Kettle (Plastic)_20110617.pdf"/>
    <s v=".pdf"/>
    <d v="2014-04-04T00:00:00"/>
    <s v="as\afok"/>
    <m/>
    <m/>
    <m/>
    <m/>
    <m/>
    <m/>
    <s v="Pittsburg Kettle (Plastic)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69"/>
    <x v="39"/>
    <x v="39"/>
    <x v="35"/>
    <x v="3"/>
    <x v="4"/>
    <n v="1530"/>
    <x v="11"/>
    <m/>
    <m/>
    <s v="Product / Project"/>
    <m/>
    <x v="230"/>
    <s v="Crastal_EA_Classique Set (Mechanical)_20110617.pdf"/>
    <s v=".pdf"/>
    <d v="2014-04-04T00:00:00"/>
    <s v="as\afok"/>
    <m/>
    <m/>
    <m/>
    <m/>
    <m/>
    <m/>
    <s v="Classique Set (Mechanical)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70"/>
    <x v="39"/>
    <x v="39"/>
    <x v="35"/>
    <x v="3"/>
    <x v="4"/>
    <n v="1531"/>
    <x v="11"/>
    <m/>
    <m/>
    <s v="Product / Project"/>
    <m/>
    <x v="230"/>
    <s v="Crastal_EA_Classique Set (Electronic)_20110617.pdf"/>
    <s v=".pdf"/>
    <d v="2014-04-04T00:00:00"/>
    <s v="as\afok"/>
    <m/>
    <m/>
    <m/>
    <m/>
    <m/>
    <m/>
    <s v="Classique Set (Electronic)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71"/>
    <x v="39"/>
    <x v="39"/>
    <x v="35"/>
    <x v="3"/>
    <x v="4"/>
    <n v="1532"/>
    <x v="11"/>
    <m/>
    <m/>
    <s v="Product / Project"/>
    <m/>
    <x v="230"/>
    <s v="Crastal_EA_Brunch LS Toaster_20110617.pdf"/>
    <s v=".pdf"/>
    <d v="2014-04-04T00:00:00"/>
    <s v="as\afok"/>
    <m/>
    <m/>
    <m/>
    <m/>
    <m/>
    <m/>
    <s v="Brunch LS Toaster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72"/>
    <x v="39"/>
    <x v="39"/>
    <x v="35"/>
    <x v="3"/>
    <x v="4"/>
    <n v="1533"/>
    <x v="11"/>
    <m/>
    <m/>
    <s v="Product / Project"/>
    <m/>
    <x v="230"/>
    <s v="Crastal_EA_Avanti Toaster_20110617.pdf"/>
    <s v=".pdf"/>
    <d v="2014-04-04T00:00:00"/>
    <s v="as\afok"/>
    <m/>
    <m/>
    <m/>
    <m/>
    <m/>
    <m/>
    <s v="Avanti Toaster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73"/>
    <x v="39"/>
    <x v="39"/>
    <x v="35"/>
    <x v="3"/>
    <x v="4"/>
    <n v="1534"/>
    <x v="11"/>
    <m/>
    <m/>
    <s v="Product / Project"/>
    <m/>
    <x v="230"/>
    <s v="Crastal_EA_SAXE Kettle_20110617.pdf"/>
    <s v=".pdf"/>
    <d v="2014-04-04T00:00:00"/>
    <s v="as\afok"/>
    <m/>
    <m/>
    <m/>
    <m/>
    <m/>
    <m/>
    <s v="SAXE Kettle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74"/>
    <x v="39"/>
    <x v="39"/>
    <x v="35"/>
    <x v="3"/>
    <x v="4"/>
    <n v="1535"/>
    <x v="11"/>
    <m/>
    <m/>
    <s v="Product / Project"/>
    <m/>
    <x v="230"/>
    <s v="Crastal_EA_Premiss Toaster_20110617.pdf"/>
    <s v=".pdf"/>
    <d v="2014-04-04T00:00:00"/>
    <s v="as\afok"/>
    <m/>
    <m/>
    <m/>
    <m/>
    <m/>
    <m/>
    <s v="Premiss Toaster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81"/>
    <x v="39"/>
    <x v="39"/>
    <x v="35"/>
    <x v="3"/>
    <x v="4"/>
    <n v="1542"/>
    <x v="11"/>
    <m/>
    <m/>
    <s v="Product / Project"/>
    <m/>
    <x v="231"/>
    <s v="Crastal - IP Agreement (Classique Mechanical 4S Toaster) 22May10.pdf"/>
    <s v=".pdf"/>
    <d v="2014-04-04T00:00:00"/>
    <s v="as\afok"/>
    <m/>
    <m/>
    <m/>
    <m/>
    <m/>
    <m/>
    <s v="Classique Mechnaical 4S Toaster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82"/>
    <x v="39"/>
    <x v="39"/>
    <x v="35"/>
    <x v="3"/>
    <x v="4"/>
    <n v="1543"/>
    <x v="11"/>
    <m/>
    <m/>
    <s v="Product / Project"/>
    <m/>
    <x v="231"/>
    <s v="Crastal - Exclusivity Agreement (Classique Mechnaical 2S Toaster) 22Mar11.pdf"/>
    <s v=".pdf"/>
    <d v="2014-04-04T00:00:00"/>
    <s v="as\afok"/>
    <m/>
    <m/>
    <m/>
    <m/>
    <m/>
    <m/>
    <s v="Classique Mechnaical 2S Toaster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83"/>
    <x v="39"/>
    <x v="39"/>
    <x v="35"/>
    <x v="3"/>
    <x v="4"/>
    <n v="1544"/>
    <x v="11"/>
    <m/>
    <m/>
    <s v="Product / Project"/>
    <m/>
    <x v="232"/>
    <s v="Crastal - Exclusivity Agreement (Rowneta LS) 7 May10.pdf"/>
    <s v=".pdf"/>
    <d v="2014-04-04T00:00:00"/>
    <s v="as\afok"/>
    <m/>
    <m/>
    <m/>
    <m/>
    <m/>
    <m/>
    <s v="Rowneta LS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80"/>
    <x v="39"/>
    <x v="39"/>
    <x v="35"/>
    <x v="3"/>
    <x v="4"/>
    <n v="1541"/>
    <x v="11"/>
    <m/>
    <m/>
    <s v="Product / Project"/>
    <m/>
    <x v="233"/>
    <s v="Crastal - Exclusivity Agreement (Avanti Full metal) 27Jul10.pdf"/>
    <s v=".pdf"/>
    <d v="2014-04-04T00:00:00"/>
    <s v="as\afok"/>
    <m/>
    <m/>
    <m/>
    <m/>
    <m/>
    <m/>
    <s v="Avanti Full metal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84"/>
    <x v="39"/>
    <x v="39"/>
    <x v="35"/>
    <x v="3"/>
    <x v="4"/>
    <n v="1545"/>
    <x v="11"/>
    <m/>
    <m/>
    <s v="Product / Project"/>
    <m/>
    <x v="231"/>
    <s v="Crastal - Exclusivity Agreement (Classoque Mechanical Kettle) 22Mar11.pdf"/>
    <s v=".pdf"/>
    <d v="2014-04-04T00:00:00"/>
    <s v="as\afok"/>
    <m/>
    <m/>
    <m/>
    <m/>
    <m/>
    <m/>
    <s v="Classoque Mechanical Kettle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54"/>
    <x v="39"/>
    <x v="39"/>
    <x v="35"/>
    <x v="3"/>
    <x v="4"/>
    <n v="1515"/>
    <x v="11"/>
    <m/>
    <m/>
    <s v="Supplier"/>
    <m/>
    <x v="234"/>
    <s v="Crastal Exclusivity Summary 2013-1-7.xlsx"/>
    <s v=".xlsx"/>
    <d v="2014-04-04T00:00:00"/>
    <s v="as\afok"/>
    <s v="Exclusivity Summary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57"/>
    <x v="39"/>
    <x v="39"/>
    <x v="35"/>
    <x v="3"/>
    <x v="4"/>
    <n v="1518"/>
    <x v="11"/>
    <m/>
    <m/>
    <s v="Supplier"/>
    <m/>
    <x v="235"/>
    <s v="CRASTAL_Exclusivity 942007.pdf"/>
    <s v=".pdf"/>
    <d v="2014-04-04T00:00:00"/>
    <s v="as\afok"/>
    <m/>
    <s v="FHA 00 016 ind.0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58"/>
    <x v="39"/>
    <x v="39"/>
    <x v="35"/>
    <x v="3"/>
    <x v="4"/>
    <n v="1519"/>
    <x v="11"/>
    <m/>
    <m/>
    <s v="Supplier"/>
    <m/>
    <x v="236"/>
    <s v="Crastal Exclusivity Summary 2011-05-23.xlsx"/>
    <s v=".xlsx"/>
    <d v="2014-04-04T00:00:00"/>
    <s v="as\afok"/>
    <s v="Exclusivity Summary 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60"/>
    <x v="39"/>
    <x v="39"/>
    <x v="35"/>
    <x v="3"/>
    <x v="4"/>
    <n v="1521"/>
    <x v="11"/>
    <m/>
    <m/>
    <s v="Supplier"/>
    <m/>
    <x v="237"/>
    <s v="CRASTAL -  WORLDWIDE EXCLUSIVITY 20Sep10.XLS"/>
    <s v=".xls"/>
    <d v="2014-04-0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85"/>
    <x v="39"/>
    <x v="39"/>
    <x v="35"/>
    <x v="3"/>
    <x v="4"/>
    <n v="1546"/>
    <x v="0"/>
    <m/>
    <m/>
    <s v="Supplier"/>
    <m/>
    <x v="238"/>
    <s v="Crastal FRD00069 ind.04 20090917.pdf"/>
    <s v=".pdf"/>
    <d v="2014-04-04T00:00:00"/>
    <s v="as\afok"/>
    <m/>
    <s v="FRD 00 069 ind.04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75"/>
    <x v="39"/>
    <x v="39"/>
    <x v="35"/>
    <x v="3"/>
    <x v="4"/>
    <n v="1536"/>
    <x v="12"/>
    <m/>
    <m/>
    <s v="Product / Project"/>
    <m/>
    <x v="239"/>
    <s v="Crastal - IP Agreement (Classique Mechanical 4S Toaster) 22May10.pdf"/>
    <s v=".pdf"/>
    <d v="2014-04-04T00:00:00"/>
    <s v="as\afok"/>
    <m/>
    <m/>
    <m/>
    <m/>
    <m/>
    <m/>
    <s v="Classique Mechanical 4S Toaster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78"/>
    <x v="39"/>
    <x v="39"/>
    <x v="35"/>
    <x v="3"/>
    <x v="4"/>
    <n v="1539"/>
    <x v="12"/>
    <m/>
    <m/>
    <s v="Product / Project"/>
    <m/>
    <x v="240"/>
    <s v="Crastal - IP Agreement (Rowenta LS) 7May10.pdf"/>
    <s v=".pdf"/>
    <d v="2014-04-04T00:00:00"/>
    <s v="as\afok"/>
    <m/>
    <m/>
    <m/>
    <m/>
    <m/>
    <m/>
    <s v="Rowenta LS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79"/>
    <x v="39"/>
    <x v="39"/>
    <x v="35"/>
    <x v="3"/>
    <x v="4"/>
    <n v="1540"/>
    <x v="12"/>
    <m/>
    <m/>
    <s v="Product / Project"/>
    <m/>
    <x v="239"/>
    <s v="Crastal - IP Agreement (Classique Mechanical Kettle) 22May10.pdf"/>
    <s v=".pdf"/>
    <d v="2014-04-04T00:00:00"/>
    <s v="as\afok"/>
    <m/>
    <m/>
    <m/>
    <m/>
    <m/>
    <m/>
    <s v="Classique Mechanical Kettle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77"/>
    <x v="39"/>
    <x v="39"/>
    <x v="35"/>
    <x v="3"/>
    <x v="4"/>
    <n v="1538"/>
    <x v="12"/>
    <m/>
    <m/>
    <s v="Product / Project"/>
    <m/>
    <x v="233"/>
    <s v="Crastal - IP Agreement (Avanti Full Metal) 27Jul10.pdf"/>
    <s v=".pdf"/>
    <d v="2014-04-04T00:00:00"/>
    <s v="as\afok"/>
    <m/>
    <m/>
    <m/>
    <m/>
    <m/>
    <m/>
    <s v="Avanti Full Metal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76"/>
    <x v="39"/>
    <x v="39"/>
    <x v="35"/>
    <x v="3"/>
    <x v="4"/>
    <n v="1537"/>
    <x v="12"/>
    <m/>
    <m/>
    <s v="Product / Project"/>
    <m/>
    <x v="239"/>
    <s v="Crastal - IP Agreement (Classique Mechanical 2S Toaster) 22May10.pdf"/>
    <s v=".pdf"/>
    <d v="2014-04-04T00:00:00"/>
    <s v="as\afok"/>
    <m/>
    <m/>
    <m/>
    <m/>
    <m/>
    <m/>
    <s v="Classique Mechanical 2S Toaster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55"/>
    <x v="39"/>
    <x v="39"/>
    <x v="35"/>
    <x v="3"/>
    <x v="4"/>
    <n v="1516"/>
    <x v="9"/>
    <m/>
    <m/>
    <s v="Product / Project"/>
    <m/>
    <x v="241"/>
    <s v="LOC - Narita 0.6L Kettle 22Mar11.pdf"/>
    <s v=".pdf"/>
    <d v="2014-04-04T00:00:00"/>
    <s v="as\afok"/>
    <m/>
    <m/>
    <m/>
    <m/>
    <m/>
    <m/>
    <s v="Narita 0.6L Kettle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59"/>
    <x v="39"/>
    <x v="39"/>
    <x v="35"/>
    <x v="3"/>
    <x v="4"/>
    <n v="1520"/>
    <x v="8"/>
    <m/>
    <m/>
    <s v="Supplier"/>
    <m/>
    <x v="242"/>
    <s v="Crastal - Responsible Purchasing Charter.pdf"/>
    <s v=".pdf"/>
    <d v="2014-04-0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52"/>
    <x v="39"/>
    <x v="39"/>
    <x v="35"/>
    <x v="3"/>
    <x v="4"/>
    <n v="1513"/>
    <x v="1"/>
    <m/>
    <m/>
    <s v="Supplier"/>
    <m/>
    <x v="71"/>
    <s v="Crastal_SEF_Dec 2012.xlsx"/>
    <s v=".xlsx"/>
    <d v="2014-04-04T00:00:00"/>
    <s v="as\afok"/>
    <m/>
    <s v="2012"/>
    <m/>
    <m/>
    <m/>
    <m/>
    <m/>
    <x v="0"/>
    <x v="0"/>
    <x v="0"/>
    <x v="1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51"/>
    <x v="39"/>
    <x v="39"/>
    <x v="35"/>
    <x v="3"/>
    <x v="4"/>
    <n v="1512"/>
    <x v="2"/>
    <n v="1"/>
    <m/>
    <s v="Supplier"/>
    <m/>
    <x v="243"/>
    <s v="FHA6E502_EN_-_SIF  crastal 2012.xlsx"/>
    <s v=".xlsx"/>
    <d v="2014-04-04T00:00:00"/>
    <s v="as\afok"/>
    <m/>
    <s v="2012"/>
    <m/>
    <m/>
    <m/>
    <m/>
    <m/>
    <x v="0"/>
    <x v="0"/>
    <x v="0"/>
    <x v="0"/>
    <x v="1"/>
    <x v="41"/>
    <x v="46"/>
    <x v="44"/>
    <x v="42"/>
    <x v="40"/>
    <x v="3"/>
    <x v="32"/>
    <x v="28"/>
    <x v="23"/>
    <x v="22"/>
    <m/>
    <x v="0"/>
    <x v="0"/>
    <x v="0"/>
    <x v="0"/>
    <m/>
    <m/>
    <m/>
    <n v="1"/>
    <m/>
    <m/>
    <s v="FP"/>
    <s v="CP"/>
    <s v="SP"/>
    <s v="MOULD"/>
    <s v="FP CP SP MOULD Both"/>
    <x v="1"/>
    <x v="1"/>
    <m/>
    <x v="20"/>
  </r>
  <r>
    <n v="1553"/>
    <x v="39"/>
    <x v="39"/>
    <x v="35"/>
    <x v="3"/>
    <x v="4"/>
    <n v="1514"/>
    <x v="3"/>
    <m/>
    <m/>
    <s v="Supplier"/>
    <m/>
    <x v="222"/>
    <s v="crastal_SPR_201212.pptx"/>
    <s v=".pptx"/>
    <d v="2014-04-04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0"/>
    <x v="40"/>
    <x v="40"/>
    <x v="36"/>
    <x v="5"/>
    <x v="16"/>
    <n v="7"/>
    <x v="4"/>
    <m/>
    <m/>
    <s v="Supplier"/>
    <d v="2015-12-31T00:00:00"/>
    <x v="244"/>
    <s v="Cuori_General Agreement_FHA00016 ind.11 6Apr2012.pdf"/>
    <s v=".pdf"/>
    <d v="2014-03-03T00:00:00"/>
    <s v="as\afok"/>
    <m/>
    <s v="FHA00016 ind.11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3"/>
    <x v="0"/>
    <x v="0"/>
    <n v="1"/>
    <m/>
    <m/>
    <n v="1"/>
    <m/>
    <m/>
    <s v="FP"/>
    <m/>
    <s v="SP"/>
    <s v="MOULD"/>
    <s v="FP SP MOULD "/>
    <x v="0"/>
    <x v="1"/>
    <n v="1"/>
    <x v="21"/>
  </r>
  <r>
    <n v="75"/>
    <x v="40"/>
    <x v="40"/>
    <x v="36"/>
    <x v="5"/>
    <x v="16"/>
    <n v="67"/>
    <x v="5"/>
    <m/>
    <m/>
    <s v="Supplier"/>
    <m/>
    <x v="159"/>
    <s v="Cuori_General Agreement_FHA00016 ind.11 6Apr2012.pdf"/>
    <s v=".pdf"/>
    <d v="2014-03-07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3"/>
    <x v="0"/>
    <x v="0"/>
    <m/>
    <n v="1"/>
    <m/>
    <n v="1"/>
    <m/>
    <m/>
    <s v="FP"/>
    <m/>
    <s v="SP"/>
    <s v="MOULD"/>
    <s v="FP SP MOULD "/>
    <x v="0"/>
    <x v="1"/>
    <n v="1"/>
    <x v="21"/>
  </r>
  <r>
    <n v="73"/>
    <x v="40"/>
    <x v="40"/>
    <x v="36"/>
    <x v="5"/>
    <x v="16"/>
    <n v="65"/>
    <x v="6"/>
    <m/>
    <m/>
    <s v="Supplier"/>
    <m/>
    <x v="159"/>
    <s v="Cuori_General Agreement_FHA00016 ind.11 6Apr2012.pdf"/>
    <s v=".pdf"/>
    <d v="2014-03-07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3"/>
    <x v="0"/>
    <x v="0"/>
    <m/>
    <m/>
    <n v="1"/>
    <n v="1"/>
    <m/>
    <m/>
    <s v="FP"/>
    <m/>
    <s v="SP"/>
    <s v="MOULD"/>
    <s v="FP SP MOULD "/>
    <x v="0"/>
    <x v="1"/>
    <n v="1"/>
    <x v="21"/>
  </r>
  <r>
    <n v="586"/>
    <x v="40"/>
    <x v="40"/>
    <x v="36"/>
    <x v="5"/>
    <x v="16"/>
    <n v="569"/>
    <x v="10"/>
    <m/>
    <m/>
    <s v="Supplier"/>
    <m/>
    <x v="244"/>
    <s v="Cuori_General Agreement_FHA00016 ind.11 6Apr2012.pdf"/>
    <s v=".pdf"/>
    <d v="2014-03-1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3"/>
    <x v="0"/>
    <x v="0"/>
    <m/>
    <m/>
    <m/>
    <n v="1"/>
    <n v="1"/>
    <m/>
    <s v="FP"/>
    <m/>
    <s v="SP"/>
    <s v="MOULD"/>
    <s v="FP SP MOULD "/>
    <x v="0"/>
    <x v="1"/>
    <n v="1"/>
    <x v="21"/>
  </r>
  <r>
    <n v="77"/>
    <x v="40"/>
    <x v="40"/>
    <x v="36"/>
    <x v="5"/>
    <x v="16"/>
    <n v="69"/>
    <x v="7"/>
    <m/>
    <m/>
    <s v="Supplier"/>
    <m/>
    <x v="60"/>
    <s v="CUORI_Env_Declaration_30Mar2010.xls"/>
    <s v=".xls"/>
    <d v="2014-03-07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3"/>
    <x v="0"/>
    <x v="0"/>
    <m/>
    <m/>
    <m/>
    <n v="1"/>
    <m/>
    <m/>
    <s v="FP"/>
    <m/>
    <s v="SP"/>
    <s v="MOULD"/>
    <s v="FP SP MOULD "/>
    <x v="0"/>
    <x v="1"/>
    <n v="1"/>
    <x v="21"/>
  </r>
  <r>
    <n v="74"/>
    <x v="40"/>
    <x v="40"/>
    <x v="36"/>
    <x v="5"/>
    <x v="16"/>
    <n v="66"/>
    <x v="7"/>
    <m/>
    <m/>
    <s v="Supplier"/>
    <m/>
    <x v="159"/>
    <s v="Cuori_General Agreement_FHA00016 ind.11 6Apr2012.pdf"/>
    <s v=".pdf"/>
    <d v="2014-03-07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3"/>
    <x v="0"/>
    <x v="0"/>
    <m/>
    <m/>
    <m/>
    <n v="1"/>
    <m/>
    <m/>
    <s v="FP"/>
    <m/>
    <s v="SP"/>
    <s v="MOULD"/>
    <s v="FP SP MOULD "/>
    <x v="0"/>
    <x v="1"/>
    <n v="1"/>
    <x v="21"/>
  </r>
  <r>
    <n v="78"/>
    <x v="40"/>
    <x v="40"/>
    <x v="36"/>
    <x v="5"/>
    <x v="16"/>
    <n v="70"/>
    <x v="11"/>
    <m/>
    <m/>
    <s v="Product / Project"/>
    <m/>
    <x v="10"/>
    <s v="CUORI_Exclusivity Agreement _DR6000_Apr2012.pdf"/>
    <s v=".pdf"/>
    <d v="2014-03-07T00:00:00"/>
    <s v="as\afok"/>
    <s v="_x000d__x000a_"/>
    <m/>
    <m/>
    <m/>
    <m/>
    <m/>
    <s v="DR6000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3"/>
    <x v="0"/>
    <x v="0"/>
    <m/>
    <m/>
    <m/>
    <n v="1"/>
    <m/>
    <m/>
    <s v="FP"/>
    <m/>
    <s v="SP"/>
    <s v="MOULD"/>
    <s v="FP SP MOULD "/>
    <x v="0"/>
    <x v="1"/>
    <n v="1"/>
    <x v="21"/>
  </r>
  <r>
    <n v="81"/>
    <x v="40"/>
    <x v="40"/>
    <x v="36"/>
    <x v="5"/>
    <x v="16"/>
    <n v="73"/>
    <x v="11"/>
    <m/>
    <m/>
    <s v="Supplier"/>
    <m/>
    <x v="245"/>
    <s v="Cuori_Exclusivity Summary 20130314.xlsx"/>
    <s v=".xlsx"/>
    <d v="2014-03-07T00:00:00"/>
    <s v="as\afok"/>
    <s v="Exclusivity Summary 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3"/>
    <x v="0"/>
    <x v="0"/>
    <m/>
    <m/>
    <m/>
    <n v="1"/>
    <m/>
    <m/>
    <s v="FP"/>
    <m/>
    <s v="SP"/>
    <s v="MOULD"/>
    <s v="FP SP MOULD "/>
    <x v="0"/>
    <x v="1"/>
    <n v="1"/>
    <x v="21"/>
  </r>
  <r>
    <n v="80"/>
    <x v="40"/>
    <x v="40"/>
    <x v="36"/>
    <x v="5"/>
    <x v="16"/>
    <n v="72"/>
    <x v="11"/>
    <m/>
    <m/>
    <s v="Product / Project"/>
    <m/>
    <x v="245"/>
    <s v="Cuori_Exclusivity Agreement-stream iron FMI2_01Feb13.pdf"/>
    <s v=".pdf"/>
    <d v="2014-03-07T00:00:00"/>
    <s v="as\afok"/>
    <m/>
    <m/>
    <m/>
    <m/>
    <m/>
    <m/>
    <s v="stream iron FMI2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3"/>
    <x v="0"/>
    <x v="0"/>
    <m/>
    <m/>
    <m/>
    <n v="1"/>
    <m/>
    <m/>
    <s v="FP"/>
    <m/>
    <s v="SP"/>
    <s v="MOULD"/>
    <s v="FP SP MOULD "/>
    <x v="0"/>
    <x v="1"/>
    <n v="1"/>
    <x v="21"/>
  </r>
  <r>
    <n v="79"/>
    <x v="40"/>
    <x v="40"/>
    <x v="36"/>
    <x v="5"/>
    <x v="16"/>
    <n v="71"/>
    <x v="11"/>
    <m/>
    <m/>
    <s v="Product / Project"/>
    <m/>
    <x v="10"/>
    <s v="CUORI_Exclusivity Agreement _S658A_Apr2012.pdf"/>
    <s v=".pdf"/>
    <d v="2014-03-07T00:00:00"/>
    <s v="as\afok"/>
    <s v="_x000d__x000a_"/>
    <m/>
    <m/>
    <m/>
    <m/>
    <m/>
    <s v="S658A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3"/>
    <x v="0"/>
    <x v="0"/>
    <m/>
    <m/>
    <m/>
    <n v="1"/>
    <m/>
    <m/>
    <s v="FP"/>
    <m/>
    <s v="SP"/>
    <s v="MOULD"/>
    <s v="FP SP MOULD "/>
    <x v="0"/>
    <x v="1"/>
    <n v="1"/>
    <x v="21"/>
  </r>
  <r>
    <n v="86"/>
    <x v="40"/>
    <x v="40"/>
    <x v="36"/>
    <x v="5"/>
    <x v="16"/>
    <n v="78"/>
    <x v="0"/>
    <m/>
    <m/>
    <s v="Supplier"/>
    <m/>
    <x v="143"/>
    <s v="FOODSTUFFS_FRD00069_EN ind05_CUORI_20Mar2012.pdf"/>
    <s v=".pdf"/>
    <d v="2014-03-07T00:00:00"/>
    <s v="as\afok"/>
    <m/>
    <s v="FRD00069 ind.05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3"/>
    <x v="0"/>
    <x v="0"/>
    <m/>
    <m/>
    <m/>
    <n v="1"/>
    <m/>
    <m/>
    <s v="FP"/>
    <m/>
    <s v="SP"/>
    <s v="MOULD"/>
    <s v="FP SP MOULD "/>
    <x v="0"/>
    <x v="1"/>
    <n v="1"/>
    <x v="21"/>
  </r>
  <r>
    <n v="82"/>
    <x v="40"/>
    <x v="40"/>
    <x v="36"/>
    <x v="5"/>
    <x v="16"/>
    <n v="74"/>
    <x v="12"/>
    <m/>
    <m/>
    <s v="Product / Project"/>
    <m/>
    <x v="246"/>
    <s v="CUORI_IP Agreement _Dry Iron ED-261B_2011060.pdf"/>
    <s v=".pdf"/>
    <d v="2014-03-07T00:00:00"/>
    <s v="as\afok"/>
    <s v="_x000d__x000a_"/>
    <m/>
    <m/>
    <m/>
    <m/>
    <m/>
    <s v="Dry Iron ED-261B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3"/>
    <x v="0"/>
    <x v="0"/>
    <m/>
    <m/>
    <m/>
    <n v="1"/>
    <m/>
    <m/>
    <s v="FP"/>
    <m/>
    <s v="SP"/>
    <s v="MOULD"/>
    <s v="FP SP MOULD "/>
    <x v="0"/>
    <x v="1"/>
    <n v="1"/>
    <x v="21"/>
  </r>
  <r>
    <n v="90"/>
    <x v="40"/>
    <x v="40"/>
    <x v="36"/>
    <x v="5"/>
    <x v="16"/>
    <n v="82"/>
    <x v="12"/>
    <m/>
    <m/>
    <s v="Supplier"/>
    <m/>
    <x v="110"/>
    <s v="Cuori_Agreement Intellectual and industrial property rights201105.tif"/>
    <s v=".tif"/>
    <d v="2014-03-0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3"/>
    <x v="0"/>
    <x v="0"/>
    <m/>
    <m/>
    <m/>
    <n v="1"/>
    <m/>
    <m/>
    <s v="FP"/>
    <m/>
    <s v="SP"/>
    <s v="MOULD"/>
    <s v="FP SP MOULD "/>
    <x v="0"/>
    <x v="1"/>
    <n v="1"/>
    <x v="21"/>
  </r>
  <r>
    <n v="83"/>
    <x v="40"/>
    <x v="40"/>
    <x v="36"/>
    <x v="5"/>
    <x v="16"/>
    <n v="75"/>
    <x v="8"/>
    <m/>
    <m/>
    <s v="Supplier"/>
    <m/>
    <x v="247"/>
    <s v="Cuori_Responsible Purchaser Charter_13Aug2012.pdf"/>
    <s v=".pdf"/>
    <d v="2014-03-0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3"/>
    <x v="0"/>
    <x v="0"/>
    <m/>
    <m/>
    <m/>
    <n v="1"/>
    <m/>
    <m/>
    <s v="FP"/>
    <m/>
    <s v="SP"/>
    <s v="MOULD"/>
    <s v="FP SP MOULD "/>
    <x v="0"/>
    <x v="1"/>
    <n v="1"/>
    <x v="21"/>
  </r>
  <r>
    <n v="87"/>
    <x v="40"/>
    <x v="40"/>
    <x v="36"/>
    <x v="5"/>
    <x v="16"/>
    <n v="79"/>
    <x v="1"/>
    <m/>
    <m/>
    <s v="Supplier"/>
    <m/>
    <x v="248"/>
    <s v="SEF_Cuori_Apr2012.xlsx"/>
    <s v=".xlsx"/>
    <d v="2014-03-07T00:00:00"/>
    <s v="as\afok"/>
    <m/>
    <s v="2012"/>
    <m/>
    <m/>
    <m/>
    <m/>
    <m/>
    <x v="0"/>
    <x v="0"/>
    <x v="0"/>
    <x v="27"/>
    <x v="0"/>
    <x v="0"/>
    <x v="0"/>
    <x v="0"/>
    <x v="0"/>
    <x v="0"/>
    <x v="0"/>
    <x v="0"/>
    <x v="0"/>
    <x v="0"/>
    <x v="0"/>
    <s v="FP panel Top 15"/>
    <x v="1"/>
    <x v="3"/>
    <x v="0"/>
    <x v="0"/>
    <m/>
    <m/>
    <m/>
    <n v="1"/>
    <m/>
    <m/>
    <s v="FP"/>
    <m/>
    <s v="SP"/>
    <s v="MOULD"/>
    <s v="FP SP MOULD "/>
    <x v="0"/>
    <x v="1"/>
    <n v="1"/>
    <x v="21"/>
  </r>
  <r>
    <n v="84"/>
    <x v="40"/>
    <x v="40"/>
    <x v="36"/>
    <x v="5"/>
    <x v="16"/>
    <n v="76"/>
    <x v="2"/>
    <m/>
    <m/>
    <s v="Supplier"/>
    <m/>
    <x v="249"/>
    <s v="Cuori_SIF 2012 Feb.xlsx"/>
    <s v=".xlsx"/>
    <d v="2014-03-07T00:00:00"/>
    <s v="as\afok"/>
    <m/>
    <s v="2012"/>
    <m/>
    <m/>
    <m/>
    <m/>
    <m/>
    <x v="0"/>
    <x v="0"/>
    <x v="0"/>
    <x v="0"/>
    <x v="3"/>
    <x v="42"/>
    <x v="47"/>
    <x v="45"/>
    <x v="43"/>
    <x v="41"/>
    <x v="19"/>
    <x v="33"/>
    <x v="29"/>
    <x v="9"/>
    <x v="8"/>
    <s v="FP panel Top 15"/>
    <x v="1"/>
    <x v="3"/>
    <x v="0"/>
    <x v="0"/>
    <m/>
    <m/>
    <m/>
    <n v="1"/>
    <m/>
    <m/>
    <s v="FP"/>
    <m/>
    <s v="SP"/>
    <s v="MOULD"/>
    <s v="FP SP MOULD "/>
    <x v="3"/>
    <x v="1"/>
    <n v="1"/>
    <x v="21"/>
  </r>
  <r>
    <n v="85"/>
    <x v="40"/>
    <x v="40"/>
    <x v="36"/>
    <x v="5"/>
    <x v="16"/>
    <n v="77"/>
    <x v="2"/>
    <n v="1"/>
    <m/>
    <s v="Supplier"/>
    <m/>
    <x v="25"/>
    <s v="Cuori_SIF_Jan2013.xlsx"/>
    <s v=".xlsx"/>
    <d v="2014-03-07T00:00:00"/>
    <s v="as\afok"/>
    <m/>
    <s v="2013"/>
    <m/>
    <m/>
    <m/>
    <m/>
    <m/>
    <x v="0"/>
    <x v="0"/>
    <x v="0"/>
    <x v="0"/>
    <x v="2"/>
    <x v="43"/>
    <x v="48"/>
    <x v="45"/>
    <x v="43"/>
    <x v="41"/>
    <x v="8"/>
    <x v="34"/>
    <x v="29"/>
    <x v="9"/>
    <x v="8"/>
    <s v="FP panel Top 15"/>
    <x v="1"/>
    <x v="3"/>
    <x v="0"/>
    <x v="0"/>
    <m/>
    <m/>
    <m/>
    <n v="1"/>
    <m/>
    <m/>
    <s v="FP"/>
    <m/>
    <s v="SP"/>
    <s v="MOULD"/>
    <s v="FP SP MOULD "/>
    <x v="3"/>
    <x v="1"/>
    <n v="1"/>
    <x v="21"/>
  </r>
  <r>
    <n v="91"/>
    <x v="40"/>
    <x v="40"/>
    <x v="36"/>
    <x v="5"/>
    <x v="16"/>
    <n v="83"/>
    <x v="3"/>
    <m/>
    <m/>
    <s v="Supplier"/>
    <m/>
    <x v="250"/>
    <s v="SPR 2012Jul CUORI.pptx"/>
    <s v=".pptx"/>
    <d v="2014-03-07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3"/>
    <x v="0"/>
    <x v="0"/>
    <m/>
    <m/>
    <m/>
    <n v="1"/>
    <m/>
    <m/>
    <s v="FP"/>
    <m/>
    <s v="SP"/>
    <s v="MOULD"/>
    <s v="FP SP MOULD "/>
    <x v="0"/>
    <x v="1"/>
    <n v="1"/>
    <x v="21"/>
  </r>
  <r>
    <n v="88"/>
    <x v="40"/>
    <x v="40"/>
    <x v="36"/>
    <x v="5"/>
    <x v="16"/>
    <n v="80"/>
    <x v="3"/>
    <m/>
    <m/>
    <s v="Supplier"/>
    <m/>
    <x v="251"/>
    <s v="SPR 2013 Jan CUORI.pptx"/>
    <s v=".pptx"/>
    <d v="2014-03-07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3"/>
    <x v="0"/>
    <x v="0"/>
    <m/>
    <m/>
    <m/>
    <n v="1"/>
    <m/>
    <m/>
    <s v="FP"/>
    <m/>
    <s v="SP"/>
    <s v="MOULD"/>
    <s v="FP SP MOULD "/>
    <x v="0"/>
    <x v="1"/>
    <n v="1"/>
    <x v="21"/>
  </r>
  <r>
    <n v="89"/>
    <x v="40"/>
    <x v="40"/>
    <x v="36"/>
    <x v="5"/>
    <x v="16"/>
    <n v="81"/>
    <x v="3"/>
    <m/>
    <m/>
    <s v="Supplier"/>
    <m/>
    <x v="252"/>
    <s v="SPR 2013 CUORI.pptx"/>
    <s v=".pptx"/>
    <d v="2014-03-07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3"/>
    <x v="0"/>
    <x v="0"/>
    <m/>
    <m/>
    <m/>
    <n v="1"/>
    <m/>
    <m/>
    <s v="FP"/>
    <m/>
    <s v="SP"/>
    <s v="MOULD"/>
    <s v="FP SP MOULD "/>
    <x v="0"/>
    <x v="1"/>
    <n v="1"/>
    <x v="21"/>
  </r>
  <r>
    <n v="1817"/>
    <x v="41"/>
    <x v="41"/>
    <x v="37"/>
    <x v="4"/>
    <x v="17"/>
    <n v="1774"/>
    <x v="6"/>
    <m/>
    <m/>
    <s v="Supplier"/>
    <m/>
    <x v="253"/>
    <s v="DaWangYe_Supply_Chain_Appendix_V.10_13Aug2013.pdf"/>
    <s v=".pdf"/>
    <d v="2014-04-09T00:00:00"/>
    <s v="as\afok"/>
    <m/>
    <s v="V10"/>
    <m/>
    <n v="28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0"/>
    <m/>
    <n v="1"/>
    <m/>
    <s v="CP"/>
    <m/>
    <m/>
    <s v="CP "/>
    <x v="0"/>
    <x v="1"/>
    <m/>
    <x v="6"/>
  </r>
  <r>
    <n v="1811"/>
    <x v="41"/>
    <x v="41"/>
    <x v="37"/>
    <x v="4"/>
    <x v="17"/>
    <n v="1768"/>
    <x v="9"/>
    <m/>
    <m/>
    <s v="Supplier"/>
    <m/>
    <x v="44"/>
    <s v="Da_Wang_Ye_LOC_17MAY2012.pdf"/>
    <s v=".pdf"/>
    <d v="2014-04-0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6"/>
  </r>
  <r>
    <n v="1813"/>
    <x v="41"/>
    <x v="41"/>
    <x v="37"/>
    <x v="4"/>
    <x v="17"/>
    <n v="1770"/>
    <x v="8"/>
    <m/>
    <m/>
    <s v="Supplier"/>
    <m/>
    <x v="254"/>
    <s v="Da_Wang_Ye_Responsible_Purchasing_Charter_02Aug12.pdf"/>
    <s v=".pdf"/>
    <d v="2014-04-0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6"/>
  </r>
  <r>
    <n v="1815"/>
    <x v="41"/>
    <x v="41"/>
    <x v="37"/>
    <x v="4"/>
    <x v="17"/>
    <n v="1772"/>
    <x v="1"/>
    <m/>
    <m/>
    <s v="Supplier"/>
    <m/>
    <x v="255"/>
    <s v="SEF-DWY-20121030-63 (With Andre Comment).xlsx"/>
    <s v=".xlsx"/>
    <d v="2014-04-09T00:00:00"/>
    <s v="as\afok"/>
    <m/>
    <s v="2012"/>
    <m/>
    <m/>
    <m/>
    <m/>
    <m/>
    <x v="0"/>
    <x v="0"/>
    <x v="0"/>
    <x v="2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6"/>
  </r>
  <r>
    <n v="1814"/>
    <x v="41"/>
    <x v="41"/>
    <x v="37"/>
    <x v="4"/>
    <x v="17"/>
    <n v="1771"/>
    <x v="1"/>
    <m/>
    <m/>
    <s v="Supplier"/>
    <m/>
    <x v="168"/>
    <s v="SEF-DWY-20120508-67.xlsx"/>
    <s v=".xlsx"/>
    <d v="2014-04-09T00:00:00"/>
    <s v="as\afok"/>
    <m/>
    <s v="2012"/>
    <m/>
    <m/>
    <m/>
    <m/>
    <m/>
    <x v="0"/>
    <x v="0"/>
    <x v="0"/>
    <x v="2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6"/>
  </r>
  <r>
    <n v="1812"/>
    <x v="41"/>
    <x v="41"/>
    <x v="37"/>
    <x v="4"/>
    <x v="17"/>
    <n v="1769"/>
    <x v="2"/>
    <n v="1"/>
    <m/>
    <s v="Supplier"/>
    <m/>
    <x v="256"/>
    <s v="Da_Wang_Ye_SIF2012_18May12.doc"/>
    <s v=".doc"/>
    <d v="2014-04-09T00:00:00"/>
    <s v="as\afok"/>
    <m/>
    <s v="2012"/>
    <m/>
    <m/>
    <m/>
    <m/>
    <m/>
    <x v="0"/>
    <x v="0"/>
    <x v="0"/>
    <x v="0"/>
    <x v="1"/>
    <x v="44"/>
    <x v="49"/>
    <x v="46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2"/>
    <x v="1"/>
    <m/>
    <x v="6"/>
  </r>
  <r>
    <n v="1816"/>
    <x v="41"/>
    <x v="41"/>
    <x v="37"/>
    <x v="4"/>
    <x v="17"/>
    <n v="1773"/>
    <x v="2"/>
    <m/>
    <m/>
    <s v="Supplier"/>
    <m/>
    <x v="257"/>
    <s v="Da Wang Ye_SIF2013.xls"/>
    <s v=".xls"/>
    <d v="2014-04-09T00:00:00"/>
    <s v="as\afok"/>
    <m/>
    <s v="2013"/>
    <m/>
    <m/>
    <m/>
    <m/>
    <m/>
    <x v="0"/>
    <x v="0"/>
    <x v="0"/>
    <x v="0"/>
    <x v="2"/>
    <x v="45"/>
    <x v="50"/>
    <x v="47"/>
    <x v="44"/>
    <x v="42"/>
    <x v="0"/>
    <x v="0"/>
    <x v="0"/>
    <x v="0"/>
    <x v="0"/>
    <m/>
    <x v="0"/>
    <x v="0"/>
    <x v="0"/>
    <x v="0"/>
    <m/>
    <m/>
    <m/>
    <n v="0"/>
    <m/>
    <m/>
    <m/>
    <s v="CP"/>
    <m/>
    <m/>
    <s v="CP "/>
    <x v="2"/>
    <x v="1"/>
    <m/>
    <x v="6"/>
  </r>
  <r>
    <n v="2316"/>
    <x v="42"/>
    <x v="42"/>
    <x v="38"/>
    <x v="1"/>
    <x v="5"/>
    <n v="2257"/>
    <x v="8"/>
    <m/>
    <m/>
    <s v="Supplier"/>
    <m/>
    <x v="126"/>
    <s v="Daily_Win_Responsible_Purchasing_Charter_16Aug12.pdf"/>
    <s v=".pdf"/>
    <d v="2014-04-1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18"/>
  </r>
  <r>
    <n v="2317"/>
    <x v="42"/>
    <x v="42"/>
    <x v="38"/>
    <x v="1"/>
    <x v="5"/>
    <n v="2258"/>
    <x v="1"/>
    <m/>
    <m/>
    <s v="Supplier"/>
    <m/>
    <x v="88"/>
    <s v="Daily_Win_SEF_2012-1.xlsx"/>
    <s v=".xlsx"/>
    <d v="2014-04-16T00:00:00"/>
    <s v="as\afok"/>
    <m/>
    <s v="2012"/>
    <m/>
    <m/>
    <m/>
    <m/>
    <m/>
    <x v="0"/>
    <x v="0"/>
    <x v="0"/>
    <x v="1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18"/>
  </r>
  <r>
    <n v="2315"/>
    <x v="42"/>
    <x v="42"/>
    <x v="38"/>
    <x v="1"/>
    <x v="5"/>
    <n v="2256"/>
    <x v="1"/>
    <m/>
    <m/>
    <s v="Supplier"/>
    <m/>
    <x v="78"/>
    <s v="Daily Win_SEF_2012-2.xlsx"/>
    <s v=".xlsx"/>
    <d v="2014-04-16T00:00:00"/>
    <s v="as\afok"/>
    <m/>
    <s v="2012"/>
    <m/>
    <m/>
    <m/>
    <m/>
    <m/>
    <x v="0"/>
    <x v="0"/>
    <x v="0"/>
    <x v="1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18"/>
  </r>
  <r>
    <n v="2318"/>
    <x v="42"/>
    <x v="42"/>
    <x v="38"/>
    <x v="1"/>
    <x v="5"/>
    <n v="2259"/>
    <x v="2"/>
    <m/>
    <m/>
    <s v="Supplier"/>
    <m/>
    <x v="258"/>
    <s v="Daily_Win_SIF_2010.xls"/>
    <s v=".xls"/>
    <d v="2014-04-16T00:00:00"/>
    <s v="as\afok"/>
    <m/>
    <s v="2010"/>
    <m/>
    <m/>
    <m/>
    <m/>
    <m/>
    <x v="0"/>
    <x v="0"/>
    <x v="0"/>
    <x v="0"/>
    <x v="4"/>
    <x v="46"/>
    <x v="51"/>
    <x v="0"/>
    <x v="0"/>
    <x v="0"/>
    <x v="0"/>
    <x v="35"/>
    <x v="0"/>
    <x v="0"/>
    <x v="0"/>
    <m/>
    <x v="0"/>
    <x v="0"/>
    <x v="0"/>
    <x v="0"/>
    <m/>
    <m/>
    <m/>
    <n v="0"/>
    <m/>
    <n v="1"/>
    <m/>
    <s v="CP"/>
    <m/>
    <m/>
    <s v="CP "/>
    <x v="2"/>
    <x v="1"/>
    <m/>
    <x v="18"/>
  </r>
  <r>
    <n v="1822"/>
    <x v="43"/>
    <x v="43"/>
    <x v="39"/>
    <x v="4"/>
    <x v="17"/>
    <n v="1779"/>
    <x v="7"/>
    <m/>
    <m/>
    <s v="Supplier"/>
    <m/>
    <x v="259"/>
    <s v="Dalong_Env_Declaration2010.xlsx"/>
    <s v=".xlsx"/>
    <d v="2014-04-09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s v="CP"/>
    <m/>
    <m/>
    <s v="CP "/>
    <x v="0"/>
    <x v="1"/>
    <m/>
    <x v="4"/>
  </r>
  <r>
    <n v="1821"/>
    <x v="43"/>
    <x v="43"/>
    <x v="39"/>
    <x v="4"/>
    <x v="17"/>
    <n v="1778"/>
    <x v="8"/>
    <m/>
    <m/>
    <s v="Supplier"/>
    <m/>
    <x v="260"/>
    <s v="Dalong_Responsible Purchasing Charter_20Nov12.pdf"/>
    <s v=".pdf"/>
    <d v="2014-04-0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4"/>
  </r>
  <r>
    <n v="1819"/>
    <x v="43"/>
    <x v="43"/>
    <x v="39"/>
    <x v="4"/>
    <x v="17"/>
    <n v="1776"/>
    <x v="1"/>
    <m/>
    <m/>
    <s v="Supplier"/>
    <m/>
    <x v="130"/>
    <s v="SEF-Dalong-20121101-76.XLSX"/>
    <s v=".xlsx"/>
    <d v="2014-04-09T00:00:00"/>
    <s v="as\afok"/>
    <m/>
    <s v="2012"/>
    <m/>
    <m/>
    <m/>
    <m/>
    <m/>
    <x v="0"/>
    <x v="0"/>
    <x v="0"/>
    <x v="5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4"/>
  </r>
  <r>
    <n v="1818"/>
    <x v="43"/>
    <x v="43"/>
    <x v="39"/>
    <x v="4"/>
    <x v="17"/>
    <n v="1775"/>
    <x v="1"/>
    <m/>
    <m/>
    <s v="Supplier"/>
    <m/>
    <x v="261"/>
    <s v="SEF-Dalong-20120806-75.xlsx"/>
    <s v=".xlsx"/>
    <d v="2014-04-09T00:00:00"/>
    <s v="as\afok"/>
    <m/>
    <s v="2012"/>
    <m/>
    <m/>
    <m/>
    <m/>
    <m/>
    <x v="0"/>
    <x v="0"/>
    <x v="0"/>
    <x v="1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4"/>
  </r>
  <r>
    <n v="1820"/>
    <x v="43"/>
    <x v="43"/>
    <x v="39"/>
    <x v="4"/>
    <x v="17"/>
    <n v="1777"/>
    <x v="2"/>
    <n v="1"/>
    <m/>
    <s v="Supplier"/>
    <m/>
    <x v="260"/>
    <s v="Dalong_SIF2012_20Nov12.xls"/>
    <s v=".xls"/>
    <d v="2014-04-09T00:00:00"/>
    <s v="as\afok"/>
    <m/>
    <s v="2012"/>
    <m/>
    <m/>
    <m/>
    <m/>
    <m/>
    <x v="0"/>
    <x v="0"/>
    <x v="0"/>
    <x v="0"/>
    <x v="1"/>
    <x v="1"/>
    <x v="52"/>
    <x v="48"/>
    <x v="45"/>
    <x v="42"/>
    <x v="0"/>
    <x v="24"/>
    <x v="22"/>
    <x v="6"/>
    <x v="9"/>
    <m/>
    <x v="0"/>
    <x v="0"/>
    <x v="0"/>
    <x v="0"/>
    <m/>
    <m/>
    <m/>
    <n v="0"/>
    <m/>
    <m/>
    <m/>
    <s v="CP"/>
    <m/>
    <m/>
    <s v="CP "/>
    <x v="2"/>
    <x v="1"/>
    <m/>
    <x v="4"/>
  </r>
  <r>
    <n v="1999"/>
    <x v="44"/>
    <x v="44"/>
    <x v="40"/>
    <x v="4"/>
    <x v="14"/>
    <n v="1943"/>
    <x v="4"/>
    <m/>
    <m/>
    <s v="Supplier"/>
    <m/>
    <x v="262"/>
    <s v="Dave_Plastic_Purchase_Agreement_2008.pdf"/>
    <s v=".pdf"/>
    <d v="2014-04-10T00:00:00"/>
    <s v="as\afok"/>
    <m/>
    <s v="V5"/>
    <s v="37D4 - Within 45 days due net on posting date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n v="1"/>
    <m/>
    <m/>
    <n v="1"/>
    <m/>
    <m/>
    <m/>
    <s v="CP"/>
    <m/>
    <m/>
    <s v="CP "/>
    <x v="0"/>
    <x v="1"/>
    <m/>
    <x v="8"/>
  </r>
  <r>
    <n v="1998"/>
    <x v="45"/>
    <x v="45"/>
    <x v="40"/>
    <x v="4"/>
    <x v="14"/>
    <n v="1943"/>
    <x v="4"/>
    <m/>
    <m/>
    <s v="Supplier"/>
    <m/>
    <x v="262"/>
    <s v="Dave_Plastic_Purchase_Agreement_2008.pdf"/>
    <s v=".pdf"/>
    <d v="2014-04-10T00:00:00"/>
    <s v="as\afok"/>
    <m/>
    <s v="V5"/>
    <s v="37D4 - Within 45 days due net on posting date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n v="1"/>
    <m/>
    <m/>
    <n v="1"/>
    <m/>
    <m/>
    <m/>
    <s v="CP"/>
    <m/>
    <m/>
    <s v="CP "/>
    <x v="0"/>
    <x v="1"/>
    <m/>
    <x v="2"/>
  </r>
  <r>
    <n v="2001"/>
    <x v="44"/>
    <x v="44"/>
    <x v="40"/>
    <x v="4"/>
    <x v="14"/>
    <n v="1944"/>
    <x v="5"/>
    <m/>
    <m/>
    <s v="Supplier"/>
    <m/>
    <x v="262"/>
    <s v="Dave_Plastic_Purchase_Agreement_2008.pdf"/>
    <s v=".pdf"/>
    <d v="2014-04-10T00:00:00"/>
    <s v="as\afok"/>
    <m/>
    <s v="FHA 00 014 ind.07"/>
    <m/>
    <m/>
    <m/>
    <n v="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n v="1"/>
    <m/>
    <n v="1"/>
    <n v="1"/>
    <m/>
    <m/>
    <s v="CP"/>
    <m/>
    <m/>
    <s v="CP "/>
    <x v="0"/>
    <x v="1"/>
    <m/>
    <x v="8"/>
  </r>
  <r>
    <n v="2000"/>
    <x v="45"/>
    <x v="45"/>
    <x v="40"/>
    <x v="4"/>
    <x v="14"/>
    <n v="1944"/>
    <x v="5"/>
    <m/>
    <m/>
    <s v="Supplier"/>
    <m/>
    <x v="262"/>
    <s v="Dave_Plastic_Purchase_Agreement_2008.pdf"/>
    <s v=".pdf"/>
    <d v="2014-04-10T00:00:00"/>
    <s v="as\afok"/>
    <m/>
    <s v="FHA 00 014 ind.07"/>
    <m/>
    <m/>
    <m/>
    <n v="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n v="1"/>
    <m/>
    <n v="1"/>
    <m/>
    <m/>
    <m/>
    <s v="CP"/>
    <m/>
    <m/>
    <s v="CP "/>
    <x v="0"/>
    <x v="1"/>
    <m/>
    <x v="2"/>
  </r>
  <r>
    <n v="1989"/>
    <x v="44"/>
    <x v="44"/>
    <x v="40"/>
    <x v="4"/>
    <x v="14"/>
    <n v="1938"/>
    <x v="7"/>
    <m/>
    <m/>
    <s v="Supplier"/>
    <m/>
    <x v="60"/>
    <s v="Dave_Plastic_Env_Declaration_30Mar2010.pdf"/>
    <s v=".pdf"/>
    <d v="2014-04-10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8"/>
  </r>
  <r>
    <n v="1988"/>
    <x v="45"/>
    <x v="45"/>
    <x v="40"/>
    <x v="4"/>
    <x v="14"/>
    <n v="1938"/>
    <x v="7"/>
    <m/>
    <m/>
    <s v="Supplier"/>
    <m/>
    <x v="60"/>
    <s v="Dave_Plastic_Env_Declaration_30Mar2010.pdf"/>
    <s v=".pdf"/>
    <d v="2014-04-10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2"/>
  </r>
  <r>
    <n v="1997"/>
    <x v="44"/>
    <x v="44"/>
    <x v="40"/>
    <x v="4"/>
    <x v="14"/>
    <n v="1942"/>
    <x v="9"/>
    <m/>
    <m/>
    <s v="Supplier"/>
    <m/>
    <x v="263"/>
    <s v="LOC_Dave_2011.pdf"/>
    <s v=".pdf"/>
    <d v="2014-04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8"/>
  </r>
  <r>
    <n v="1996"/>
    <x v="45"/>
    <x v="45"/>
    <x v="40"/>
    <x v="4"/>
    <x v="14"/>
    <n v="1942"/>
    <x v="9"/>
    <m/>
    <m/>
    <s v="Supplier"/>
    <m/>
    <x v="263"/>
    <s v="LOC_Dave_2011.pdf"/>
    <s v=".pdf"/>
    <d v="2014-04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2"/>
  </r>
  <r>
    <n v="1991"/>
    <x v="44"/>
    <x v="44"/>
    <x v="40"/>
    <x v="4"/>
    <x v="14"/>
    <n v="1939"/>
    <x v="8"/>
    <m/>
    <m/>
    <s v="Supplier"/>
    <m/>
    <x v="264"/>
    <s v="Dave_Responsible_Purchasing_Charter_10AUG12.pdf"/>
    <s v=".pdf"/>
    <d v="2014-04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8"/>
  </r>
  <r>
    <n v="1990"/>
    <x v="45"/>
    <x v="45"/>
    <x v="40"/>
    <x v="4"/>
    <x v="14"/>
    <n v="1939"/>
    <x v="8"/>
    <m/>
    <m/>
    <s v="Supplier"/>
    <m/>
    <x v="264"/>
    <s v="Dave_Responsible_Purchasing_Charter_10AUG12.pdf"/>
    <s v=".pdf"/>
    <d v="2014-04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2"/>
  </r>
  <r>
    <n v="1995"/>
    <x v="44"/>
    <x v="44"/>
    <x v="40"/>
    <x v="4"/>
    <x v="14"/>
    <n v="1941"/>
    <x v="1"/>
    <m/>
    <m/>
    <s v="Supplier"/>
    <m/>
    <x v="265"/>
    <s v="Dave_SEF_Dec2011_R2.xlsx"/>
    <s v=".xlsx"/>
    <d v="2014-04-10T00:00:00"/>
    <s v="as\afok"/>
    <m/>
    <s v="2011"/>
    <m/>
    <m/>
    <m/>
    <m/>
    <m/>
    <x v="0"/>
    <x v="0"/>
    <x v="0"/>
    <x v="15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8"/>
  </r>
  <r>
    <n v="1994"/>
    <x v="45"/>
    <x v="45"/>
    <x v="40"/>
    <x v="4"/>
    <x v="14"/>
    <n v="1941"/>
    <x v="1"/>
    <m/>
    <m/>
    <s v="Supplier"/>
    <m/>
    <x v="265"/>
    <s v="Dave_SEF_Dec2011_R2.xlsx"/>
    <s v=".xlsx"/>
    <d v="2014-04-10T00:00:00"/>
    <s v="as\afok"/>
    <m/>
    <s v="2011"/>
    <m/>
    <m/>
    <m/>
    <m/>
    <m/>
    <x v="0"/>
    <x v="0"/>
    <x v="0"/>
    <x v="15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2"/>
  </r>
  <r>
    <n v="1987"/>
    <x v="44"/>
    <x v="44"/>
    <x v="40"/>
    <x v="4"/>
    <x v="14"/>
    <n v="1937"/>
    <x v="2"/>
    <m/>
    <m/>
    <s v="Supplier"/>
    <m/>
    <x v="34"/>
    <s v="Dave_SIF2013.xlsx"/>
    <s v=".xlsx"/>
    <d v="2014-04-10T00:00:00"/>
    <s v="as\afok"/>
    <m/>
    <s v="2013"/>
    <m/>
    <m/>
    <m/>
    <m/>
    <m/>
    <x v="0"/>
    <x v="0"/>
    <x v="0"/>
    <x v="0"/>
    <x v="2"/>
    <x v="47"/>
    <x v="53"/>
    <x v="49"/>
    <x v="46"/>
    <x v="43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2"/>
    <x v="1"/>
    <m/>
    <x v="8"/>
  </r>
  <r>
    <n v="1986"/>
    <x v="45"/>
    <x v="45"/>
    <x v="40"/>
    <x v="4"/>
    <x v="14"/>
    <n v="1937"/>
    <x v="2"/>
    <m/>
    <m/>
    <s v="Supplier"/>
    <m/>
    <x v="34"/>
    <s v="Dave_SIF2013.xlsx"/>
    <s v=".xlsx"/>
    <d v="2014-04-10T00:00:00"/>
    <s v="as\afok"/>
    <m/>
    <s v="2013"/>
    <m/>
    <m/>
    <m/>
    <m/>
    <m/>
    <x v="0"/>
    <x v="0"/>
    <x v="0"/>
    <x v="0"/>
    <x v="2"/>
    <x v="47"/>
    <x v="53"/>
    <x v="49"/>
    <x v="46"/>
    <x v="43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2"/>
    <x v="1"/>
    <m/>
    <x v="2"/>
  </r>
  <r>
    <n v="1993"/>
    <x v="44"/>
    <x v="44"/>
    <x v="40"/>
    <x v="4"/>
    <x v="14"/>
    <n v="1940"/>
    <x v="3"/>
    <m/>
    <m/>
    <s v="Supplier"/>
    <m/>
    <x v="75"/>
    <s v="SPR_Dave_OCT_2012R4-22Oct2012.pptx"/>
    <s v=".pptx"/>
    <d v="2014-04-10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8"/>
  </r>
  <r>
    <n v="1992"/>
    <x v="45"/>
    <x v="45"/>
    <x v="40"/>
    <x v="4"/>
    <x v="14"/>
    <n v="1940"/>
    <x v="3"/>
    <m/>
    <m/>
    <s v="Supplier"/>
    <m/>
    <x v="75"/>
    <s v="SPR_Dave_OCT_2012R4-22Oct2012.pptx"/>
    <s v=".pptx"/>
    <d v="2014-04-10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2"/>
  </r>
  <r>
    <n v="1384"/>
    <x v="46"/>
    <x v="46"/>
    <x v="41"/>
    <x v="5"/>
    <x v="12"/>
    <n v="1347"/>
    <x v="4"/>
    <m/>
    <m/>
    <s v="Supplier"/>
    <m/>
    <x v="266"/>
    <s v="Dawei_SUPPLY Agreement_25Sep12.pdf"/>
    <s v=".pdf"/>
    <d v="2014-04-01T00:00:00"/>
    <s v="as\afok"/>
    <m/>
    <s v="V7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n v="1"/>
    <m/>
    <m/>
    <n v="1"/>
    <m/>
    <m/>
    <m/>
    <s v="CP"/>
    <m/>
    <m/>
    <s v="CP "/>
    <x v="0"/>
    <x v="1"/>
    <m/>
    <x v="8"/>
  </r>
  <r>
    <n v="1377"/>
    <x v="46"/>
    <x v="46"/>
    <x v="41"/>
    <x v="5"/>
    <x v="12"/>
    <n v="1346"/>
    <x v="5"/>
    <m/>
    <m/>
    <s v="Supplier"/>
    <m/>
    <x v="132"/>
    <s v="DAWEI_Quality Appendix_25Sep12.pdf"/>
    <s v=".pdf"/>
    <d v="2014-04-01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n v="1"/>
    <m/>
    <n v="1"/>
    <m/>
    <m/>
    <m/>
    <s v="CP"/>
    <m/>
    <m/>
    <s v="CP "/>
    <x v="0"/>
    <x v="1"/>
    <m/>
    <x v="8"/>
  </r>
  <r>
    <n v="1374"/>
    <x v="46"/>
    <x v="46"/>
    <x v="41"/>
    <x v="5"/>
    <x v="12"/>
    <n v="1343"/>
    <x v="6"/>
    <m/>
    <m/>
    <s v="Supplier"/>
    <m/>
    <x v="267"/>
    <s v="DAWEI_Supply Chain(leadtime update)_21Jul2013.pdf"/>
    <s v=".pdf"/>
    <d v="2014-04-01T00:00:00"/>
    <s v="as\afok"/>
    <m/>
    <m/>
    <m/>
    <n v="30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n v="1"/>
    <n v="1"/>
    <m/>
    <m/>
    <m/>
    <s v="CP"/>
    <m/>
    <m/>
    <s v="CP "/>
    <x v="0"/>
    <x v="1"/>
    <m/>
    <x v="8"/>
  </r>
  <r>
    <n v="1381"/>
    <x v="46"/>
    <x v="46"/>
    <x v="41"/>
    <x v="5"/>
    <x v="12"/>
    <n v="1350"/>
    <x v="6"/>
    <m/>
    <m/>
    <s v="Supplier"/>
    <m/>
    <x v="132"/>
    <s v="Dawei_SUPPLY Agreement_25Sep12.pdf"/>
    <s v=".pdf"/>
    <d v="2014-04-01T00:00:00"/>
    <s v="as\afok"/>
    <m/>
    <m/>
    <m/>
    <n v="0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n v="1"/>
    <n v="1"/>
    <m/>
    <m/>
    <m/>
    <s v="CP"/>
    <m/>
    <m/>
    <s v="CP "/>
    <x v="0"/>
    <x v="1"/>
    <m/>
    <x v="8"/>
  </r>
  <r>
    <n v="1382"/>
    <x v="46"/>
    <x v="46"/>
    <x v="41"/>
    <x v="5"/>
    <x v="12"/>
    <n v="1351"/>
    <x v="10"/>
    <m/>
    <m/>
    <s v="Supplier"/>
    <m/>
    <x v="266"/>
    <s v="Dawei_SUPPLY Agreement_25Sep12.pdf"/>
    <s v=".pdf"/>
    <d v="2014-04-0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1"/>
    <m/>
    <m/>
    <m/>
    <s v="CP"/>
    <m/>
    <m/>
    <s v="CP "/>
    <x v="0"/>
    <x v="1"/>
    <m/>
    <x v="8"/>
  </r>
  <r>
    <n v="1385"/>
    <x v="46"/>
    <x v="46"/>
    <x v="41"/>
    <x v="5"/>
    <x v="12"/>
    <n v="1353"/>
    <x v="8"/>
    <m/>
    <m/>
    <s v="Supplier"/>
    <m/>
    <x v="268"/>
    <s v="DAWEI_Responsible Purchasing Charter_27Sep2012.pdf"/>
    <s v=".pdf"/>
    <d v="2014-04-0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1"/>
    <n v="1"/>
    <m/>
    <m/>
    <s v="CP"/>
    <m/>
    <m/>
    <s v="CP "/>
    <x v="0"/>
    <x v="1"/>
    <m/>
    <x v="8"/>
  </r>
  <r>
    <n v="1375"/>
    <x v="46"/>
    <x v="46"/>
    <x v="41"/>
    <x v="5"/>
    <x v="12"/>
    <n v="1344"/>
    <x v="1"/>
    <m/>
    <m/>
    <s v="Supplier"/>
    <m/>
    <x v="269"/>
    <s v="Dawei_SEF_Nov 2012_v2.xlsx"/>
    <s v=".xlsx"/>
    <d v="2014-04-01T00:00:00"/>
    <s v="as\afok"/>
    <m/>
    <s v="2012"/>
    <m/>
    <m/>
    <m/>
    <m/>
    <m/>
    <x v="0"/>
    <x v="0"/>
    <x v="0"/>
    <x v="10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1"/>
    <m/>
    <m/>
    <m/>
    <s v="CP"/>
    <m/>
    <m/>
    <s v="CP "/>
    <x v="0"/>
    <x v="1"/>
    <m/>
    <x v="8"/>
  </r>
  <r>
    <n v="1383"/>
    <x v="46"/>
    <x v="46"/>
    <x v="41"/>
    <x v="5"/>
    <x v="12"/>
    <n v="1352"/>
    <x v="2"/>
    <n v="1"/>
    <m/>
    <s v="Supplier"/>
    <m/>
    <x v="270"/>
    <s v="DAWEI_SIF_23Sep2012.xls"/>
    <s v=".xls"/>
    <d v="2014-04-01T00:00:00"/>
    <s v="as\afok"/>
    <m/>
    <s v="2012"/>
    <m/>
    <m/>
    <m/>
    <m/>
    <m/>
    <x v="0"/>
    <x v="0"/>
    <x v="0"/>
    <x v="0"/>
    <x v="1"/>
    <x v="2"/>
    <x v="54"/>
    <x v="50"/>
    <x v="47"/>
    <x v="44"/>
    <x v="6"/>
    <x v="24"/>
    <x v="22"/>
    <x v="6"/>
    <x v="9"/>
    <s v="CP Panel"/>
    <x v="0"/>
    <x v="0"/>
    <x v="1"/>
    <x v="6"/>
    <m/>
    <m/>
    <m/>
    <n v="1"/>
    <m/>
    <m/>
    <m/>
    <s v="CP"/>
    <m/>
    <m/>
    <s v="CP "/>
    <x v="2"/>
    <x v="1"/>
    <m/>
    <x v="8"/>
  </r>
  <r>
    <n v="1373"/>
    <x v="46"/>
    <x v="46"/>
    <x v="41"/>
    <x v="5"/>
    <x v="12"/>
    <n v="1342"/>
    <x v="2"/>
    <m/>
    <m/>
    <s v="Supplier"/>
    <m/>
    <x v="271"/>
    <s v="DAWEI_SIF_13May2013.xlsx"/>
    <s v=".xlsx"/>
    <d v="2014-04-01T00:00:00"/>
    <s v="as\afok"/>
    <m/>
    <s v="2013"/>
    <m/>
    <m/>
    <m/>
    <m/>
    <m/>
    <x v="0"/>
    <x v="0"/>
    <x v="0"/>
    <x v="0"/>
    <x v="2"/>
    <x v="48"/>
    <x v="5"/>
    <x v="50"/>
    <x v="47"/>
    <x v="44"/>
    <x v="6"/>
    <x v="24"/>
    <x v="22"/>
    <x v="6"/>
    <x v="9"/>
    <s v="CP Panel"/>
    <x v="0"/>
    <x v="0"/>
    <x v="1"/>
    <x v="6"/>
    <m/>
    <m/>
    <m/>
    <n v="1"/>
    <m/>
    <m/>
    <m/>
    <s v="CP"/>
    <m/>
    <m/>
    <s v="CP "/>
    <x v="2"/>
    <x v="1"/>
    <m/>
    <x v="8"/>
  </r>
  <r>
    <n v="1005"/>
    <x v="47"/>
    <x v="47"/>
    <x v="42"/>
    <x v="1"/>
    <x v="11"/>
    <n v="982"/>
    <x v="7"/>
    <m/>
    <m/>
    <s v="Supplier"/>
    <m/>
    <x v="272"/>
    <s v="DB_Env_Declaration_22Mar2010.xls"/>
    <s v=".xls"/>
    <d v="2014-03-24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s v="CP"/>
    <m/>
    <m/>
    <s v="CP "/>
    <x v="0"/>
    <x v="1"/>
    <m/>
    <x v="8"/>
  </r>
  <r>
    <n v="1003"/>
    <x v="47"/>
    <x v="47"/>
    <x v="42"/>
    <x v="1"/>
    <x v="11"/>
    <n v="980"/>
    <x v="8"/>
    <m/>
    <m/>
    <s v="Supplier"/>
    <m/>
    <x v="84"/>
    <s v="DB_Products_Responsible_Purchasing_Charter_20Aug12.pdf"/>
    <s v=".pdf"/>
    <d v="2014-03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1002"/>
    <x v="47"/>
    <x v="47"/>
    <x v="42"/>
    <x v="1"/>
    <x v="11"/>
    <n v="979"/>
    <x v="1"/>
    <m/>
    <m/>
    <s v="Supplier"/>
    <m/>
    <x v="273"/>
    <s v="DB product_SEF_2012.xlsx"/>
    <s v=".xlsx"/>
    <d v="2014-03-24T00:00:00"/>
    <s v="as\afok"/>
    <m/>
    <s v="2012"/>
    <m/>
    <m/>
    <m/>
    <m/>
    <m/>
    <x v="0"/>
    <x v="0"/>
    <x v="0"/>
    <x v="16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1004"/>
    <x v="47"/>
    <x v="47"/>
    <x v="42"/>
    <x v="1"/>
    <x v="11"/>
    <n v="981"/>
    <x v="2"/>
    <n v="1"/>
    <m/>
    <s v="Supplier"/>
    <m/>
    <x v="103"/>
    <s v="DB_SIF_19May2010.xls"/>
    <s v=".xls"/>
    <d v="2014-03-24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2"/>
    <x v="1"/>
    <m/>
    <x v="8"/>
  </r>
  <r>
    <n v="2708"/>
    <x v="48"/>
    <x v="48"/>
    <x v="43"/>
    <x v="3"/>
    <x v="4"/>
    <n v="2551"/>
    <x v="4"/>
    <m/>
    <m/>
    <s v="Supplier"/>
    <m/>
    <x v="274"/>
    <s v="DCH_General agreement_ind.11_2013-01-09.pdf"/>
    <s v=".pdf"/>
    <d v="2014-04-24T00:00:00"/>
    <s v="as\afok"/>
    <m/>
    <s v="FHA 00 016 ind.11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m/>
    <s v="SP"/>
    <s v="MOULD"/>
    <s v="FP SP MOULD "/>
    <x v="0"/>
    <x v="1"/>
    <m/>
    <x v="12"/>
  </r>
  <r>
    <n v="2717"/>
    <x v="48"/>
    <x v="48"/>
    <x v="43"/>
    <x v="3"/>
    <x v="4"/>
    <n v="2560"/>
    <x v="4"/>
    <m/>
    <m/>
    <s v="Supplier"/>
    <m/>
    <x v="275"/>
    <s v="Victory _ Development and Supply Agreement (General Agreement).pdf"/>
    <s v=".pdf"/>
    <d v="2014-04-24T00:00:00"/>
    <s v="as\afok"/>
    <m/>
    <m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n v="1"/>
    <m/>
    <s v="FP"/>
    <m/>
    <s v="SP"/>
    <s v="MOULD"/>
    <s v="FP SP MOULD "/>
    <x v="0"/>
    <x v="1"/>
    <m/>
    <x v="12"/>
  </r>
  <r>
    <n v="2711"/>
    <x v="48"/>
    <x v="48"/>
    <x v="43"/>
    <x v="3"/>
    <x v="4"/>
    <n v="2554"/>
    <x v="5"/>
    <m/>
    <m/>
    <s v="Supplier"/>
    <m/>
    <x v="274"/>
    <s v="DCH_General agreement_ind.11_2013-01-09.pdf"/>
    <s v=".pdf"/>
    <d v="2014-04-24T00:00:00"/>
    <s v="as\afok"/>
    <m/>
    <m/>
    <m/>
    <m/>
    <m/>
    <n v="3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m/>
    <s v="SP"/>
    <s v="MOULD"/>
    <s v="FP SP MOULD "/>
    <x v="0"/>
    <x v="1"/>
    <m/>
    <x v="12"/>
  </r>
  <r>
    <n v="2710"/>
    <x v="48"/>
    <x v="48"/>
    <x v="43"/>
    <x v="3"/>
    <x v="4"/>
    <n v="2553"/>
    <x v="6"/>
    <m/>
    <m/>
    <s v="Supplier"/>
    <m/>
    <x v="274"/>
    <s v="DCH_General agreement_ind.11_2013-01-09.pdf"/>
    <s v=".pdf"/>
    <d v="2014-04-24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m/>
    <s v="SP"/>
    <s v="MOULD"/>
    <s v="FP SP MOULD "/>
    <x v="0"/>
    <x v="1"/>
    <m/>
    <x v="12"/>
  </r>
  <r>
    <n v="2712"/>
    <x v="48"/>
    <x v="48"/>
    <x v="43"/>
    <x v="3"/>
    <x v="4"/>
    <n v="2555"/>
    <x v="10"/>
    <m/>
    <m/>
    <s v="Supplier"/>
    <m/>
    <x v="276"/>
    <s v="DCH_General agreement_ind.11_2013-01-09.pdf"/>
    <s v=".pdf"/>
    <d v="2014-04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12"/>
  </r>
  <r>
    <n v="2709"/>
    <x v="48"/>
    <x v="48"/>
    <x v="43"/>
    <x v="3"/>
    <x v="4"/>
    <n v="2552"/>
    <x v="7"/>
    <m/>
    <m/>
    <s v="Supplier"/>
    <m/>
    <x v="274"/>
    <s v="DCH_General agreement_ind.11_2013-01-09.pdf"/>
    <s v=".pdf"/>
    <d v="2014-04-24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12"/>
  </r>
  <r>
    <n v="2713"/>
    <x v="48"/>
    <x v="48"/>
    <x v="43"/>
    <x v="3"/>
    <x v="4"/>
    <n v="2556"/>
    <x v="11"/>
    <m/>
    <m/>
    <s v="Supplier"/>
    <m/>
    <x v="277"/>
    <s v="DCH -  WORLDWIDE EXCLUSIVITY 23Sep10.XLS"/>
    <s v=".xls"/>
    <d v="2014-04-24T00:00:00"/>
    <s v="as\afok"/>
    <s v="Exclusivity Summary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12"/>
  </r>
  <r>
    <n v="2715"/>
    <x v="48"/>
    <x v="48"/>
    <x v="43"/>
    <x v="3"/>
    <x v="4"/>
    <n v="2558"/>
    <x v="8"/>
    <m/>
    <m/>
    <s v="Supplier"/>
    <m/>
    <x v="70"/>
    <s v="DCH - Responsible Purchasing Charter.pdf"/>
    <s v=".pdf"/>
    <d v="2014-04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12"/>
  </r>
  <r>
    <n v="2714"/>
    <x v="48"/>
    <x v="48"/>
    <x v="43"/>
    <x v="3"/>
    <x v="4"/>
    <n v="2557"/>
    <x v="1"/>
    <m/>
    <m/>
    <s v="Supplier"/>
    <m/>
    <x v="72"/>
    <s v="SEF_DCH_201206.xlsx"/>
    <s v=".xlsx"/>
    <d v="2014-04-24T00:00:00"/>
    <s v="as\afok"/>
    <m/>
    <s v="2012"/>
    <m/>
    <m/>
    <m/>
    <m/>
    <m/>
    <x v="0"/>
    <x v="0"/>
    <x v="0"/>
    <x v="2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12"/>
  </r>
  <r>
    <n v="2707"/>
    <x v="48"/>
    <x v="48"/>
    <x v="43"/>
    <x v="3"/>
    <x v="4"/>
    <n v="2550"/>
    <x v="2"/>
    <m/>
    <m/>
    <s v="Supplier"/>
    <m/>
    <x v="278"/>
    <s v="SIF 2013 DCH.xlsx"/>
    <s v=".xlsx"/>
    <d v="2014-04-24T00:00:00"/>
    <s v="as\afok"/>
    <m/>
    <s v="2013"/>
    <m/>
    <m/>
    <m/>
    <m/>
    <m/>
    <x v="0"/>
    <x v="0"/>
    <x v="0"/>
    <x v="0"/>
    <x v="2"/>
    <x v="49"/>
    <x v="55"/>
    <x v="51"/>
    <x v="48"/>
    <x v="45"/>
    <x v="20"/>
    <x v="36"/>
    <x v="30"/>
    <x v="24"/>
    <x v="11"/>
    <m/>
    <x v="0"/>
    <x v="0"/>
    <x v="0"/>
    <x v="0"/>
    <m/>
    <m/>
    <m/>
    <n v="1"/>
    <m/>
    <m/>
    <s v="FP"/>
    <m/>
    <s v="SP"/>
    <s v="MOULD"/>
    <s v="FP SP MOULD "/>
    <x v="3"/>
    <x v="1"/>
    <m/>
    <x v="12"/>
  </r>
  <r>
    <n v="2716"/>
    <x v="48"/>
    <x v="48"/>
    <x v="43"/>
    <x v="3"/>
    <x v="4"/>
    <n v="2559"/>
    <x v="3"/>
    <m/>
    <m/>
    <s v="Supplier"/>
    <m/>
    <x v="279"/>
    <s v="Victory_SPR_2009.xlsx"/>
    <s v=".xlsx"/>
    <d v="2014-04-24T00:00:00"/>
    <s v="as\afok"/>
    <m/>
    <s v="2009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12"/>
  </r>
  <r>
    <n v="1761"/>
    <x v="49"/>
    <x v="49"/>
    <x v="44"/>
    <x v="5"/>
    <x v="7"/>
    <n v="1718"/>
    <x v="4"/>
    <m/>
    <m/>
    <s v="Supplier"/>
    <m/>
    <x v="280"/>
    <s v="Dechang_Supply Agreement_Components_31May2013.pdf"/>
    <s v=".pdf"/>
    <d v="2014-04-08T00:00:00"/>
    <s v="as\afok"/>
    <m/>
    <s v="V8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n v="1"/>
    <m/>
    <m/>
    <n v="1"/>
    <m/>
    <m/>
    <m/>
    <m/>
    <m/>
    <m/>
    <s v=""/>
    <x v="0"/>
    <x v="1"/>
    <m/>
    <x v="3"/>
  </r>
  <r>
    <n v="1763"/>
    <x v="49"/>
    <x v="49"/>
    <x v="44"/>
    <x v="5"/>
    <x v="7"/>
    <n v="1720"/>
    <x v="5"/>
    <m/>
    <m/>
    <s v="Supplier"/>
    <m/>
    <x v="102"/>
    <s v="Dechang_Supply Agreement_Components_31May2013.pdf"/>
    <s v=".pdf"/>
    <d v="2014-04-08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n v="1"/>
    <m/>
    <n v="1"/>
    <m/>
    <m/>
    <m/>
    <m/>
    <m/>
    <m/>
    <s v=""/>
    <x v="0"/>
    <x v="1"/>
    <m/>
    <x v="3"/>
  </r>
  <r>
    <n v="1764"/>
    <x v="49"/>
    <x v="49"/>
    <x v="44"/>
    <x v="5"/>
    <x v="7"/>
    <n v="1721"/>
    <x v="6"/>
    <m/>
    <m/>
    <s v="Supplier"/>
    <m/>
    <x v="102"/>
    <s v="Dechang_Supply Agreement_Components_31May2013.pdf"/>
    <s v=".pdf"/>
    <d v="2014-04-08T00:00:00"/>
    <s v="as\afok"/>
    <m/>
    <m/>
    <m/>
    <n v="4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n v="1"/>
    <n v="1"/>
    <m/>
    <m/>
    <m/>
    <m/>
    <m/>
    <m/>
    <s v=""/>
    <x v="0"/>
    <x v="1"/>
    <m/>
    <x v="3"/>
  </r>
  <r>
    <n v="1765"/>
    <x v="49"/>
    <x v="49"/>
    <x v="44"/>
    <x v="5"/>
    <x v="7"/>
    <n v="1722"/>
    <x v="10"/>
    <m/>
    <m/>
    <s v="Supplier"/>
    <m/>
    <x v="190"/>
    <s v="Dechang_Supply Agreement_Components_31May2013.pdf"/>
    <s v=".pdf"/>
    <d v="2014-04-0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1"/>
    <m/>
    <m/>
    <m/>
    <m/>
    <m/>
    <m/>
    <s v=""/>
    <x v="0"/>
    <x v="1"/>
    <m/>
    <x v="3"/>
  </r>
  <r>
    <n v="1762"/>
    <x v="49"/>
    <x v="49"/>
    <x v="44"/>
    <x v="5"/>
    <x v="7"/>
    <n v="1719"/>
    <x v="7"/>
    <m/>
    <m/>
    <s v="Supplier"/>
    <m/>
    <x v="280"/>
    <s v="Dechang_Supply Agreement_Components_31May2013.pdf"/>
    <s v=".pdf"/>
    <d v="2014-04-08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1"/>
    <m/>
    <m/>
    <m/>
    <m/>
    <m/>
    <m/>
    <s v=""/>
    <x v="0"/>
    <x v="1"/>
    <m/>
    <x v="3"/>
  </r>
  <r>
    <n v="1766"/>
    <x v="49"/>
    <x v="49"/>
    <x v="44"/>
    <x v="5"/>
    <x v="7"/>
    <n v="1723"/>
    <x v="9"/>
    <m/>
    <m/>
    <s v="Supplier"/>
    <m/>
    <x v="102"/>
    <s v="Dechang_LOC_31May2013.pdf"/>
    <s v=".pdf"/>
    <d v="2014-04-0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1"/>
    <m/>
    <m/>
    <m/>
    <m/>
    <m/>
    <m/>
    <s v=""/>
    <x v="0"/>
    <x v="1"/>
    <m/>
    <x v="3"/>
  </r>
  <r>
    <n v="1768"/>
    <x v="49"/>
    <x v="49"/>
    <x v="44"/>
    <x v="5"/>
    <x v="7"/>
    <n v="1725"/>
    <x v="8"/>
    <m/>
    <m/>
    <s v="Supplier"/>
    <m/>
    <x v="280"/>
    <s v="Dechang_Responsible purchasing charter_31May2013.pdf"/>
    <s v=".pdf"/>
    <d v="2014-04-0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1"/>
    <n v="1"/>
    <m/>
    <m/>
    <m/>
    <m/>
    <m/>
    <s v=""/>
    <x v="0"/>
    <x v="1"/>
    <m/>
    <x v="3"/>
  </r>
  <r>
    <n v="1767"/>
    <x v="49"/>
    <x v="49"/>
    <x v="44"/>
    <x v="5"/>
    <x v="7"/>
    <n v="1724"/>
    <x v="2"/>
    <m/>
    <m/>
    <s v="Supplier"/>
    <m/>
    <x v="281"/>
    <s v="De Chang_SIF_Feb2014.xls"/>
    <s v=".xls"/>
    <d v="2014-04-08T00:00:00"/>
    <s v="as\afok"/>
    <m/>
    <s v="2014"/>
    <m/>
    <m/>
    <m/>
    <m/>
    <m/>
    <x v="0"/>
    <x v="0"/>
    <x v="0"/>
    <x v="0"/>
    <x v="3"/>
    <x v="50"/>
    <x v="56"/>
    <x v="52"/>
    <x v="49"/>
    <x v="46"/>
    <x v="0"/>
    <x v="0"/>
    <x v="0"/>
    <x v="0"/>
    <x v="0"/>
    <s v="CP Panel"/>
    <x v="0"/>
    <x v="0"/>
    <x v="1"/>
    <x v="6"/>
    <m/>
    <m/>
    <m/>
    <n v="1"/>
    <m/>
    <m/>
    <m/>
    <m/>
    <m/>
    <m/>
    <s v=""/>
    <x v="2"/>
    <x v="1"/>
    <m/>
    <x v="3"/>
  </r>
  <r>
    <n v="607"/>
    <x v="50"/>
    <x v="50"/>
    <x v="45"/>
    <x v="1"/>
    <x v="13"/>
    <n v="590"/>
    <x v="4"/>
    <m/>
    <m/>
    <s v="Supplier"/>
    <m/>
    <x v="282"/>
    <s v="DEL_Manufacturing_agreement_20nov2012.pdf"/>
    <s v=".pdf"/>
    <d v="2014-03-19T00:00:00"/>
    <s v="as\afok"/>
    <m/>
    <m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m/>
    <m/>
    <s v="FP"/>
    <s v="CP"/>
    <s v="SP"/>
    <s v="MOULD"/>
    <s v="FP CP SP MOULD Both"/>
    <x v="0"/>
    <x v="1"/>
    <m/>
    <x v="13"/>
  </r>
  <r>
    <n v="610"/>
    <x v="50"/>
    <x v="50"/>
    <x v="45"/>
    <x v="1"/>
    <x v="13"/>
    <n v="593"/>
    <x v="5"/>
    <m/>
    <m/>
    <s v="Supplier"/>
    <m/>
    <x v="283"/>
    <s v="DEL_Manufacturing_agreement_20nov2012.pdf"/>
    <s v=".pdf"/>
    <d v="2014-03-19T00:00:00"/>
    <s v="as\afok"/>
    <m/>
    <s v="V4"/>
    <m/>
    <m/>
    <m/>
    <n v="10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n v="1"/>
    <m/>
    <n v="1"/>
    <m/>
    <m/>
    <s v="FP"/>
    <s v="CP"/>
    <s v="SP"/>
    <s v="MOULD"/>
    <s v="FP CP SP MOULD Both"/>
    <x v="0"/>
    <x v="1"/>
    <m/>
    <x v="13"/>
  </r>
  <r>
    <n v="609"/>
    <x v="50"/>
    <x v="50"/>
    <x v="45"/>
    <x v="1"/>
    <x v="13"/>
    <n v="592"/>
    <x v="10"/>
    <m/>
    <m/>
    <s v="Supplier"/>
    <m/>
    <x v="284"/>
    <s v="DEL_Manufacturing_agreement_20nov2012.pdf"/>
    <s v=".pdf"/>
    <d v="2014-03-1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s v="FP"/>
    <s v="CP"/>
    <s v="SP"/>
    <s v="MOULD"/>
    <s v="FP CP SP MOULD Both"/>
    <x v="0"/>
    <x v="1"/>
    <m/>
    <x v="13"/>
  </r>
  <r>
    <n v="608"/>
    <x v="50"/>
    <x v="50"/>
    <x v="45"/>
    <x v="1"/>
    <x v="13"/>
    <n v="591"/>
    <x v="7"/>
    <m/>
    <m/>
    <s v="Supplier"/>
    <m/>
    <x v="285"/>
    <s v="DEL_Manufacturing_agreement_20nov2012.pdf"/>
    <s v=".pdf"/>
    <d v="2014-03-19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s v="FP"/>
    <s v="CP"/>
    <s v="SP"/>
    <s v="MOULD"/>
    <s v="FP CP SP MOULD Both"/>
    <x v="0"/>
    <x v="1"/>
    <m/>
    <x v="13"/>
  </r>
  <r>
    <n v="606"/>
    <x v="50"/>
    <x v="50"/>
    <x v="45"/>
    <x v="1"/>
    <x v="13"/>
    <n v="589"/>
    <x v="7"/>
    <m/>
    <m/>
    <s v="Supplier"/>
    <m/>
    <x v="286"/>
    <s v="Del_Manufacturing_Env_Declaration_13May2010.xls"/>
    <s v=".xls"/>
    <d v="2014-03-19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s v="FP"/>
    <s v="CP"/>
    <s v="SP"/>
    <s v="MOULD"/>
    <s v="FP CP SP MOULD Both"/>
    <x v="0"/>
    <x v="1"/>
    <m/>
    <x v="13"/>
  </r>
  <r>
    <n v="603"/>
    <x v="51"/>
    <x v="51"/>
    <x v="45"/>
    <x v="1"/>
    <x v="13"/>
    <n v="586"/>
    <x v="13"/>
    <m/>
    <m/>
    <s v="Supplier"/>
    <d v="2011-10-15T00:00:00"/>
    <x v="287"/>
    <s v="Defond_ISO9001_07Sep2010.pdf"/>
    <s v=".pdf"/>
    <d v="2014-03-1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s v="SP"/>
    <m/>
    <s v="CP SP Both"/>
    <x v="0"/>
    <x v="1"/>
    <m/>
    <x v="22"/>
  </r>
  <r>
    <n v="615"/>
    <x v="50"/>
    <x v="50"/>
    <x v="45"/>
    <x v="1"/>
    <x v="13"/>
    <n v="598"/>
    <x v="9"/>
    <m/>
    <m/>
    <s v="Supplier"/>
    <m/>
    <x v="263"/>
    <s v="LOC_Defond_2011.pdf"/>
    <s v=".pdf"/>
    <d v="2014-03-1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n v="1"/>
    <m/>
    <s v="FP"/>
    <s v="CP"/>
    <s v="SP"/>
    <s v="MOULD"/>
    <s v="FP CP SP MOULD Both"/>
    <x v="0"/>
    <x v="1"/>
    <m/>
    <x v="13"/>
  </r>
  <r>
    <n v="605"/>
    <x v="51"/>
    <x v="51"/>
    <x v="45"/>
    <x v="1"/>
    <x v="13"/>
    <n v="588"/>
    <x v="8"/>
    <m/>
    <m/>
    <s v="Supplier"/>
    <m/>
    <x v="288"/>
    <s v="Defond_Responsible_Purchasing_Charter_28Aug2012.pdf"/>
    <s v=".pdf"/>
    <d v="2014-03-1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s v="SP"/>
    <m/>
    <s v="CP SP Both"/>
    <x v="0"/>
    <x v="1"/>
    <m/>
    <x v="22"/>
  </r>
  <r>
    <n v="592"/>
    <x v="51"/>
    <x v="51"/>
    <x v="45"/>
    <x v="1"/>
    <x v="13"/>
    <n v="575"/>
    <x v="1"/>
    <m/>
    <m/>
    <s v="Supplier"/>
    <m/>
    <x v="138"/>
    <s v="Defond Industrial_SEF_2013-1.xlsx"/>
    <s v=".xlsx"/>
    <d v="2014-03-19T00:00:00"/>
    <s v="as\afok"/>
    <m/>
    <s v="2013"/>
    <m/>
    <m/>
    <m/>
    <m/>
    <m/>
    <x v="0"/>
    <x v="0"/>
    <x v="0"/>
    <x v="19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s v="SP"/>
    <m/>
    <s v="CP SP Both"/>
    <x v="0"/>
    <x v="1"/>
    <m/>
    <x v="22"/>
  </r>
  <r>
    <n v="613"/>
    <x v="50"/>
    <x v="50"/>
    <x v="45"/>
    <x v="1"/>
    <x v="13"/>
    <n v="596"/>
    <x v="1"/>
    <m/>
    <m/>
    <s v="Supplier"/>
    <m/>
    <x v="145"/>
    <s v="Defond Manufacturing_SEF_2012.xls"/>
    <s v=".xls"/>
    <d v="2014-03-19T00:00:00"/>
    <s v="as\afok"/>
    <m/>
    <s v="2012"/>
    <m/>
    <m/>
    <m/>
    <m/>
    <m/>
    <x v="0"/>
    <x v="0"/>
    <x v="0"/>
    <x v="14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s v="FP"/>
    <s v="CP"/>
    <s v="SP"/>
    <s v="MOULD"/>
    <s v="FP CP SP MOULD Both"/>
    <x v="0"/>
    <x v="1"/>
    <m/>
    <x v="13"/>
  </r>
  <r>
    <n v="611"/>
    <x v="50"/>
    <x v="50"/>
    <x v="45"/>
    <x v="1"/>
    <x v="13"/>
    <n v="594"/>
    <x v="1"/>
    <m/>
    <m/>
    <s v="Supplier"/>
    <m/>
    <x v="130"/>
    <s v="Defond Mfg_SEF 2012 Nov.xls"/>
    <s v=".xls"/>
    <d v="2014-03-19T00:00:00"/>
    <s v="as\afok"/>
    <m/>
    <s v="2012"/>
    <m/>
    <m/>
    <m/>
    <m/>
    <m/>
    <x v="0"/>
    <x v="0"/>
    <x v="0"/>
    <x v="14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s v="FP"/>
    <s v="CP"/>
    <s v="SP"/>
    <s v="MOULD"/>
    <s v="FP CP SP MOULD Both"/>
    <x v="0"/>
    <x v="1"/>
    <m/>
    <x v="13"/>
  </r>
  <r>
    <n v="601"/>
    <x v="50"/>
    <x v="50"/>
    <x v="45"/>
    <x v="1"/>
    <x v="13"/>
    <n v="584"/>
    <x v="3"/>
    <m/>
    <m/>
    <s v="Supplier"/>
    <m/>
    <x v="75"/>
    <s v="Defond MFG-VT_SPR_OCT2012.ppt"/>
    <s v=".ppt"/>
    <d v="2014-03-19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s v="FP"/>
    <s v="CP"/>
    <s v="SP"/>
    <s v="MOULD"/>
    <s v="FP CP SP MOULD Both"/>
    <x v="0"/>
    <x v="1"/>
    <m/>
    <x v="13"/>
  </r>
  <r>
    <n v="595"/>
    <x v="52"/>
    <x v="52"/>
    <x v="46"/>
    <x v="1"/>
    <x v="13"/>
    <n v="578"/>
    <x v="4"/>
    <m/>
    <m/>
    <s v="Supplier"/>
    <m/>
    <x v="21"/>
    <s v="DEL_Component_General Agreement_4FEB2013.pdf"/>
    <s v=".pdf"/>
    <d v="2014-03-19T00:00:00"/>
    <s v="as\afok"/>
    <m/>
    <s v="V8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n v="1"/>
    <m/>
    <m/>
    <n v="1"/>
    <m/>
    <m/>
    <m/>
    <s v="CP"/>
    <m/>
    <m/>
    <s v="CP "/>
    <x v="0"/>
    <x v="1"/>
    <m/>
    <x v="23"/>
  </r>
  <r>
    <n v="597"/>
    <x v="52"/>
    <x v="52"/>
    <x v="46"/>
    <x v="1"/>
    <x v="13"/>
    <n v="580"/>
    <x v="5"/>
    <m/>
    <m/>
    <s v="Supplier"/>
    <m/>
    <x v="289"/>
    <s v="DEL_Component_General Agreement_4FEB2013.pdf"/>
    <s v=".pdf"/>
    <d v="2014-03-19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n v="1"/>
    <m/>
    <n v="1"/>
    <m/>
    <m/>
    <m/>
    <s v="CP"/>
    <m/>
    <m/>
    <s v="CP "/>
    <x v="0"/>
    <x v="1"/>
    <m/>
    <x v="23"/>
  </r>
  <r>
    <n v="598"/>
    <x v="52"/>
    <x v="52"/>
    <x v="46"/>
    <x v="1"/>
    <x v="13"/>
    <n v="581"/>
    <x v="6"/>
    <m/>
    <m/>
    <s v="Supplier"/>
    <m/>
    <x v="289"/>
    <s v="DEL_Component_General Agreement_4FEB2013.pdf"/>
    <s v=".pdf"/>
    <d v="2014-03-19T00:00:00"/>
    <s v="as\afok"/>
    <m/>
    <m/>
    <m/>
    <n v="21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n v="1"/>
    <n v="1"/>
    <m/>
    <m/>
    <m/>
    <s v="CP"/>
    <m/>
    <m/>
    <s v="CP "/>
    <x v="0"/>
    <x v="1"/>
    <m/>
    <x v="23"/>
  </r>
  <r>
    <n v="599"/>
    <x v="52"/>
    <x v="52"/>
    <x v="46"/>
    <x v="1"/>
    <x v="13"/>
    <n v="582"/>
    <x v="10"/>
    <m/>
    <m/>
    <s v="Supplier"/>
    <m/>
    <x v="283"/>
    <s v="DEL_Component_General Agreement_4FEB2013.pdf"/>
    <s v=".pdf"/>
    <d v="2014-03-1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23"/>
  </r>
  <r>
    <n v="596"/>
    <x v="52"/>
    <x v="52"/>
    <x v="46"/>
    <x v="1"/>
    <x v="13"/>
    <n v="579"/>
    <x v="7"/>
    <m/>
    <m/>
    <s v="Supplier"/>
    <m/>
    <x v="21"/>
    <s v="DEL_Component_General Agreement_4FEB2013.pdf"/>
    <s v=".pdf"/>
    <d v="2014-03-19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23"/>
  </r>
  <r>
    <n v="604"/>
    <x v="52"/>
    <x v="52"/>
    <x v="46"/>
    <x v="1"/>
    <x v="13"/>
    <n v="587"/>
    <x v="14"/>
    <m/>
    <m/>
    <s v="Supplier"/>
    <d v="2011-05-09T00:00:00"/>
    <x v="290"/>
    <s v="Defond_ISO14001_16Oct2008.pdf"/>
    <s v=".pdf"/>
    <d v="2014-03-1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23"/>
  </r>
  <r>
    <n v="600"/>
    <x v="52"/>
    <x v="52"/>
    <x v="46"/>
    <x v="1"/>
    <x v="13"/>
    <n v="583"/>
    <x v="8"/>
    <m/>
    <m/>
    <s v="Supplier"/>
    <m/>
    <x v="21"/>
    <s v="DEL_Component_Responsible_Purchasing_Charter_04Feb2013.pdf"/>
    <s v=".pdf"/>
    <d v="2014-03-1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23"/>
  </r>
  <r>
    <n v="593"/>
    <x v="52"/>
    <x v="52"/>
    <x v="46"/>
    <x v="1"/>
    <x v="13"/>
    <n v="576"/>
    <x v="1"/>
    <m/>
    <m/>
    <s v="Supplier"/>
    <m/>
    <x v="138"/>
    <s v="DEL components_SEF_2013-1.xlsx"/>
    <s v=".xlsx"/>
    <d v="2014-03-19T00:00:00"/>
    <s v="as\afok"/>
    <m/>
    <s v="2013"/>
    <m/>
    <m/>
    <m/>
    <m/>
    <m/>
    <x v="0"/>
    <x v="0"/>
    <x v="0"/>
    <x v="19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23"/>
  </r>
  <r>
    <n v="614"/>
    <x v="52"/>
    <x v="52"/>
    <x v="46"/>
    <x v="1"/>
    <x v="13"/>
    <n v="597"/>
    <x v="1"/>
    <m/>
    <m/>
    <s v="Supplier"/>
    <m/>
    <x v="248"/>
    <s v="Defond Components_SEF_2012.xlsx"/>
    <s v=".xlsx"/>
    <d v="2014-03-19T00:00:00"/>
    <s v="as\afok"/>
    <m/>
    <s v="2012"/>
    <m/>
    <m/>
    <m/>
    <m/>
    <m/>
    <x v="0"/>
    <x v="0"/>
    <x v="0"/>
    <x v="7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n v="1"/>
    <m/>
    <m/>
    <s v="CP"/>
    <m/>
    <m/>
    <s v="CP "/>
    <x v="0"/>
    <x v="1"/>
    <m/>
    <x v="23"/>
  </r>
  <r>
    <n v="612"/>
    <x v="52"/>
    <x v="52"/>
    <x v="46"/>
    <x v="1"/>
    <x v="13"/>
    <n v="595"/>
    <x v="1"/>
    <m/>
    <m/>
    <s v="Supplier"/>
    <m/>
    <x v="130"/>
    <s v="Defond Components_SEF 2012 Nov.xlsx"/>
    <s v=".xlsx"/>
    <d v="2014-03-19T00:00:00"/>
    <s v="as\afok"/>
    <m/>
    <s v="2012"/>
    <m/>
    <m/>
    <m/>
    <m/>
    <m/>
    <x v="0"/>
    <x v="0"/>
    <x v="0"/>
    <x v="25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23"/>
  </r>
  <r>
    <n v="594"/>
    <x v="52"/>
    <x v="52"/>
    <x v="46"/>
    <x v="1"/>
    <x v="13"/>
    <n v="577"/>
    <x v="2"/>
    <n v="1"/>
    <m/>
    <s v="Supplier"/>
    <m/>
    <x v="289"/>
    <s v="DEL components_SEF_2013-1.xlsx"/>
    <s v=".xlsx"/>
    <d v="2014-03-19T00:00:00"/>
    <s v="as\afok"/>
    <m/>
    <s v="2013"/>
    <m/>
    <m/>
    <m/>
    <m/>
    <m/>
    <x v="0"/>
    <x v="0"/>
    <x v="0"/>
    <x v="0"/>
    <x v="2"/>
    <x v="48"/>
    <x v="52"/>
    <x v="53"/>
    <x v="45"/>
    <x v="47"/>
    <x v="21"/>
    <x v="8"/>
    <x v="0"/>
    <x v="0"/>
    <x v="0"/>
    <s v="CP Panel"/>
    <x v="0"/>
    <x v="0"/>
    <x v="1"/>
    <x v="2"/>
    <m/>
    <m/>
    <m/>
    <n v="1"/>
    <m/>
    <m/>
    <m/>
    <s v="CP"/>
    <m/>
    <m/>
    <s v="CP "/>
    <x v="2"/>
    <x v="1"/>
    <m/>
    <x v="23"/>
  </r>
  <r>
    <n v="602"/>
    <x v="52"/>
    <x v="52"/>
    <x v="46"/>
    <x v="1"/>
    <x v="13"/>
    <n v="585"/>
    <x v="3"/>
    <m/>
    <m/>
    <s v="Supplier"/>
    <m/>
    <x v="75"/>
    <s v="Defond components (switch)_SPR_OCT2012.pptx"/>
    <s v=".pptx"/>
    <d v="2014-03-19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23"/>
  </r>
  <r>
    <n v="1777"/>
    <x v="53"/>
    <x v="53"/>
    <x v="47"/>
    <x v="0"/>
    <x v="18"/>
    <n v="1734"/>
    <x v="4"/>
    <m/>
    <m/>
    <s v="Product / Project"/>
    <m/>
    <x v="291"/>
    <s v="DICKSON_Supply Agreement_0437_ 82007C.PDF"/>
    <s v=".pdf"/>
    <d v="2014-04-08T00:00:00"/>
    <s v="as\afok"/>
    <m/>
    <m/>
    <s v="0001 - Payable immediately due net"/>
    <m/>
    <m/>
    <m/>
    <s v="0437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0"/>
    <m/>
    <m/>
    <s v="FP"/>
    <m/>
    <s v="SP"/>
    <m/>
    <s v="FP SP "/>
    <x v="0"/>
    <x v="1"/>
    <m/>
    <x v="24"/>
  </r>
  <r>
    <n v="1773"/>
    <x v="53"/>
    <x v="53"/>
    <x v="47"/>
    <x v="0"/>
    <x v="18"/>
    <n v="1730"/>
    <x v="4"/>
    <m/>
    <m/>
    <s v="Supplier"/>
    <m/>
    <x v="292"/>
    <s v="DICKSON_Supply_Agreement_0323_23Apr2004.pdf"/>
    <s v=".pdf"/>
    <d v="2014-04-08T00:00:00"/>
    <s v="as\afok"/>
    <m/>
    <m/>
    <s v="0001 - Payable immediately due net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0"/>
    <m/>
    <m/>
    <s v="FP"/>
    <m/>
    <s v="SP"/>
    <m/>
    <s v="FP SP "/>
    <x v="0"/>
    <x v="1"/>
    <m/>
    <x v="24"/>
  </r>
  <r>
    <n v="1774"/>
    <x v="53"/>
    <x v="53"/>
    <x v="47"/>
    <x v="0"/>
    <x v="18"/>
    <n v="1731"/>
    <x v="4"/>
    <m/>
    <m/>
    <s v="Product / Project"/>
    <m/>
    <x v="293"/>
    <s v="DICKSON_Supply_Agreement_0414_06Jul2006.pdf"/>
    <s v=".pdf"/>
    <d v="2014-04-08T00:00:00"/>
    <s v="as\afok"/>
    <m/>
    <m/>
    <s v="0001 - Payable immediately due net"/>
    <m/>
    <m/>
    <m/>
    <s v="0414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0"/>
    <m/>
    <m/>
    <s v="FP"/>
    <m/>
    <s v="SP"/>
    <m/>
    <s v="FP SP "/>
    <x v="0"/>
    <x v="1"/>
    <m/>
    <x v="24"/>
  </r>
  <r>
    <n v="1778"/>
    <x v="53"/>
    <x v="53"/>
    <x v="47"/>
    <x v="0"/>
    <x v="18"/>
    <n v="1735"/>
    <x v="4"/>
    <m/>
    <m/>
    <s v="Product / Project"/>
    <m/>
    <x v="291"/>
    <s v="DICKSON_Supply Agreement_0440_82007B.PDF"/>
    <s v=".pdf"/>
    <d v="2014-04-08T00:00:00"/>
    <s v="as\afok"/>
    <m/>
    <m/>
    <s v="0001 - Payable immediately due net"/>
    <m/>
    <m/>
    <m/>
    <s v="0440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0"/>
    <m/>
    <m/>
    <s v="FP"/>
    <m/>
    <s v="SP"/>
    <m/>
    <s v="FP SP "/>
    <x v="0"/>
    <x v="1"/>
    <m/>
    <x v="24"/>
  </r>
  <r>
    <n v="1779"/>
    <x v="53"/>
    <x v="53"/>
    <x v="47"/>
    <x v="0"/>
    <x v="18"/>
    <n v="1736"/>
    <x v="4"/>
    <m/>
    <m/>
    <s v="Product / Project"/>
    <m/>
    <x v="291"/>
    <s v="DICKSON_Supply Agreement_0441_82007A.PDF"/>
    <s v=".pdf"/>
    <d v="2014-04-08T00:00:00"/>
    <s v="as\afok"/>
    <m/>
    <m/>
    <s v="0001 - Payable immediately due net"/>
    <m/>
    <m/>
    <m/>
    <s v="0441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0"/>
    <m/>
    <m/>
    <s v="FP"/>
    <m/>
    <s v="SP"/>
    <m/>
    <s v="FP SP "/>
    <x v="0"/>
    <x v="1"/>
    <m/>
    <x v="24"/>
  </r>
  <r>
    <n v="1782"/>
    <x v="53"/>
    <x v="53"/>
    <x v="47"/>
    <x v="0"/>
    <x v="18"/>
    <n v="1739"/>
    <x v="4"/>
    <m/>
    <m/>
    <s v="Supplier"/>
    <m/>
    <x v="294"/>
    <s v="Dickson FHA00016 ind.09 20090227.pdf"/>
    <s v=".pdf"/>
    <d v="2014-04-08T00:00:00"/>
    <s v="as\afok"/>
    <m/>
    <s v="FHA 00 016 ind.09"/>
    <s v="37E3 - 30 days end of month due net on posting date 37E3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0"/>
    <m/>
    <n v="1"/>
    <s v="FP"/>
    <m/>
    <s v="SP"/>
    <m/>
    <s v="FP SP "/>
    <x v="0"/>
    <x v="1"/>
    <m/>
    <x v="24"/>
  </r>
  <r>
    <n v="1775"/>
    <x v="53"/>
    <x v="53"/>
    <x v="47"/>
    <x v="0"/>
    <x v="18"/>
    <n v="1732"/>
    <x v="7"/>
    <m/>
    <m/>
    <s v="Supplier"/>
    <m/>
    <x v="295"/>
    <s v="Dickson_Env_Declaration_03Jun2010.xls"/>
    <s v=".xls"/>
    <d v="2014-04-08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m/>
    <s v="FP SP "/>
    <x v="0"/>
    <x v="1"/>
    <m/>
    <x v="24"/>
  </r>
  <r>
    <n v="1776"/>
    <x v="53"/>
    <x v="53"/>
    <x v="47"/>
    <x v="0"/>
    <x v="18"/>
    <n v="1733"/>
    <x v="11"/>
    <m/>
    <m/>
    <s v="Supplier"/>
    <m/>
    <x v="296"/>
    <s v="DICKSON _Exclusivity_372007.pdf"/>
    <s v=".pdf"/>
    <d v="2014-04-08T00:00:00"/>
    <s v="as\afok"/>
    <m/>
    <s v="FHA 00 034 ind.0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m/>
    <s v="FP SP "/>
    <x v="0"/>
    <x v="1"/>
    <m/>
    <x v="24"/>
  </r>
  <r>
    <n v="1780"/>
    <x v="53"/>
    <x v="53"/>
    <x v="47"/>
    <x v="0"/>
    <x v="18"/>
    <n v="1737"/>
    <x v="11"/>
    <m/>
    <m/>
    <s v="Supplier"/>
    <m/>
    <x v="297"/>
    <s v="Dickson - Exclusivity Agreement 7May10.pdf"/>
    <s v=".pdf"/>
    <d v="2014-04-08T00:00:00"/>
    <s v="as\afok"/>
    <m/>
    <s v="FRD 6E 030 ind.0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m/>
    <s v="FP SP "/>
    <x v="0"/>
    <x v="1"/>
    <m/>
    <x v="24"/>
  </r>
  <r>
    <n v="1781"/>
    <x v="53"/>
    <x v="53"/>
    <x v="47"/>
    <x v="0"/>
    <x v="18"/>
    <n v="1738"/>
    <x v="12"/>
    <m/>
    <m/>
    <s v="Supplier"/>
    <m/>
    <x v="298"/>
    <s v="Dickson - IP FRD6E029 29Mar10.pdf"/>
    <s v=".pdf"/>
    <d v="2014-04-0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m/>
    <s v="FP SP "/>
    <x v="0"/>
    <x v="1"/>
    <m/>
    <x v="24"/>
  </r>
  <r>
    <n v="1771"/>
    <x v="53"/>
    <x v="53"/>
    <x v="47"/>
    <x v="0"/>
    <x v="18"/>
    <n v="1728"/>
    <x v="16"/>
    <m/>
    <m/>
    <s v="Supplier"/>
    <m/>
    <x v="299"/>
    <s v="Dickson - change of factory name_3Sep12.pdf"/>
    <s v=".pdf"/>
    <d v="2014-04-08T00:00:00"/>
    <s v="as\afok"/>
    <s v="change of factory name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m/>
    <s v="FP SP "/>
    <x v="0"/>
    <x v="1"/>
    <m/>
    <x v="24"/>
  </r>
  <r>
    <n v="1769"/>
    <x v="53"/>
    <x v="53"/>
    <x v="47"/>
    <x v="0"/>
    <x v="18"/>
    <n v="1726"/>
    <x v="1"/>
    <m/>
    <m/>
    <s v="Supplier"/>
    <m/>
    <x v="98"/>
    <s v="SEF Dickson 2013.XLSX"/>
    <s v=".xlsx"/>
    <d v="2014-04-08T00:00:00"/>
    <s v="as\afok"/>
    <m/>
    <s v="2013"/>
    <m/>
    <m/>
    <m/>
    <m/>
    <m/>
    <x v="0"/>
    <x v="0"/>
    <x v="0"/>
    <x v="11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m/>
    <s v="FP SP "/>
    <x v="0"/>
    <x v="1"/>
    <m/>
    <x v="24"/>
  </r>
  <r>
    <n v="1770"/>
    <x v="53"/>
    <x v="53"/>
    <x v="47"/>
    <x v="0"/>
    <x v="18"/>
    <n v="1727"/>
    <x v="1"/>
    <m/>
    <m/>
    <s v="Supplier"/>
    <m/>
    <x v="300"/>
    <s v="SEF - Dickson 2012.xlsx"/>
    <s v=".xlsx"/>
    <d v="2014-04-08T00:00:00"/>
    <s v="as\afok"/>
    <m/>
    <s v="2012"/>
    <m/>
    <m/>
    <m/>
    <m/>
    <m/>
    <x v="0"/>
    <x v="0"/>
    <x v="0"/>
    <x v="5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m/>
    <s v="FP SP "/>
    <x v="0"/>
    <x v="1"/>
    <m/>
    <x v="24"/>
  </r>
  <r>
    <n v="1772"/>
    <x v="53"/>
    <x v="53"/>
    <x v="47"/>
    <x v="0"/>
    <x v="18"/>
    <n v="1729"/>
    <x v="2"/>
    <m/>
    <m/>
    <s v="Supplier"/>
    <m/>
    <x v="301"/>
    <s v="Dickson_SIF 2011_15Apr11.xls"/>
    <s v=".xls"/>
    <d v="2014-04-08T00:00:00"/>
    <s v="as\afok"/>
    <m/>
    <s v="2011"/>
    <m/>
    <m/>
    <m/>
    <m/>
    <m/>
    <x v="0"/>
    <x v="0"/>
    <x v="0"/>
    <x v="0"/>
    <x v="5"/>
    <x v="51"/>
    <x v="32"/>
    <x v="54"/>
    <x v="50"/>
    <x v="48"/>
    <x v="0"/>
    <x v="0"/>
    <x v="0"/>
    <x v="0"/>
    <x v="0"/>
    <m/>
    <x v="0"/>
    <x v="0"/>
    <x v="0"/>
    <x v="0"/>
    <m/>
    <m/>
    <m/>
    <n v="0"/>
    <m/>
    <m/>
    <s v="FP"/>
    <m/>
    <s v="SP"/>
    <m/>
    <s v="FP SP "/>
    <x v="3"/>
    <x v="1"/>
    <m/>
    <x v="24"/>
  </r>
  <r>
    <n v="1009"/>
    <x v="54"/>
    <x v="54"/>
    <x v="48"/>
    <x v="1"/>
    <x v="11"/>
    <n v="986"/>
    <x v="8"/>
    <m/>
    <m/>
    <s v="Supplier"/>
    <m/>
    <x v="261"/>
    <s v="Dickson_Circuits_Responsible_Purchasing_Charter_06Aug12.pdf"/>
    <s v=".pdf"/>
    <d v="2014-03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s v="CP"/>
    <m/>
    <m/>
    <s v="CP "/>
    <x v="0"/>
    <x v="1"/>
    <m/>
    <x v="8"/>
  </r>
  <r>
    <n v="1006"/>
    <x v="54"/>
    <x v="54"/>
    <x v="48"/>
    <x v="1"/>
    <x v="11"/>
    <n v="983"/>
    <x v="1"/>
    <m/>
    <m/>
    <s v="Supplier"/>
    <m/>
    <x v="190"/>
    <s v="Dickson_SEF_2013-1.xls"/>
    <s v=".xls"/>
    <d v="2014-03-24T00:00:00"/>
    <s v="as\afok"/>
    <m/>
    <s v="2013"/>
    <m/>
    <m/>
    <m/>
    <m/>
    <m/>
    <x v="0"/>
    <x v="0"/>
    <x v="0"/>
    <x v="23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1008"/>
    <x v="54"/>
    <x v="54"/>
    <x v="48"/>
    <x v="1"/>
    <x v="11"/>
    <n v="985"/>
    <x v="1"/>
    <m/>
    <m/>
    <s v="Supplier"/>
    <m/>
    <x v="112"/>
    <s v="Dickson_Circuits_SEF_2012-2.xlsx"/>
    <s v=".xlsx"/>
    <d v="2014-03-24T00:00:00"/>
    <s v="as\afok"/>
    <m/>
    <s v="2012"/>
    <m/>
    <m/>
    <m/>
    <m/>
    <m/>
    <x v="0"/>
    <x v="0"/>
    <x v="0"/>
    <x v="28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1007"/>
    <x v="54"/>
    <x v="54"/>
    <x v="48"/>
    <x v="1"/>
    <x v="11"/>
    <n v="984"/>
    <x v="2"/>
    <n v="1"/>
    <m/>
    <s v="Supplier"/>
    <m/>
    <x v="280"/>
    <s v="Dickson_Circuits_SIF 2013.xlsx"/>
    <s v=".xlsx"/>
    <d v="2014-03-24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2"/>
    <x v="1"/>
    <m/>
    <x v="8"/>
  </r>
  <r>
    <n v="1824"/>
    <x v="55"/>
    <x v="55"/>
    <x v="49"/>
    <x v="4"/>
    <x v="17"/>
    <n v="1781"/>
    <x v="8"/>
    <m/>
    <m/>
    <s v="Supplier"/>
    <m/>
    <x v="19"/>
    <s v="DOCOME_Responsible_Purchasing_Charter_07Aug12.pdf"/>
    <s v=".pdf"/>
    <d v="2014-04-0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1826"/>
    <x v="55"/>
    <x v="55"/>
    <x v="49"/>
    <x v="4"/>
    <x v="17"/>
    <n v="1783"/>
    <x v="1"/>
    <m/>
    <m/>
    <s v="Supplier"/>
    <m/>
    <x v="203"/>
    <s v="SEF-Docome-20120103-64.xlsx"/>
    <s v=".xlsx"/>
    <d v="2014-04-09T00:00:00"/>
    <s v="as\afok"/>
    <m/>
    <s v="2012"/>
    <m/>
    <m/>
    <m/>
    <m/>
    <m/>
    <x v="0"/>
    <x v="0"/>
    <x v="0"/>
    <x v="3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1825"/>
    <x v="55"/>
    <x v="55"/>
    <x v="49"/>
    <x v="4"/>
    <x v="17"/>
    <n v="1782"/>
    <x v="1"/>
    <m/>
    <m/>
    <s v="Supplier"/>
    <m/>
    <x v="288"/>
    <s v="SEF-Docome-28AUG12-60.XLSX"/>
    <s v=".xlsx"/>
    <d v="2014-04-09T00:00:00"/>
    <s v="as\afok"/>
    <m/>
    <s v="2012"/>
    <m/>
    <m/>
    <m/>
    <m/>
    <m/>
    <x v="0"/>
    <x v="0"/>
    <x v="0"/>
    <x v="31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1823"/>
    <x v="55"/>
    <x v="55"/>
    <x v="49"/>
    <x v="4"/>
    <x v="17"/>
    <n v="1780"/>
    <x v="2"/>
    <m/>
    <m/>
    <s v="Supplier"/>
    <m/>
    <x v="302"/>
    <s v="Docome_SIF2013.xlsx"/>
    <s v=".xlsx"/>
    <d v="2014-04-09T00:00:00"/>
    <s v="as\afok"/>
    <m/>
    <s v="2013"/>
    <m/>
    <m/>
    <m/>
    <m/>
    <m/>
    <x v="0"/>
    <x v="0"/>
    <x v="0"/>
    <x v="0"/>
    <x v="2"/>
    <x v="52"/>
    <x v="0"/>
    <x v="0"/>
    <x v="0"/>
    <x v="0"/>
    <x v="22"/>
    <x v="0"/>
    <x v="0"/>
    <x v="0"/>
    <x v="0"/>
    <m/>
    <x v="0"/>
    <x v="0"/>
    <x v="0"/>
    <x v="0"/>
    <m/>
    <m/>
    <m/>
    <n v="0"/>
    <m/>
    <m/>
    <m/>
    <s v="CP"/>
    <m/>
    <m/>
    <s v="CP "/>
    <x v="2"/>
    <x v="1"/>
    <m/>
    <x v="8"/>
  </r>
  <r>
    <n v="1827"/>
    <x v="55"/>
    <x v="55"/>
    <x v="49"/>
    <x v="4"/>
    <x v="17"/>
    <n v="1784"/>
    <x v="2"/>
    <m/>
    <m/>
    <s v="Supplier"/>
    <m/>
    <x v="48"/>
    <s v="Docome_SIF2012_20APR12.xls"/>
    <s v=".xls"/>
    <d v="2014-04-09T00:00:00"/>
    <s v="as\afok"/>
    <m/>
    <s v="2012"/>
    <m/>
    <m/>
    <m/>
    <m/>
    <m/>
    <x v="0"/>
    <x v="0"/>
    <x v="0"/>
    <x v="0"/>
    <x v="1"/>
    <x v="53"/>
    <x v="0"/>
    <x v="0"/>
    <x v="0"/>
    <x v="0"/>
    <x v="9"/>
    <x v="0"/>
    <x v="0"/>
    <x v="0"/>
    <x v="0"/>
    <m/>
    <x v="0"/>
    <x v="0"/>
    <x v="0"/>
    <x v="0"/>
    <m/>
    <m/>
    <m/>
    <n v="0"/>
    <m/>
    <n v="1"/>
    <m/>
    <s v="CP"/>
    <m/>
    <m/>
    <s v="CP "/>
    <x v="2"/>
    <x v="1"/>
    <m/>
    <x v="8"/>
  </r>
  <r>
    <n v="1388"/>
    <x v="56"/>
    <x v="56"/>
    <x v="50"/>
    <x v="5"/>
    <x v="12"/>
    <n v="1356"/>
    <x v="7"/>
    <m/>
    <m/>
    <s v="Supplier"/>
    <m/>
    <x v="303"/>
    <s v="Dongnan_Environment_Declaration_18Aug2010.pdf"/>
    <s v=".pdf"/>
    <d v="2014-04-01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0"/>
    <m/>
    <m/>
    <m/>
    <s v="CP"/>
    <m/>
    <m/>
    <s v="CP "/>
    <x v="0"/>
    <x v="1"/>
    <m/>
    <x v="25"/>
  </r>
  <r>
    <n v="1387"/>
    <x v="56"/>
    <x v="56"/>
    <x v="50"/>
    <x v="5"/>
    <x v="12"/>
    <n v="1355"/>
    <x v="9"/>
    <m/>
    <m/>
    <s v="Supplier"/>
    <m/>
    <x v="303"/>
    <s v="Dongnan_LOC_18Aug2010.pdf"/>
    <s v=".pdf"/>
    <d v="2014-04-0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0"/>
    <m/>
    <m/>
    <m/>
    <s v="CP"/>
    <m/>
    <m/>
    <s v="CP "/>
    <x v="0"/>
    <x v="1"/>
    <m/>
    <x v="25"/>
  </r>
  <r>
    <n v="1389"/>
    <x v="56"/>
    <x v="56"/>
    <x v="50"/>
    <x v="5"/>
    <x v="12"/>
    <n v="1357"/>
    <x v="8"/>
    <m/>
    <m/>
    <s v="Supplier"/>
    <m/>
    <x v="93"/>
    <s v="Dongnan_Responsible Purchaser Charter_9Aug2012.pdf"/>
    <s v=".pdf"/>
    <d v="2014-04-0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0"/>
    <m/>
    <m/>
    <m/>
    <s v="CP"/>
    <m/>
    <m/>
    <s v="CP "/>
    <x v="0"/>
    <x v="1"/>
    <m/>
    <x v="25"/>
  </r>
  <r>
    <n v="1390"/>
    <x v="56"/>
    <x v="56"/>
    <x v="50"/>
    <x v="5"/>
    <x v="12"/>
    <n v="1358"/>
    <x v="2"/>
    <n v="1"/>
    <m/>
    <s v="Supplier"/>
    <m/>
    <x v="10"/>
    <s v="Dongnan_SIF_25Apr2012.xls"/>
    <s v=".xls"/>
    <d v="2014-04-01T00:00:00"/>
    <s v="as\afok"/>
    <m/>
    <s v="2012"/>
    <m/>
    <m/>
    <m/>
    <m/>
    <m/>
    <x v="0"/>
    <x v="0"/>
    <x v="0"/>
    <x v="0"/>
    <x v="1"/>
    <x v="0"/>
    <x v="57"/>
    <x v="55"/>
    <x v="51"/>
    <x v="49"/>
    <x v="0"/>
    <x v="0"/>
    <x v="0"/>
    <x v="0"/>
    <x v="0"/>
    <s v="CP Panel"/>
    <x v="0"/>
    <x v="0"/>
    <x v="1"/>
    <x v="6"/>
    <m/>
    <m/>
    <m/>
    <n v="0"/>
    <m/>
    <n v="1"/>
    <m/>
    <s v="CP"/>
    <m/>
    <m/>
    <s v="CP "/>
    <x v="2"/>
    <x v="1"/>
    <m/>
    <x v="25"/>
  </r>
  <r>
    <n v="1386"/>
    <x v="56"/>
    <x v="56"/>
    <x v="50"/>
    <x v="5"/>
    <x v="12"/>
    <n v="1354"/>
    <x v="2"/>
    <m/>
    <m/>
    <s v="Supplier"/>
    <m/>
    <x v="304"/>
    <s v="Dongnan_SIF_13 May2013.xlsx"/>
    <s v=".xlsx"/>
    <d v="2014-04-01T00:00:00"/>
    <s v="as\afok"/>
    <m/>
    <s v="2013"/>
    <m/>
    <m/>
    <m/>
    <m/>
    <m/>
    <x v="0"/>
    <x v="0"/>
    <x v="0"/>
    <x v="0"/>
    <x v="2"/>
    <x v="54"/>
    <x v="57"/>
    <x v="55"/>
    <x v="51"/>
    <x v="49"/>
    <x v="0"/>
    <x v="0"/>
    <x v="0"/>
    <x v="0"/>
    <x v="0"/>
    <s v="CP Panel"/>
    <x v="0"/>
    <x v="0"/>
    <x v="1"/>
    <x v="6"/>
    <m/>
    <m/>
    <m/>
    <n v="0"/>
    <m/>
    <m/>
    <m/>
    <s v="CP"/>
    <m/>
    <m/>
    <s v="CP "/>
    <x v="2"/>
    <x v="1"/>
    <m/>
    <x v="25"/>
  </r>
  <r>
    <n v="2487"/>
    <x v="57"/>
    <x v="57"/>
    <x v="51"/>
    <x v="3"/>
    <x v="4"/>
    <n v="12"/>
    <x v="4"/>
    <m/>
    <m/>
    <s v="Supplier"/>
    <d v="2015-12-31T00:00:00"/>
    <x v="213"/>
    <s v="Donlim_General Agreement_ind.11_2013-01-18.pdf"/>
    <s v=".pdf"/>
    <d v="2014-03-04T00:00:00"/>
    <s v="as\afok"/>
    <m/>
    <s v="FHA00016 ind.11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m/>
    <s v="SP"/>
    <s v="MOULD"/>
    <s v="FP SP MOULD "/>
    <x v="0"/>
    <x v="1"/>
    <m/>
    <x v="20"/>
  </r>
  <r>
    <n v="2488"/>
    <x v="58"/>
    <x v="58"/>
    <x v="51"/>
    <x v="3"/>
    <x v="4"/>
    <n v="12"/>
    <x v="4"/>
    <m/>
    <m/>
    <s v="Supplier"/>
    <d v="2015-12-31T00:00:00"/>
    <x v="213"/>
    <s v="Donlim_General Agreement_ind.11_2013-01-18.pdf"/>
    <s v=".pdf"/>
    <d v="2014-03-04T00:00:00"/>
    <s v="as\afok"/>
    <m/>
    <s v="FHA00016 ind.11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n v="1"/>
    <m/>
    <s v="FP"/>
    <m/>
    <s v="SP"/>
    <s v="MOULD"/>
    <s v="FP SP MOULD "/>
    <x v="0"/>
    <x v="1"/>
    <m/>
    <x v="7"/>
  </r>
  <r>
    <n v="2443"/>
    <x v="57"/>
    <x v="57"/>
    <x v="51"/>
    <x v="3"/>
    <x v="4"/>
    <n v="270"/>
    <x v="5"/>
    <m/>
    <m/>
    <s v="Supplier"/>
    <m/>
    <x v="305"/>
    <s v="Donlim_General Agreement_ind.11_2013-01-18.pdf"/>
    <s v=".pdf"/>
    <d v="2014-03-13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m/>
    <s v="SP"/>
    <s v="MOULD"/>
    <s v="FP SP MOULD "/>
    <x v="0"/>
    <x v="1"/>
    <m/>
    <x v="20"/>
  </r>
  <r>
    <n v="2444"/>
    <x v="58"/>
    <x v="58"/>
    <x v="51"/>
    <x v="3"/>
    <x v="4"/>
    <n v="270"/>
    <x v="5"/>
    <m/>
    <m/>
    <s v="Supplier"/>
    <m/>
    <x v="305"/>
    <s v="Donlim_General Agreement_ind.11_2013-01-18.pdf"/>
    <s v=".pdf"/>
    <d v="2014-03-13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m/>
    <s v="SP"/>
    <s v="MOULD"/>
    <s v="FP SP MOULD "/>
    <x v="0"/>
    <x v="1"/>
    <m/>
    <x v="7"/>
  </r>
  <r>
    <n v="2471"/>
    <x v="57"/>
    <x v="57"/>
    <x v="51"/>
    <x v="3"/>
    <x v="4"/>
    <n v="269"/>
    <x v="6"/>
    <m/>
    <m/>
    <s v="Supplier"/>
    <m/>
    <x v="147"/>
    <s v="Donlim_General Agreement_ind.11_2013-01-18.pdf"/>
    <s v=".pdf"/>
    <d v="2014-03-13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m/>
    <s v="SP"/>
    <s v="MOULD"/>
    <s v="FP SP MOULD "/>
    <x v="0"/>
    <x v="1"/>
    <m/>
    <x v="20"/>
  </r>
  <r>
    <n v="2472"/>
    <x v="58"/>
    <x v="58"/>
    <x v="51"/>
    <x v="3"/>
    <x v="4"/>
    <n v="269"/>
    <x v="6"/>
    <m/>
    <m/>
    <s v="Supplier"/>
    <m/>
    <x v="147"/>
    <s v="Donlim_General Agreement_ind.11_2013-01-18.pdf"/>
    <s v=".pdf"/>
    <d v="2014-03-13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m/>
    <s v="SP"/>
    <s v="MOULD"/>
    <s v="FP SP MOULD "/>
    <x v="0"/>
    <x v="1"/>
    <m/>
    <x v="7"/>
  </r>
  <r>
    <n v="2445"/>
    <x v="57"/>
    <x v="57"/>
    <x v="51"/>
    <x v="3"/>
    <x v="4"/>
    <n v="554"/>
    <x v="10"/>
    <m/>
    <m/>
    <s v="Supplier"/>
    <m/>
    <x v="305"/>
    <s v="Donlim_General Agreement_ind.11_2013-01-18.pdf"/>
    <s v=".pdf"/>
    <d v="2014-03-1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0"/>
  </r>
  <r>
    <n v="2446"/>
    <x v="58"/>
    <x v="58"/>
    <x v="51"/>
    <x v="3"/>
    <x v="4"/>
    <n v="554"/>
    <x v="10"/>
    <m/>
    <m/>
    <s v="Supplier"/>
    <m/>
    <x v="305"/>
    <s v="Donlim_General Agreement_ind.11_2013-01-18.pdf"/>
    <s v=".pdf"/>
    <d v="2014-03-1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7"/>
  </r>
  <r>
    <n v="2475"/>
    <x v="57"/>
    <x v="57"/>
    <x v="51"/>
    <x v="3"/>
    <x v="4"/>
    <n v="271"/>
    <x v="7"/>
    <m/>
    <m/>
    <s v="Supplier"/>
    <m/>
    <x v="147"/>
    <s v="Donlim_General Agreement_ind.11_2013-01-18.pdf"/>
    <s v=".pdf"/>
    <d v="2014-03-13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0"/>
  </r>
  <r>
    <n v="2476"/>
    <x v="58"/>
    <x v="58"/>
    <x v="51"/>
    <x v="3"/>
    <x v="4"/>
    <n v="271"/>
    <x v="7"/>
    <m/>
    <m/>
    <s v="Supplier"/>
    <m/>
    <x v="147"/>
    <s v="Donlim_General Agreement_ind.11_2013-01-18.pdf"/>
    <s v=".pdf"/>
    <d v="2014-03-13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7"/>
  </r>
  <r>
    <n v="2477"/>
    <x v="57"/>
    <x v="57"/>
    <x v="51"/>
    <x v="3"/>
    <x v="4"/>
    <n v="275"/>
    <x v="11"/>
    <m/>
    <m/>
    <s v="Product / Project"/>
    <m/>
    <x v="276"/>
    <s v="Donlim (Xinbao)_EA_Changmei Handmixer_2012-07-27.pdf"/>
    <s v=".pdf"/>
    <d v="2014-03-13T00:00:00"/>
    <s v="as\afok"/>
    <s v="_x000d__x000a_"/>
    <m/>
    <m/>
    <m/>
    <m/>
    <m/>
    <s v="Changmei Handmixer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0"/>
  </r>
  <r>
    <n v="2478"/>
    <x v="58"/>
    <x v="58"/>
    <x v="51"/>
    <x v="3"/>
    <x v="4"/>
    <n v="275"/>
    <x v="11"/>
    <m/>
    <m/>
    <s v="Product / Project"/>
    <m/>
    <x v="276"/>
    <s v="Donlim (Xinbao)_EA_Changmei Handmixer_2012-07-27.pdf"/>
    <s v=".pdf"/>
    <d v="2014-03-13T00:00:00"/>
    <s v="as\afok"/>
    <s v="_x000d__x000a_"/>
    <m/>
    <m/>
    <m/>
    <m/>
    <m/>
    <s v="Changmei Handmixer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7"/>
  </r>
  <r>
    <n v="2483"/>
    <x v="57"/>
    <x v="57"/>
    <x v="51"/>
    <x v="3"/>
    <x v="4"/>
    <n v="272"/>
    <x v="11"/>
    <m/>
    <m/>
    <s v="Product / Project"/>
    <m/>
    <x v="247"/>
    <s v="Donlim (Xinbao)_EA_RIO Filter coffee maker_2012-08-13.pdf"/>
    <s v=".pdf"/>
    <d v="2014-03-13T00:00:00"/>
    <s v="as\afok"/>
    <s v="_x000d__x000a_"/>
    <m/>
    <m/>
    <m/>
    <m/>
    <m/>
    <s v="RIO Filter coffee maker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0"/>
  </r>
  <r>
    <n v="2456"/>
    <x v="58"/>
    <x v="58"/>
    <x v="51"/>
    <x v="3"/>
    <x v="4"/>
    <n v="274"/>
    <x v="11"/>
    <m/>
    <m/>
    <s v="Supplier"/>
    <m/>
    <x v="306"/>
    <s v="Donlim Exclusivity Summary 2012-07-12.xlsx"/>
    <s v=".xlsx"/>
    <d v="2014-03-13T00:00:00"/>
    <s v="as\afok"/>
    <s v="Exclusivity Summary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7"/>
  </r>
  <r>
    <n v="2455"/>
    <x v="57"/>
    <x v="57"/>
    <x v="51"/>
    <x v="3"/>
    <x v="4"/>
    <n v="274"/>
    <x v="11"/>
    <m/>
    <m/>
    <s v="Supplier"/>
    <m/>
    <x v="306"/>
    <s v="Donlim Exclusivity Summary 2012-07-12.xlsx"/>
    <s v=".xlsx"/>
    <d v="2014-03-13T00:00:00"/>
    <s v="as\afok"/>
    <s v="Exclusivity Summary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0"/>
  </r>
  <r>
    <n v="2484"/>
    <x v="58"/>
    <x v="58"/>
    <x v="51"/>
    <x v="3"/>
    <x v="4"/>
    <n v="272"/>
    <x v="11"/>
    <m/>
    <m/>
    <s v="Product / Project"/>
    <m/>
    <x v="247"/>
    <s v="Donlim (Xinbao)_EA_RIO Filter coffee maker_2012-08-13.pdf"/>
    <s v=".pdf"/>
    <d v="2014-03-13T00:00:00"/>
    <s v="as\afok"/>
    <s v="_x000d__x000a_"/>
    <m/>
    <m/>
    <m/>
    <m/>
    <m/>
    <s v="RIO Filter coffee maker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7"/>
  </r>
  <r>
    <n v="2441"/>
    <x v="57"/>
    <x v="57"/>
    <x v="51"/>
    <x v="3"/>
    <x v="4"/>
    <n v="276"/>
    <x v="11"/>
    <m/>
    <m/>
    <s v="Product / Project"/>
    <m/>
    <x v="307"/>
    <s v="Donlim (Xinbao)_EA_RIO FCM_2012-05-14.pdf"/>
    <s v=".pdf"/>
    <d v="2014-03-13T00:00:00"/>
    <s v="as\afok"/>
    <m/>
    <m/>
    <m/>
    <m/>
    <m/>
    <m/>
    <s v="RIO FCM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0"/>
  </r>
  <r>
    <n v="2442"/>
    <x v="58"/>
    <x v="58"/>
    <x v="51"/>
    <x v="3"/>
    <x v="4"/>
    <n v="276"/>
    <x v="11"/>
    <m/>
    <m/>
    <s v="Product / Project"/>
    <m/>
    <x v="307"/>
    <s v="Donlim (Xinbao)_EA_RIO FCM_2012-05-14.pdf"/>
    <s v=".pdf"/>
    <d v="2014-03-13T00:00:00"/>
    <s v="as\afok"/>
    <m/>
    <m/>
    <m/>
    <m/>
    <m/>
    <m/>
    <s v="RIO FCM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7"/>
  </r>
  <r>
    <n v="2473"/>
    <x v="57"/>
    <x v="57"/>
    <x v="51"/>
    <x v="3"/>
    <x v="4"/>
    <n v="273"/>
    <x v="11"/>
    <m/>
    <m/>
    <s v="Supplier"/>
    <m/>
    <x v="308"/>
    <s v="Donlim Exclusivity Summary 2012-04-13.xlsx"/>
    <s v=".xlsx"/>
    <d v="2014-03-13T00:00:00"/>
    <s v="as\afok"/>
    <s v="Exclusivity Summary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0"/>
  </r>
  <r>
    <n v="2474"/>
    <x v="58"/>
    <x v="58"/>
    <x v="51"/>
    <x v="3"/>
    <x v="4"/>
    <n v="273"/>
    <x v="11"/>
    <m/>
    <m/>
    <s v="Supplier"/>
    <m/>
    <x v="308"/>
    <s v="Donlim Exclusivity Summary 2012-04-13.xlsx"/>
    <s v=".xlsx"/>
    <d v="2014-03-13T00:00:00"/>
    <s v="as\afok"/>
    <s v="Exclusivity Summary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7"/>
  </r>
  <r>
    <n v="2481"/>
    <x v="57"/>
    <x v="57"/>
    <x v="51"/>
    <x v="3"/>
    <x v="4"/>
    <n v="291"/>
    <x v="0"/>
    <m/>
    <m/>
    <s v="Supplier"/>
    <m/>
    <x v="309"/>
    <s v="Donlim_Food Stuff Declaration_TOAST N EGG TT5500xx_20090518.pdf"/>
    <s v=".pdf"/>
    <d v="2014-03-14T00:00:00"/>
    <s v="as\afok"/>
    <m/>
    <s v="FRD00069 ind.04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0"/>
  </r>
  <r>
    <n v="2482"/>
    <x v="58"/>
    <x v="58"/>
    <x v="51"/>
    <x v="3"/>
    <x v="4"/>
    <n v="291"/>
    <x v="0"/>
    <m/>
    <m/>
    <s v="Supplier"/>
    <m/>
    <x v="309"/>
    <s v="Donlim_Food Stuff Declaration_TOAST N EGG TT5500xx_20090518.pdf"/>
    <s v=".pdf"/>
    <d v="2014-03-14T00:00:00"/>
    <s v="as\afok"/>
    <m/>
    <s v="FRD00069 ind.04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7"/>
  </r>
  <r>
    <n v="2447"/>
    <x v="57"/>
    <x v="57"/>
    <x v="51"/>
    <x v="3"/>
    <x v="4"/>
    <n v="284"/>
    <x v="12"/>
    <m/>
    <m/>
    <s v="Product / Project"/>
    <m/>
    <x v="310"/>
    <s v="IP for Roti Stainless Steel Breadmaker 5Jan11.pdf"/>
    <s v=".pdf"/>
    <d v="2014-03-14T00:00:00"/>
    <s v="as\afok"/>
    <s v="_x000d__x000a_"/>
    <m/>
    <m/>
    <m/>
    <m/>
    <m/>
    <s v="Roti Stainless Steel Breadmaker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0"/>
  </r>
  <r>
    <n v="2448"/>
    <x v="58"/>
    <x v="58"/>
    <x v="51"/>
    <x v="3"/>
    <x v="4"/>
    <n v="284"/>
    <x v="12"/>
    <m/>
    <m/>
    <s v="Product / Project"/>
    <m/>
    <x v="310"/>
    <s v="IP for Roti Stainless Steel Breadmaker 5Jan11.pdf"/>
    <s v=".pdf"/>
    <d v="2014-03-14T00:00:00"/>
    <s v="as\afok"/>
    <s v="_x000d__x000a_"/>
    <m/>
    <m/>
    <m/>
    <m/>
    <m/>
    <s v="Roti Stainless Steel Breadmaker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7"/>
  </r>
  <r>
    <n v="2451"/>
    <x v="57"/>
    <x v="57"/>
    <x v="51"/>
    <x v="3"/>
    <x v="4"/>
    <n v="282"/>
    <x v="12"/>
    <m/>
    <m/>
    <s v="Product / Project"/>
    <m/>
    <x v="311"/>
    <s v="Donlim (Xinbao)_IP_Toast n Bean_17Nov11.pdf"/>
    <s v=".pdf"/>
    <d v="2014-03-14T00:00:00"/>
    <s v="as\afok"/>
    <s v="_x000d__x000a_"/>
    <m/>
    <m/>
    <m/>
    <m/>
    <m/>
    <s v="Toast n Bean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0"/>
  </r>
  <r>
    <n v="2452"/>
    <x v="58"/>
    <x v="58"/>
    <x v="51"/>
    <x v="3"/>
    <x v="4"/>
    <n v="282"/>
    <x v="12"/>
    <m/>
    <m/>
    <s v="Product / Project"/>
    <m/>
    <x v="311"/>
    <s v="Donlim (Xinbao)_IP_Toast n Bean_17Nov11.pdf"/>
    <s v=".pdf"/>
    <d v="2014-03-14T00:00:00"/>
    <s v="as\afok"/>
    <s v="_x000d__x000a_"/>
    <m/>
    <m/>
    <m/>
    <m/>
    <m/>
    <s v="Toast n Bean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7"/>
  </r>
  <r>
    <n v="2453"/>
    <x v="57"/>
    <x v="57"/>
    <x v="51"/>
    <x v="3"/>
    <x v="4"/>
    <n v="280"/>
    <x v="12"/>
    <m/>
    <m/>
    <s v="Product / Project"/>
    <m/>
    <x v="307"/>
    <s v="Donlim (Xinbao)_IP_RIO FCM_2012-05-14.pdf"/>
    <s v=".pdf"/>
    <d v="2014-03-14T00:00:00"/>
    <s v="as\afok"/>
    <s v="_x000d__x000a_"/>
    <m/>
    <m/>
    <m/>
    <m/>
    <m/>
    <s v="RIO FCM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0"/>
  </r>
  <r>
    <n v="2462"/>
    <x v="58"/>
    <x v="58"/>
    <x v="51"/>
    <x v="3"/>
    <x v="4"/>
    <n v="281"/>
    <x v="12"/>
    <m/>
    <m/>
    <s v="Product / Project"/>
    <m/>
    <x v="247"/>
    <s v="Donlim (Xinbao)_IP_RIO Filter coffee maker_2012-08-13.pdf"/>
    <s v=".pdf"/>
    <d v="2014-03-14T00:00:00"/>
    <s v="as\afok"/>
    <m/>
    <m/>
    <m/>
    <m/>
    <m/>
    <m/>
    <s v="RIO Filter coffee maker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7"/>
  </r>
  <r>
    <n v="2439"/>
    <x v="57"/>
    <x v="57"/>
    <x v="51"/>
    <x v="3"/>
    <x v="4"/>
    <n v="285"/>
    <x v="12"/>
    <m/>
    <m/>
    <s v="Product / Project"/>
    <m/>
    <x v="276"/>
    <s v="Donlim (Xinbao)_IP_Changmei Handmixer_2012-07-27.pdf"/>
    <s v=".pdf"/>
    <d v="2014-03-14T00:00:00"/>
    <s v="as\afok"/>
    <s v="_x000d__x000a_"/>
    <m/>
    <m/>
    <m/>
    <m/>
    <m/>
    <s v="Changmei Handmixer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0"/>
  </r>
  <r>
    <n v="2440"/>
    <x v="58"/>
    <x v="58"/>
    <x v="51"/>
    <x v="3"/>
    <x v="4"/>
    <n v="285"/>
    <x v="12"/>
    <m/>
    <m/>
    <s v="Product / Project"/>
    <m/>
    <x v="276"/>
    <s v="Donlim (Xinbao)_IP_Changmei Handmixer_2012-07-27.pdf"/>
    <s v=".pdf"/>
    <d v="2014-03-14T00:00:00"/>
    <s v="as\afok"/>
    <s v="_x000d__x000a_"/>
    <m/>
    <m/>
    <m/>
    <m/>
    <m/>
    <s v="Changmei Handmixer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7"/>
  </r>
  <r>
    <n v="2461"/>
    <x v="57"/>
    <x v="57"/>
    <x v="51"/>
    <x v="3"/>
    <x v="4"/>
    <n v="281"/>
    <x v="12"/>
    <m/>
    <m/>
    <s v="Product / Project"/>
    <m/>
    <x v="247"/>
    <s v="Donlim (Xinbao)_IP_RIO Filter coffee maker_2012-08-13.pdf"/>
    <s v=".pdf"/>
    <d v="2014-03-14T00:00:00"/>
    <s v="as\afok"/>
    <m/>
    <m/>
    <m/>
    <m/>
    <m/>
    <m/>
    <s v="RIO Filter coffee maker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0"/>
  </r>
  <r>
    <n v="2454"/>
    <x v="58"/>
    <x v="58"/>
    <x v="51"/>
    <x v="3"/>
    <x v="4"/>
    <n v="280"/>
    <x v="12"/>
    <m/>
    <m/>
    <s v="Product / Project"/>
    <m/>
    <x v="307"/>
    <s v="Donlim (Xinbao)_IP_RIO FCM_2012-05-14.pdf"/>
    <s v=".pdf"/>
    <d v="2014-03-14T00:00:00"/>
    <s v="as\afok"/>
    <s v="_x000d__x000a_"/>
    <m/>
    <m/>
    <m/>
    <m/>
    <m/>
    <s v="RIO FCM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7"/>
  </r>
  <r>
    <n v="2485"/>
    <x v="57"/>
    <x v="57"/>
    <x v="51"/>
    <x v="3"/>
    <x v="4"/>
    <n v="283"/>
    <x v="12"/>
    <m/>
    <m/>
    <s v="Product / Project"/>
    <m/>
    <x v="60"/>
    <s v="Donlim_Intellectual Property_HASTING KETTLE_20100330.pdf"/>
    <s v=".pdf"/>
    <d v="2014-03-14T00:00:00"/>
    <s v="as\afok"/>
    <s v="_x000d__x000a_"/>
    <m/>
    <m/>
    <m/>
    <m/>
    <m/>
    <s v="HASTING KETTLE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0"/>
  </r>
  <r>
    <n v="2486"/>
    <x v="58"/>
    <x v="58"/>
    <x v="51"/>
    <x v="3"/>
    <x v="4"/>
    <n v="283"/>
    <x v="12"/>
    <m/>
    <m/>
    <s v="Product / Project"/>
    <m/>
    <x v="60"/>
    <s v="Donlim_Intellectual Property_HASTING KETTLE_20100330.pdf"/>
    <s v=".pdf"/>
    <d v="2014-03-14T00:00:00"/>
    <s v="as\afok"/>
    <s v="_x000d__x000a_"/>
    <m/>
    <m/>
    <m/>
    <m/>
    <m/>
    <s v="HASTING KETTLE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7"/>
  </r>
  <r>
    <n v="2463"/>
    <x v="57"/>
    <x v="57"/>
    <x v="51"/>
    <x v="3"/>
    <x v="4"/>
    <n v="278"/>
    <x v="13"/>
    <m/>
    <m/>
    <s v="Supplier"/>
    <d v="2013-09-08T00:00:00"/>
    <x v="312"/>
    <s v="Donlim_ISO14001-Xinbao 20130908.pdf"/>
    <s v=".pdf"/>
    <d v="2014-03-1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0"/>
  </r>
  <r>
    <n v="2464"/>
    <x v="58"/>
    <x v="58"/>
    <x v="51"/>
    <x v="3"/>
    <x v="4"/>
    <n v="278"/>
    <x v="13"/>
    <m/>
    <m/>
    <s v="Supplier"/>
    <d v="2013-09-08T00:00:00"/>
    <x v="312"/>
    <s v="Donlim_ISO14001-Xinbao 20130908.pdf"/>
    <s v=".pdf"/>
    <d v="2014-03-1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7"/>
  </r>
  <r>
    <n v="2457"/>
    <x v="57"/>
    <x v="57"/>
    <x v="51"/>
    <x v="3"/>
    <x v="4"/>
    <n v="277"/>
    <x v="14"/>
    <m/>
    <m/>
    <s v="Supplier"/>
    <d v="2014-07-18T00:00:00"/>
    <x v="313"/>
    <s v="XINBAO_ISO9001-18Jul2014.pdf"/>
    <s v=".pdf"/>
    <d v="2014-03-1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0"/>
  </r>
  <r>
    <n v="2458"/>
    <x v="58"/>
    <x v="58"/>
    <x v="51"/>
    <x v="3"/>
    <x v="4"/>
    <n v="277"/>
    <x v="14"/>
    <m/>
    <m/>
    <s v="Supplier"/>
    <d v="2014-07-18T00:00:00"/>
    <x v="313"/>
    <s v="XINBAO_ISO9001-18Jul2014.pdf"/>
    <s v=".pdf"/>
    <d v="2014-03-1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7"/>
  </r>
  <r>
    <n v="2467"/>
    <x v="57"/>
    <x v="57"/>
    <x v="51"/>
    <x v="3"/>
    <x v="4"/>
    <n v="279"/>
    <x v="19"/>
    <m/>
    <m/>
    <s v="Supplier"/>
    <d v="2013-12-10T00:00:00"/>
    <x v="314"/>
    <s v="XINBAO_OHSAS18001-10Dec2013.pdf"/>
    <s v=".pdf"/>
    <d v="2014-03-1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0"/>
  </r>
  <r>
    <n v="2468"/>
    <x v="58"/>
    <x v="58"/>
    <x v="51"/>
    <x v="3"/>
    <x v="4"/>
    <n v="279"/>
    <x v="19"/>
    <m/>
    <m/>
    <s v="Supplier"/>
    <d v="2013-12-10T00:00:00"/>
    <x v="314"/>
    <s v="XINBAO_OHSAS18001-10Dec2013.pdf"/>
    <s v=".pdf"/>
    <d v="2014-03-1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7"/>
  </r>
  <r>
    <n v="2459"/>
    <x v="57"/>
    <x v="57"/>
    <x v="51"/>
    <x v="3"/>
    <x v="4"/>
    <n v="287"/>
    <x v="8"/>
    <m/>
    <m/>
    <s v="Supplier"/>
    <m/>
    <x v="299"/>
    <s v="Donlim - Responsible Purchasing Charter (ENG).PDF"/>
    <s v=".pdf"/>
    <d v="2014-03-14T00:00:00"/>
    <s v="as\afok"/>
    <s v="English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0"/>
  </r>
  <r>
    <n v="2460"/>
    <x v="58"/>
    <x v="58"/>
    <x v="51"/>
    <x v="3"/>
    <x v="4"/>
    <n v="287"/>
    <x v="8"/>
    <m/>
    <m/>
    <s v="Supplier"/>
    <m/>
    <x v="299"/>
    <s v="Donlim - Responsible Purchasing Charter (ENG).PDF"/>
    <s v=".pdf"/>
    <d v="2014-03-14T00:00:00"/>
    <s v="as\afok"/>
    <s v="English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7"/>
  </r>
  <r>
    <n v="2469"/>
    <x v="57"/>
    <x v="57"/>
    <x v="51"/>
    <x v="3"/>
    <x v="4"/>
    <n v="286"/>
    <x v="8"/>
    <m/>
    <m/>
    <s v="Supplier"/>
    <m/>
    <x v="315"/>
    <s v="Donlim - Responsible Purchasing Charter (CH).PDF"/>
    <s v=".pdf"/>
    <d v="2014-03-14T00:00:00"/>
    <s v="as\afok"/>
    <s v="Chinese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0"/>
  </r>
  <r>
    <n v="2470"/>
    <x v="58"/>
    <x v="58"/>
    <x v="51"/>
    <x v="3"/>
    <x v="4"/>
    <n v="286"/>
    <x v="8"/>
    <m/>
    <m/>
    <s v="Supplier"/>
    <m/>
    <x v="315"/>
    <s v="Donlim - Responsible Purchasing Charter (CH).PDF"/>
    <s v=".pdf"/>
    <d v="2014-03-14T00:00:00"/>
    <s v="as\afok"/>
    <s v="Chinese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7"/>
  </r>
  <r>
    <n v="2449"/>
    <x v="57"/>
    <x v="57"/>
    <x v="51"/>
    <x v="3"/>
    <x v="4"/>
    <n v="288"/>
    <x v="1"/>
    <m/>
    <m/>
    <s v="Supplier"/>
    <m/>
    <x v="72"/>
    <s v="SEF_Donlim_201206.xlsx"/>
    <s v=".xlsx"/>
    <d v="2014-03-14T00:00:00"/>
    <s v="as\afok"/>
    <m/>
    <s v="2012"/>
    <m/>
    <m/>
    <m/>
    <m/>
    <m/>
    <x v="0"/>
    <x v="0"/>
    <x v="0"/>
    <x v="2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0"/>
  </r>
  <r>
    <n v="2450"/>
    <x v="58"/>
    <x v="58"/>
    <x v="51"/>
    <x v="3"/>
    <x v="4"/>
    <n v="288"/>
    <x v="1"/>
    <m/>
    <m/>
    <s v="Supplier"/>
    <m/>
    <x v="72"/>
    <s v="SEF_Donlim_201206.xlsx"/>
    <s v=".xlsx"/>
    <d v="2014-03-14T00:00:00"/>
    <s v="as\afok"/>
    <m/>
    <s v="2012"/>
    <m/>
    <m/>
    <m/>
    <m/>
    <m/>
    <x v="0"/>
    <x v="0"/>
    <x v="0"/>
    <x v="2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7"/>
  </r>
  <r>
    <n v="2465"/>
    <x v="57"/>
    <x v="57"/>
    <x v="51"/>
    <x v="3"/>
    <x v="4"/>
    <n v="289"/>
    <x v="2"/>
    <m/>
    <m/>
    <s v="Supplier"/>
    <m/>
    <x v="143"/>
    <s v="Donlim_SIF_201203.XLSX"/>
    <s v=".xlsx"/>
    <d v="2014-03-14T00:00:00"/>
    <s v="as\afok"/>
    <m/>
    <s v="2012"/>
    <m/>
    <m/>
    <m/>
    <m/>
    <m/>
    <x v="0"/>
    <x v="0"/>
    <x v="0"/>
    <x v="0"/>
    <x v="1"/>
    <x v="0"/>
    <x v="58"/>
    <x v="56"/>
    <x v="52"/>
    <x v="50"/>
    <x v="0"/>
    <x v="0"/>
    <x v="31"/>
    <x v="25"/>
    <x v="23"/>
    <m/>
    <x v="0"/>
    <x v="0"/>
    <x v="0"/>
    <x v="0"/>
    <m/>
    <m/>
    <m/>
    <n v="1"/>
    <m/>
    <m/>
    <s v="FP"/>
    <m/>
    <s v="SP"/>
    <s v="MOULD"/>
    <s v="FP SP MOULD "/>
    <x v="3"/>
    <x v="1"/>
    <m/>
    <x v="20"/>
  </r>
  <r>
    <n v="2466"/>
    <x v="58"/>
    <x v="58"/>
    <x v="51"/>
    <x v="3"/>
    <x v="4"/>
    <n v="289"/>
    <x v="2"/>
    <m/>
    <m/>
    <s v="Supplier"/>
    <m/>
    <x v="143"/>
    <s v="Donlim_SIF_201203.XLSX"/>
    <s v=".xlsx"/>
    <d v="2014-03-14T00:00:00"/>
    <s v="as\afok"/>
    <m/>
    <s v="2012"/>
    <m/>
    <m/>
    <m/>
    <m/>
    <m/>
    <x v="0"/>
    <x v="0"/>
    <x v="0"/>
    <x v="0"/>
    <x v="1"/>
    <x v="0"/>
    <x v="58"/>
    <x v="56"/>
    <x v="52"/>
    <x v="50"/>
    <x v="0"/>
    <x v="0"/>
    <x v="31"/>
    <x v="25"/>
    <x v="23"/>
    <m/>
    <x v="0"/>
    <x v="0"/>
    <x v="0"/>
    <x v="0"/>
    <m/>
    <m/>
    <m/>
    <n v="1"/>
    <m/>
    <m/>
    <s v="FP"/>
    <m/>
    <s v="SP"/>
    <s v="MOULD"/>
    <s v="FP SP MOULD "/>
    <x v="3"/>
    <x v="1"/>
    <m/>
    <x v="7"/>
  </r>
  <r>
    <n v="2479"/>
    <x v="57"/>
    <x v="57"/>
    <x v="51"/>
    <x v="3"/>
    <x v="4"/>
    <n v="290"/>
    <x v="2"/>
    <n v="1"/>
    <m/>
    <s v="Supplier"/>
    <m/>
    <x v="289"/>
    <s v="Donlim_SIF_20130108  Donlim 2013.xlsx"/>
    <s v=".xlsx"/>
    <d v="2014-03-14T00:00:00"/>
    <s v="as\afok"/>
    <m/>
    <s v="2013"/>
    <m/>
    <m/>
    <m/>
    <m/>
    <m/>
    <x v="0"/>
    <x v="0"/>
    <x v="0"/>
    <x v="0"/>
    <x v="2"/>
    <x v="55"/>
    <x v="59"/>
    <x v="56"/>
    <x v="52"/>
    <x v="50"/>
    <x v="0"/>
    <x v="37"/>
    <x v="31"/>
    <x v="25"/>
    <x v="23"/>
    <m/>
    <x v="0"/>
    <x v="0"/>
    <x v="0"/>
    <x v="0"/>
    <m/>
    <m/>
    <m/>
    <n v="1"/>
    <m/>
    <m/>
    <s v="FP"/>
    <m/>
    <s v="SP"/>
    <s v="MOULD"/>
    <s v="FP SP MOULD "/>
    <x v="3"/>
    <x v="1"/>
    <m/>
    <x v="20"/>
  </r>
  <r>
    <n v="2480"/>
    <x v="58"/>
    <x v="58"/>
    <x v="51"/>
    <x v="3"/>
    <x v="4"/>
    <n v="290"/>
    <x v="2"/>
    <m/>
    <m/>
    <s v="Supplier"/>
    <m/>
    <x v="289"/>
    <s v="Donlim_SIF_20130108  Donlim 2013.xlsx"/>
    <s v=".xlsx"/>
    <d v="2014-03-14T00:00:00"/>
    <s v="as\afok"/>
    <m/>
    <s v="2013"/>
    <m/>
    <m/>
    <m/>
    <m/>
    <m/>
    <x v="0"/>
    <x v="0"/>
    <x v="0"/>
    <x v="0"/>
    <x v="2"/>
    <x v="55"/>
    <x v="59"/>
    <x v="56"/>
    <x v="52"/>
    <x v="50"/>
    <x v="0"/>
    <x v="37"/>
    <x v="31"/>
    <x v="25"/>
    <x v="23"/>
    <m/>
    <x v="0"/>
    <x v="0"/>
    <x v="0"/>
    <x v="0"/>
    <m/>
    <m/>
    <m/>
    <n v="1"/>
    <m/>
    <m/>
    <s v="FP"/>
    <m/>
    <s v="SP"/>
    <s v="MOULD"/>
    <s v="FP SP MOULD "/>
    <x v="3"/>
    <x v="1"/>
    <m/>
    <x v="7"/>
  </r>
  <r>
    <n v="826"/>
    <x v="59"/>
    <x v="59"/>
    <x v="52"/>
    <x v="1"/>
    <x v="1"/>
    <n v="804"/>
    <x v="4"/>
    <m/>
    <m/>
    <s v="Supplier"/>
    <m/>
    <x v="316"/>
    <s v="DS_Motor_Purchase_Agreement_2008.pdf"/>
    <s v=".pdf"/>
    <d v="2014-03-21T00:00:00"/>
    <s v="as\afok"/>
    <m/>
    <s v="V5"/>
    <s v="37E3 - 30 days end of month due net on posting date 37E3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n v="1"/>
    <m/>
    <m/>
    <n v="1"/>
    <m/>
    <m/>
    <m/>
    <s v="CP"/>
    <m/>
    <m/>
    <s v="CP "/>
    <x v="0"/>
    <x v="1"/>
    <m/>
    <x v="6"/>
  </r>
  <r>
    <n v="820"/>
    <x v="59"/>
    <x v="59"/>
    <x v="52"/>
    <x v="1"/>
    <x v="1"/>
    <n v="798"/>
    <x v="4"/>
    <m/>
    <m/>
    <s v="Supplier"/>
    <m/>
    <x v="317"/>
    <s v="DS Motor_General Agreement_V7.pdf"/>
    <s v=".pdf"/>
    <d v="2014-03-21T00:00:00"/>
    <s v="as\afok"/>
    <m/>
    <s v="V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n v="1"/>
    <m/>
    <m/>
    <n v="1"/>
    <m/>
    <m/>
    <m/>
    <s v="CP"/>
    <m/>
    <m/>
    <s v="CP "/>
    <x v="0"/>
    <x v="1"/>
    <m/>
    <x v="6"/>
  </r>
  <r>
    <n v="827"/>
    <x v="59"/>
    <x v="59"/>
    <x v="52"/>
    <x v="1"/>
    <x v="1"/>
    <n v="805"/>
    <x v="5"/>
    <m/>
    <m/>
    <s v="Supplier"/>
    <m/>
    <x v="316"/>
    <s v="DS_Motor_Purchase_Agreement_2008.pdf"/>
    <s v=".pdf"/>
    <d v="2014-03-21T00:00:00"/>
    <s v="as\afok"/>
    <m/>
    <m/>
    <m/>
    <m/>
    <m/>
    <n v="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n v="1"/>
    <m/>
    <n v="1"/>
    <m/>
    <m/>
    <m/>
    <s v="CP"/>
    <m/>
    <m/>
    <s v="CP "/>
    <x v="0"/>
    <x v="1"/>
    <m/>
    <x v="6"/>
  </r>
  <r>
    <n v="823"/>
    <x v="59"/>
    <x v="59"/>
    <x v="52"/>
    <x v="1"/>
    <x v="1"/>
    <n v="801"/>
    <x v="5"/>
    <m/>
    <m/>
    <s v="Supplier"/>
    <m/>
    <x v="318"/>
    <s v="DS Motor_General Agreement_V7.pdf"/>
    <s v=".pdf"/>
    <d v="2014-03-21T00:00:00"/>
    <s v="as\afok"/>
    <m/>
    <s v="V4"/>
    <m/>
    <m/>
    <m/>
    <n v="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n v="1"/>
    <m/>
    <n v="1"/>
    <m/>
    <m/>
    <m/>
    <s v="CP"/>
    <m/>
    <m/>
    <s v="CP "/>
    <x v="0"/>
    <x v="1"/>
    <m/>
    <x v="6"/>
  </r>
  <r>
    <n v="822"/>
    <x v="59"/>
    <x v="59"/>
    <x v="52"/>
    <x v="1"/>
    <x v="1"/>
    <n v="800"/>
    <x v="6"/>
    <m/>
    <m/>
    <s v="Supplier"/>
    <m/>
    <x v="317"/>
    <s v="DS Motor_General Agreement_V7.pdf"/>
    <s v=".pdf"/>
    <d v="2014-03-21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m/>
    <n v="1"/>
    <n v="1"/>
    <m/>
    <m/>
    <m/>
    <s v="CP"/>
    <m/>
    <m/>
    <s v="CP "/>
    <x v="0"/>
    <x v="1"/>
    <m/>
    <x v="6"/>
  </r>
  <r>
    <n v="828"/>
    <x v="59"/>
    <x v="59"/>
    <x v="52"/>
    <x v="1"/>
    <x v="1"/>
    <n v="806"/>
    <x v="6"/>
    <m/>
    <m/>
    <s v="Supplier"/>
    <m/>
    <x v="319"/>
    <s v="DS_Motor_Purchase_Agreement_2008.pdf"/>
    <s v=".pdf"/>
    <d v="2014-03-21T00:00:00"/>
    <s v="as\afok"/>
    <m/>
    <m/>
    <m/>
    <n v="35"/>
    <n v="0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m/>
    <n v="1"/>
    <n v="1"/>
    <n v="1"/>
    <m/>
    <m/>
    <s v="CP"/>
    <m/>
    <m/>
    <s v="CP "/>
    <x v="0"/>
    <x v="1"/>
    <m/>
    <x v="6"/>
  </r>
  <r>
    <n v="824"/>
    <x v="59"/>
    <x v="59"/>
    <x v="52"/>
    <x v="1"/>
    <x v="1"/>
    <n v="802"/>
    <x v="10"/>
    <m/>
    <m/>
    <s v="Supplier"/>
    <m/>
    <x v="320"/>
    <s v="DS Motor_General Agreement_V7.pdf"/>
    <s v=".pdf"/>
    <d v="2014-03-2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m/>
    <m/>
    <n v="1"/>
    <m/>
    <m/>
    <m/>
    <s v="CP"/>
    <m/>
    <m/>
    <s v="CP "/>
    <x v="0"/>
    <x v="1"/>
    <m/>
    <x v="6"/>
  </r>
  <r>
    <n v="821"/>
    <x v="59"/>
    <x v="59"/>
    <x v="52"/>
    <x v="1"/>
    <x v="1"/>
    <n v="799"/>
    <x v="7"/>
    <m/>
    <m/>
    <s v="Supplier"/>
    <m/>
    <x v="317"/>
    <s v="DS Motor_General Agreement_V7.pdf"/>
    <s v=".pdf"/>
    <d v="2014-03-21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m/>
    <m/>
    <n v="1"/>
    <m/>
    <m/>
    <m/>
    <s v="CP"/>
    <m/>
    <m/>
    <s v="CP "/>
    <x v="0"/>
    <x v="1"/>
    <m/>
    <x v="6"/>
  </r>
  <r>
    <n v="816"/>
    <x v="59"/>
    <x v="59"/>
    <x v="52"/>
    <x v="1"/>
    <x v="1"/>
    <n v="794"/>
    <x v="7"/>
    <m/>
    <m/>
    <s v="Supplier"/>
    <m/>
    <x v="124"/>
    <s v="DS_Motor_Env_Declaration_18May2010.xls"/>
    <s v=".xls"/>
    <d v="2014-03-21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m/>
    <m/>
    <n v="1"/>
    <m/>
    <m/>
    <m/>
    <s v="CP"/>
    <m/>
    <m/>
    <s v="CP "/>
    <x v="0"/>
    <x v="1"/>
    <m/>
    <x v="6"/>
  </r>
  <r>
    <n v="817"/>
    <x v="59"/>
    <x v="59"/>
    <x v="52"/>
    <x v="1"/>
    <x v="1"/>
    <n v="795"/>
    <x v="8"/>
    <m/>
    <m/>
    <s v="Supplier"/>
    <m/>
    <x v="254"/>
    <s v="Dsmotor_Responsible_Purchasing_Charter_02Aug12.pdf"/>
    <s v=".pdf"/>
    <d v="2014-03-2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m/>
    <m/>
    <n v="1"/>
    <m/>
    <m/>
    <m/>
    <s v="CP"/>
    <m/>
    <m/>
    <s v="CP "/>
    <x v="0"/>
    <x v="1"/>
    <m/>
    <x v="6"/>
  </r>
  <r>
    <n v="819"/>
    <x v="59"/>
    <x v="59"/>
    <x v="52"/>
    <x v="1"/>
    <x v="1"/>
    <n v="797"/>
    <x v="1"/>
    <m/>
    <m/>
    <s v="Supplier"/>
    <m/>
    <x v="10"/>
    <s v="DS Motor_SEF_2012.xlsx"/>
    <s v=".xlsx"/>
    <d v="2014-03-21T00:00:00"/>
    <s v="as\afok"/>
    <m/>
    <s v="2012"/>
    <m/>
    <m/>
    <m/>
    <m/>
    <m/>
    <x v="0"/>
    <x v="0"/>
    <x v="0"/>
    <x v="6"/>
    <x v="0"/>
    <x v="0"/>
    <x v="0"/>
    <x v="0"/>
    <x v="0"/>
    <x v="0"/>
    <x v="0"/>
    <x v="0"/>
    <x v="0"/>
    <x v="0"/>
    <x v="0"/>
    <s v="CP Panel"/>
    <x v="0"/>
    <x v="0"/>
    <x v="1"/>
    <x v="7"/>
    <m/>
    <m/>
    <m/>
    <n v="1"/>
    <m/>
    <m/>
    <m/>
    <s v="CP"/>
    <m/>
    <m/>
    <s v="CP "/>
    <x v="0"/>
    <x v="1"/>
    <m/>
    <x v="6"/>
  </r>
  <r>
    <n v="815"/>
    <x v="59"/>
    <x v="59"/>
    <x v="52"/>
    <x v="1"/>
    <x v="1"/>
    <n v="793"/>
    <x v="1"/>
    <m/>
    <m/>
    <s v="Supplier"/>
    <m/>
    <x v="9"/>
    <s v="DS Motor SEF 2013-designer-20130601-80.xlsx"/>
    <s v=".xlsx"/>
    <d v="2014-03-21T00:00:00"/>
    <s v="as\afok"/>
    <m/>
    <s v="2013"/>
    <m/>
    <m/>
    <m/>
    <m/>
    <m/>
    <x v="0"/>
    <x v="0"/>
    <x v="0"/>
    <x v="26"/>
    <x v="0"/>
    <x v="0"/>
    <x v="0"/>
    <x v="0"/>
    <x v="0"/>
    <x v="0"/>
    <x v="0"/>
    <x v="0"/>
    <x v="0"/>
    <x v="0"/>
    <x v="0"/>
    <s v="CP Panel"/>
    <x v="0"/>
    <x v="0"/>
    <x v="1"/>
    <x v="7"/>
    <m/>
    <m/>
    <m/>
    <n v="1"/>
    <m/>
    <m/>
    <m/>
    <s v="CP"/>
    <m/>
    <m/>
    <s v="CP "/>
    <x v="0"/>
    <x v="1"/>
    <m/>
    <x v="6"/>
  </r>
  <r>
    <n v="818"/>
    <x v="59"/>
    <x v="59"/>
    <x v="52"/>
    <x v="1"/>
    <x v="1"/>
    <n v="796"/>
    <x v="2"/>
    <m/>
    <m/>
    <s v="Supplier"/>
    <m/>
    <x v="321"/>
    <s v="DS_motor_SIF 2013.xls"/>
    <s v=".xls"/>
    <d v="2014-03-21T00:00:00"/>
    <s v="as\afok"/>
    <m/>
    <s v="2013"/>
    <m/>
    <m/>
    <m/>
    <m/>
    <m/>
    <x v="0"/>
    <x v="0"/>
    <x v="0"/>
    <x v="0"/>
    <x v="2"/>
    <x v="38"/>
    <x v="60"/>
    <x v="57"/>
    <x v="53"/>
    <x v="0"/>
    <x v="0"/>
    <x v="38"/>
    <x v="10"/>
    <x v="26"/>
    <x v="0"/>
    <s v="CP Panel"/>
    <x v="0"/>
    <x v="0"/>
    <x v="1"/>
    <x v="7"/>
    <m/>
    <m/>
    <m/>
    <n v="1"/>
    <m/>
    <m/>
    <m/>
    <s v="CP"/>
    <m/>
    <m/>
    <s v="CP "/>
    <x v="2"/>
    <x v="1"/>
    <m/>
    <x v="6"/>
  </r>
  <r>
    <n v="825"/>
    <x v="59"/>
    <x v="59"/>
    <x v="52"/>
    <x v="1"/>
    <x v="1"/>
    <n v="803"/>
    <x v="2"/>
    <m/>
    <m/>
    <s v="Supplier"/>
    <m/>
    <x v="322"/>
    <s v="DS Motor_SIF2012_14Mar12.xlsx"/>
    <s v=".xlsx"/>
    <d v="2014-03-21T00:00:00"/>
    <s v="as\afok"/>
    <m/>
    <s v="2012"/>
    <m/>
    <m/>
    <m/>
    <m/>
    <m/>
    <x v="0"/>
    <x v="0"/>
    <x v="0"/>
    <x v="0"/>
    <x v="1"/>
    <x v="56"/>
    <x v="61"/>
    <x v="58"/>
    <x v="0"/>
    <x v="0"/>
    <x v="0"/>
    <x v="6"/>
    <x v="7"/>
    <x v="0"/>
    <x v="0"/>
    <s v="CP Panel"/>
    <x v="0"/>
    <x v="0"/>
    <x v="1"/>
    <x v="7"/>
    <m/>
    <m/>
    <m/>
    <n v="1"/>
    <m/>
    <m/>
    <m/>
    <s v="CP"/>
    <m/>
    <m/>
    <s v="CP "/>
    <x v="2"/>
    <x v="1"/>
    <m/>
    <x v="6"/>
  </r>
  <r>
    <n v="814"/>
    <x v="59"/>
    <x v="59"/>
    <x v="52"/>
    <x v="1"/>
    <x v="1"/>
    <n v="792"/>
    <x v="3"/>
    <m/>
    <m/>
    <s v="Supplier"/>
    <m/>
    <x v="138"/>
    <s v="DS_Motor_SPR_2013.pptx"/>
    <s v=".pptx"/>
    <d v="2014-03-21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m/>
    <m/>
    <n v="1"/>
    <m/>
    <m/>
    <m/>
    <s v="CP"/>
    <m/>
    <m/>
    <s v="CP "/>
    <x v="0"/>
    <x v="1"/>
    <m/>
    <x v="6"/>
  </r>
  <r>
    <n v="38"/>
    <x v="60"/>
    <x v="60"/>
    <x v="53"/>
    <x v="3"/>
    <x v="19"/>
    <n v="32"/>
    <x v="4"/>
    <m/>
    <m/>
    <s v="Supplier"/>
    <d v="2015-12-31T00:00:00"/>
    <x v="323"/>
    <s v="ENE supply agreement (no supply chain appendix) - 07June2013.pdf"/>
    <s v=".pdf"/>
    <d v="2014-03-04T00:00:00"/>
    <s v="as\afok"/>
    <m/>
    <s v="FHA00016 ind.11"/>
    <s v="37D3 - Within 30 days Due net on Posting date 37D3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m/>
    <s v="SP"/>
    <s v="MOULD"/>
    <s v="FP SP MOULD "/>
    <x v="0"/>
    <x v="1"/>
    <m/>
    <x v="20"/>
  </r>
  <r>
    <n v="431"/>
    <x v="60"/>
    <x v="60"/>
    <x v="53"/>
    <x v="3"/>
    <x v="19"/>
    <n v="417"/>
    <x v="5"/>
    <m/>
    <m/>
    <s v="Supplier"/>
    <m/>
    <x v="323"/>
    <s v="ENE supply agreement (no supply chain appendix) - 07June2013.pdf"/>
    <s v=".pdf"/>
    <d v="2014-03-17T00:00:00"/>
    <s v="as\afok"/>
    <m/>
    <m/>
    <m/>
    <m/>
    <m/>
    <n v="10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m/>
    <s v="SP"/>
    <s v="MOULD"/>
    <s v="FP SP MOULD "/>
    <x v="0"/>
    <x v="1"/>
    <m/>
    <x v="20"/>
  </r>
  <r>
    <n v="430"/>
    <x v="60"/>
    <x v="60"/>
    <x v="53"/>
    <x v="3"/>
    <x v="19"/>
    <n v="416"/>
    <x v="6"/>
    <m/>
    <m/>
    <s v="Supplier"/>
    <m/>
    <x v="324"/>
    <s v="Supply chain appendix completed-08July2013.pdf"/>
    <s v=".pdf"/>
    <d v="2014-03-17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m/>
    <s v="SP"/>
    <s v="MOULD"/>
    <s v="FP SP MOULD "/>
    <x v="0"/>
    <x v="1"/>
    <m/>
    <x v="20"/>
  </r>
  <r>
    <n v="570"/>
    <x v="60"/>
    <x v="60"/>
    <x v="53"/>
    <x v="3"/>
    <x v="19"/>
    <n v="555"/>
    <x v="10"/>
    <m/>
    <m/>
    <s v="Supplier"/>
    <m/>
    <x v="252"/>
    <s v="ENE supply agreement (no supply chain appendix) - 07June2013.pdf"/>
    <s v=".pdf"/>
    <d v="2014-03-1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n v="1"/>
    <m/>
    <s v="FP"/>
    <m/>
    <s v="SP"/>
    <s v="MOULD"/>
    <s v="FP SP MOULD "/>
    <x v="0"/>
    <x v="1"/>
    <m/>
    <x v="20"/>
  </r>
  <r>
    <n v="432"/>
    <x v="60"/>
    <x v="60"/>
    <x v="53"/>
    <x v="3"/>
    <x v="19"/>
    <n v="418"/>
    <x v="7"/>
    <m/>
    <m/>
    <s v="Supplier"/>
    <m/>
    <x v="325"/>
    <s v="ENE supply agreement (no supply chain appendix) - 07June2013.pdf"/>
    <s v=".pdf"/>
    <d v="2014-03-17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0"/>
  </r>
  <r>
    <n v="433"/>
    <x v="60"/>
    <x v="60"/>
    <x v="53"/>
    <x v="3"/>
    <x v="19"/>
    <n v="419"/>
    <x v="7"/>
    <m/>
    <m/>
    <s v="Supplier"/>
    <m/>
    <x v="85"/>
    <s v="E_and_E_Env_Declaration_08Apr2010.xls"/>
    <s v=".xls"/>
    <d v="2014-03-17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0"/>
  </r>
  <r>
    <n v="434"/>
    <x v="60"/>
    <x v="60"/>
    <x v="53"/>
    <x v="3"/>
    <x v="19"/>
    <n v="420"/>
    <x v="11"/>
    <m/>
    <m/>
    <s v="Supplier"/>
    <m/>
    <x v="326"/>
    <s v="E_and_E -  WORLDWIDE EXCLUSIVITY 16Sep10.XLS"/>
    <s v=".xls"/>
    <d v="2014-03-17T00:00:00"/>
    <s v="as\afok"/>
    <s v="WORLDWIDE EXCLUSIVITY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0"/>
  </r>
  <r>
    <n v="439"/>
    <x v="60"/>
    <x v="60"/>
    <x v="53"/>
    <x v="3"/>
    <x v="19"/>
    <n v="425"/>
    <x v="11"/>
    <m/>
    <m/>
    <s v="Product / Project"/>
    <m/>
    <x v="327"/>
    <s v="Exclusivity agreement wine aerator.pdf"/>
    <s v=".pdf"/>
    <d v="2014-03-17T00:00:00"/>
    <s v="as\afok"/>
    <s v="_x000d__x000a_"/>
    <m/>
    <m/>
    <m/>
    <m/>
    <m/>
    <s v="wine aerator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0"/>
  </r>
  <r>
    <n v="440"/>
    <x v="60"/>
    <x v="60"/>
    <x v="53"/>
    <x v="3"/>
    <x v="19"/>
    <n v="426"/>
    <x v="12"/>
    <m/>
    <m/>
    <s v="Product / Project"/>
    <m/>
    <x v="328"/>
    <s v="IP agreement wine aerator.pdf"/>
    <s v=".pdf"/>
    <d v="2014-03-17T00:00:00"/>
    <s v="as\afok"/>
    <s v="_x000d__x000a_"/>
    <m/>
    <m/>
    <m/>
    <m/>
    <m/>
    <s v="wine aerator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0"/>
  </r>
  <r>
    <n v="437"/>
    <x v="60"/>
    <x v="60"/>
    <x v="53"/>
    <x v="3"/>
    <x v="19"/>
    <n v="423"/>
    <x v="12"/>
    <m/>
    <m/>
    <s v="Product / Project"/>
    <m/>
    <x v="329"/>
    <s v="EnE_IP_Krups Toaster Oven_2012-12-24.pdf"/>
    <s v=".pdf"/>
    <d v="2014-03-17T00:00:00"/>
    <s v="as\afok"/>
    <s v="_x000d__x000a_"/>
    <m/>
    <m/>
    <m/>
    <m/>
    <m/>
    <s v="Krups Toaster Oven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0"/>
  </r>
  <r>
    <n v="442"/>
    <x v="60"/>
    <x v="60"/>
    <x v="53"/>
    <x v="3"/>
    <x v="19"/>
    <n v="428"/>
    <x v="14"/>
    <m/>
    <m/>
    <s v="Supplier"/>
    <d v="2013-01-10T00:00:00"/>
    <x v="330"/>
    <s v="E and E ISO9001 10Jan2013.pdf"/>
    <s v=".pdf"/>
    <d v="2014-03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0"/>
  </r>
  <r>
    <n v="443"/>
    <x v="60"/>
    <x v="60"/>
    <x v="53"/>
    <x v="3"/>
    <x v="19"/>
    <n v="429"/>
    <x v="15"/>
    <m/>
    <m/>
    <s v="Supplier"/>
    <m/>
    <x v="331"/>
    <s v="E and E_NDA_20110408.pdf"/>
    <s v=".pdf"/>
    <d v="2014-03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0"/>
  </r>
  <r>
    <n v="444"/>
    <x v="60"/>
    <x v="60"/>
    <x v="53"/>
    <x v="3"/>
    <x v="19"/>
    <n v="430"/>
    <x v="15"/>
    <m/>
    <m/>
    <s v="Product / Project"/>
    <m/>
    <x v="332"/>
    <s v="E and E_NDA_Grind and Brew Coffee Machine_20110531.pdf"/>
    <s v=".pdf"/>
    <d v="2014-03-17T00:00:00"/>
    <s v="as\afok"/>
    <m/>
    <m/>
    <m/>
    <m/>
    <m/>
    <m/>
    <s v="Grind and Brew Coffee Machine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0"/>
  </r>
  <r>
    <n v="441"/>
    <x v="60"/>
    <x v="60"/>
    <x v="53"/>
    <x v="3"/>
    <x v="19"/>
    <n v="427"/>
    <x v="8"/>
    <m/>
    <m/>
    <s v="Supplier"/>
    <m/>
    <x v="19"/>
    <s v="E and E - Responsible Purchasing Charter.pdf"/>
    <s v=".pdf"/>
    <d v="2014-03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0"/>
  </r>
  <r>
    <n v="435"/>
    <x v="60"/>
    <x v="60"/>
    <x v="53"/>
    <x v="3"/>
    <x v="19"/>
    <n v="421"/>
    <x v="1"/>
    <m/>
    <m/>
    <s v="Supplier"/>
    <m/>
    <x v="72"/>
    <s v="ENE SEF 2012.xlsx"/>
    <s v=".xlsx"/>
    <d v="2014-03-17T00:00:00"/>
    <s v="as\afok"/>
    <m/>
    <s v="2012 "/>
    <m/>
    <m/>
    <m/>
    <m/>
    <m/>
    <x v="0"/>
    <x v="0"/>
    <x v="0"/>
    <x v="2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0"/>
  </r>
  <r>
    <n v="438"/>
    <x v="60"/>
    <x v="60"/>
    <x v="53"/>
    <x v="3"/>
    <x v="19"/>
    <n v="424"/>
    <x v="1"/>
    <m/>
    <m/>
    <s v="Supplier"/>
    <m/>
    <x v="71"/>
    <s v="ENE_SEF_Dec 2012.xlsx"/>
    <s v=".xlsx"/>
    <d v="2014-03-17T00:00:00"/>
    <s v="as\afok"/>
    <m/>
    <s v="2012"/>
    <m/>
    <m/>
    <m/>
    <m/>
    <m/>
    <x v="0"/>
    <x v="0"/>
    <x v="0"/>
    <x v="32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0"/>
  </r>
  <r>
    <n v="436"/>
    <x v="60"/>
    <x v="60"/>
    <x v="53"/>
    <x v="3"/>
    <x v="19"/>
    <n v="422"/>
    <x v="2"/>
    <m/>
    <m/>
    <s v="Supplier"/>
    <m/>
    <x v="73"/>
    <s v="ENE SIF 2013.pdf"/>
    <s v=".pdf"/>
    <d v="2014-03-17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3"/>
    <x v="1"/>
    <m/>
    <x v="20"/>
  </r>
  <r>
    <n v="17"/>
    <x v="61"/>
    <x v="61"/>
    <x v="54"/>
    <x v="2"/>
    <x v="2"/>
    <n v="13"/>
    <x v="4"/>
    <m/>
    <m/>
    <s v="Supplier"/>
    <d v="2014-12-31T00:00:00"/>
    <x v="333"/>
    <s v="EASTERN SOURCE-DEVELOPMENT AND SUPPLY AGREEMENT-20102008.PDF"/>
    <s v=".pdf"/>
    <d v="2014-03-04T00:00:00"/>
    <s v="as\afok"/>
    <m/>
    <s v="FHA00016 ind.0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0"/>
    <m/>
    <m/>
    <s v="FP"/>
    <s v="CP"/>
    <s v="SP"/>
    <s v="MOULD"/>
    <s v="FP CP SP MOULD Both"/>
    <x v="0"/>
    <x v="1"/>
    <m/>
    <x v="7"/>
  </r>
  <r>
    <n v="305"/>
    <x v="61"/>
    <x v="61"/>
    <x v="54"/>
    <x v="2"/>
    <x v="2"/>
    <n v="292"/>
    <x v="7"/>
    <m/>
    <m/>
    <s v="Supplier"/>
    <m/>
    <x v="334"/>
    <s v="Eastern_Sources_Env_Declaration_1Apr2010.xlsx"/>
    <s v=".xlsx"/>
    <d v="2014-03-14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s v="CP"/>
    <s v="SP"/>
    <s v="MOULD"/>
    <s v="FP CP SP MOULD Both"/>
    <x v="0"/>
    <x v="1"/>
    <m/>
    <x v="7"/>
  </r>
  <r>
    <n v="306"/>
    <x v="61"/>
    <x v="61"/>
    <x v="54"/>
    <x v="2"/>
    <x v="2"/>
    <n v="293"/>
    <x v="11"/>
    <m/>
    <m/>
    <s v="Supplier"/>
    <m/>
    <x v="335"/>
    <s v="Eastern Sources Exclusivity Summary 2012-04-02.xlsx"/>
    <s v=".xlsx"/>
    <d v="2014-03-14T00:00:00"/>
    <s v="as\afok"/>
    <s v="Exclusivity Summary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s v="CP"/>
    <s v="SP"/>
    <s v="MOULD"/>
    <s v="FP CP SP MOULD Both"/>
    <x v="0"/>
    <x v="1"/>
    <m/>
    <x v="7"/>
  </r>
  <r>
    <n v="312"/>
    <x v="61"/>
    <x v="61"/>
    <x v="54"/>
    <x v="2"/>
    <x v="2"/>
    <n v="299"/>
    <x v="11"/>
    <m/>
    <m/>
    <s v="Product / Project"/>
    <m/>
    <x v="336"/>
    <s v="LEON Electric Steam Wok_EA_2012-02-06.pdf"/>
    <s v=".pdf"/>
    <d v="2014-03-14T00:00:00"/>
    <s v="as\afok"/>
    <s v="_x000d__x000a_"/>
    <m/>
    <m/>
    <m/>
    <m/>
    <m/>
    <s v="LEON Electric Steam Wok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s v="CP"/>
    <s v="SP"/>
    <s v="MOULD"/>
    <s v="FP CP SP MOULD Both"/>
    <x v="0"/>
    <x v="1"/>
    <m/>
    <x v="7"/>
  </r>
  <r>
    <n v="307"/>
    <x v="61"/>
    <x v="61"/>
    <x v="54"/>
    <x v="2"/>
    <x v="2"/>
    <n v="294"/>
    <x v="11"/>
    <m/>
    <m/>
    <s v="Product / Project"/>
    <m/>
    <x v="337"/>
    <s v="Bayonne Foodslicer_EA_2012-04-19.pdf"/>
    <s v=".pdf"/>
    <d v="2014-03-14T00:00:00"/>
    <s v="as\afok"/>
    <s v="_x000d__x000a_"/>
    <m/>
    <m/>
    <m/>
    <m/>
    <m/>
    <s v="Bayonne Foodslicer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s v="CP"/>
    <s v="SP"/>
    <s v="MOULD"/>
    <s v="FP CP SP MOULD Both"/>
    <x v="0"/>
    <x v="1"/>
    <m/>
    <x v="7"/>
  </r>
  <r>
    <n v="313"/>
    <x v="61"/>
    <x v="61"/>
    <x v="54"/>
    <x v="2"/>
    <x v="2"/>
    <n v="300"/>
    <x v="12"/>
    <m/>
    <m/>
    <s v="Product / Project"/>
    <m/>
    <x v="336"/>
    <s v="Bayonne Foodslicer_IP_2012-04-19.pdf"/>
    <s v=".pdf"/>
    <d v="2014-03-14T00:00:00"/>
    <s v="as\afok"/>
    <s v="_x000d__x000a_"/>
    <m/>
    <m/>
    <m/>
    <m/>
    <m/>
    <s v="LEON Electric Steam Wok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s v="CP"/>
    <s v="SP"/>
    <s v="MOULD"/>
    <s v="FP CP SP MOULD Both"/>
    <x v="0"/>
    <x v="1"/>
    <m/>
    <x v="7"/>
  </r>
  <r>
    <n v="308"/>
    <x v="61"/>
    <x v="61"/>
    <x v="54"/>
    <x v="2"/>
    <x v="2"/>
    <n v="295"/>
    <x v="12"/>
    <m/>
    <m/>
    <s v="Product / Project"/>
    <m/>
    <x v="337"/>
    <s v="Bayonne Foodslicer_IP_2012-04-19.pdf"/>
    <s v=".pdf"/>
    <d v="2014-03-14T00:00:00"/>
    <s v="as\afok"/>
    <m/>
    <m/>
    <m/>
    <m/>
    <m/>
    <m/>
    <s v="Bayonne Foodslicer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s v="CP"/>
    <s v="SP"/>
    <s v="MOULD"/>
    <s v="FP CP SP MOULD Both"/>
    <x v="0"/>
    <x v="1"/>
    <m/>
    <x v="7"/>
  </r>
  <r>
    <n v="309"/>
    <x v="61"/>
    <x v="61"/>
    <x v="54"/>
    <x v="2"/>
    <x v="2"/>
    <n v="296"/>
    <x v="8"/>
    <m/>
    <m/>
    <s v="Supplier"/>
    <m/>
    <x v="338"/>
    <s v="Eastern Sources - Responsible Purchasing Charter (CH and ENG).pdf"/>
    <s v=".pdf"/>
    <d v="2014-03-1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s v="CP"/>
    <s v="SP"/>
    <s v="MOULD"/>
    <s v="FP CP SP MOULD Both"/>
    <x v="0"/>
    <x v="1"/>
    <m/>
    <x v="7"/>
  </r>
  <r>
    <n v="314"/>
    <x v="61"/>
    <x v="61"/>
    <x v="54"/>
    <x v="2"/>
    <x v="2"/>
    <n v="301"/>
    <x v="1"/>
    <m/>
    <m/>
    <s v="Supplier"/>
    <m/>
    <x v="102"/>
    <s v="SEF 2013 - Eastern Sources.xlsx"/>
    <s v=".xlsx"/>
    <d v="2014-03-14T00:00:00"/>
    <s v="as\afok"/>
    <m/>
    <s v="2013"/>
    <m/>
    <m/>
    <m/>
    <m/>
    <m/>
    <x v="0"/>
    <x v="0"/>
    <x v="0"/>
    <x v="3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s v="CP"/>
    <s v="SP"/>
    <s v="MOULD"/>
    <s v="FP CP SP MOULD Both"/>
    <x v="0"/>
    <x v="1"/>
    <m/>
    <x v="7"/>
  </r>
  <r>
    <n v="315"/>
    <x v="61"/>
    <x v="61"/>
    <x v="54"/>
    <x v="2"/>
    <x v="2"/>
    <n v="302"/>
    <x v="1"/>
    <m/>
    <m/>
    <s v="Supplier"/>
    <m/>
    <x v="72"/>
    <s v="EASTERN SOURCES_SIF 2012_22Mar12.xls"/>
    <s v=".xls"/>
    <d v="2014-03-14T00:00:00"/>
    <s v="as\afok"/>
    <m/>
    <s v="2012"/>
    <m/>
    <m/>
    <m/>
    <m/>
    <m/>
    <x v="0"/>
    <x v="0"/>
    <x v="0"/>
    <x v="33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s v="FP"/>
    <s v="CP"/>
    <s v="SP"/>
    <s v="MOULD"/>
    <s v="FP CP SP MOULD Both"/>
    <x v="0"/>
    <x v="1"/>
    <m/>
    <x v="7"/>
  </r>
  <r>
    <n v="311"/>
    <x v="61"/>
    <x v="61"/>
    <x v="54"/>
    <x v="2"/>
    <x v="2"/>
    <n v="298"/>
    <x v="2"/>
    <n v="1"/>
    <m/>
    <s v="Supplier"/>
    <m/>
    <x v="20"/>
    <s v="EASTERN SOURCES_SIF 2012_22Mar12.xls"/>
    <s v=".xls"/>
    <d v="2014-03-14T00:00:00"/>
    <s v="as\afok"/>
    <m/>
    <s v="2012"/>
    <m/>
    <m/>
    <m/>
    <m/>
    <m/>
    <x v="0"/>
    <x v="0"/>
    <x v="0"/>
    <x v="0"/>
    <x v="1"/>
    <x v="57"/>
    <x v="62"/>
    <x v="59"/>
    <x v="54"/>
    <x v="51"/>
    <x v="0"/>
    <x v="39"/>
    <x v="32"/>
    <x v="27"/>
    <x v="24"/>
    <m/>
    <x v="0"/>
    <x v="0"/>
    <x v="0"/>
    <x v="0"/>
    <m/>
    <m/>
    <m/>
    <n v="0"/>
    <m/>
    <m/>
    <s v="FP"/>
    <s v="CP"/>
    <s v="SP"/>
    <s v="MOULD"/>
    <s v="FP CP SP MOULD Both"/>
    <x v="1"/>
    <x v="1"/>
    <m/>
    <x v="7"/>
  </r>
  <r>
    <n v="310"/>
    <x v="61"/>
    <x v="61"/>
    <x v="54"/>
    <x v="2"/>
    <x v="2"/>
    <n v="297"/>
    <x v="2"/>
    <m/>
    <m/>
    <s v="Supplier"/>
    <m/>
    <x v="27"/>
    <s v="Eastern Sources - SIF 2013.xls"/>
    <s v=".xls"/>
    <d v="2014-03-14T00:00:00"/>
    <s v="as\afok"/>
    <m/>
    <s v="2013"/>
    <m/>
    <m/>
    <m/>
    <m/>
    <m/>
    <x v="0"/>
    <x v="0"/>
    <x v="0"/>
    <x v="0"/>
    <x v="2"/>
    <x v="58"/>
    <x v="63"/>
    <x v="60"/>
    <x v="55"/>
    <x v="52"/>
    <x v="0"/>
    <x v="2"/>
    <x v="33"/>
    <x v="28"/>
    <x v="25"/>
    <m/>
    <x v="0"/>
    <x v="0"/>
    <x v="0"/>
    <x v="0"/>
    <m/>
    <m/>
    <m/>
    <n v="0"/>
    <m/>
    <m/>
    <s v="FP"/>
    <s v="CP"/>
    <s v="SP"/>
    <s v="MOULD"/>
    <s v="FP CP SP MOULD Both"/>
    <x v="1"/>
    <x v="1"/>
    <m/>
    <x v="7"/>
  </r>
  <r>
    <n v="2392"/>
    <x v="62"/>
    <x v="62"/>
    <x v="55"/>
    <x v="5"/>
    <x v="16"/>
    <n v="2333"/>
    <x v="4"/>
    <m/>
    <m/>
    <s v="Supplier"/>
    <m/>
    <x v="339"/>
    <s v="Easynet_General Agreement_May2012.pdf"/>
    <s v=".pdf"/>
    <d v="2014-04-17T00:00:00"/>
    <s v="as\afok"/>
    <m/>
    <s v="FHA 00 016 ind.11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n v="1"/>
    <m/>
    <m/>
    <n v="1"/>
    <m/>
    <m/>
    <s v="FP"/>
    <m/>
    <m/>
    <m/>
    <s v="FP "/>
    <x v="0"/>
    <x v="1"/>
    <m/>
    <x v="0"/>
  </r>
  <r>
    <n v="2395"/>
    <x v="62"/>
    <x v="62"/>
    <x v="55"/>
    <x v="5"/>
    <x v="16"/>
    <n v="2336"/>
    <x v="5"/>
    <m/>
    <m/>
    <s v="Supplier"/>
    <m/>
    <x v="74"/>
    <s v="Easynet_General Agreement_May2012.pdf"/>
    <s v=".pdf"/>
    <d v="2014-04-17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n v="1"/>
    <m/>
    <n v="1"/>
    <m/>
    <m/>
    <s v="FP"/>
    <m/>
    <m/>
    <m/>
    <s v="FP "/>
    <x v="0"/>
    <x v="1"/>
    <m/>
    <x v="0"/>
  </r>
  <r>
    <n v="2394"/>
    <x v="62"/>
    <x v="62"/>
    <x v="55"/>
    <x v="5"/>
    <x v="16"/>
    <n v="2335"/>
    <x v="6"/>
    <m/>
    <m/>
    <s v="Supplier"/>
    <m/>
    <x v="74"/>
    <s v="Easynet_General Agreement_May2012.pdf"/>
    <s v=".pdf"/>
    <d v="2014-04-17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n v="1"/>
    <n v="1"/>
    <m/>
    <m/>
    <s v="FP"/>
    <m/>
    <m/>
    <m/>
    <s v="FP "/>
    <x v="0"/>
    <x v="1"/>
    <m/>
    <x v="0"/>
  </r>
  <r>
    <n v="2396"/>
    <x v="62"/>
    <x v="62"/>
    <x v="55"/>
    <x v="5"/>
    <x v="16"/>
    <n v="2337"/>
    <x v="10"/>
    <m/>
    <m/>
    <s v="Supplier"/>
    <m/>
    <x v="340"/>
    <s v="Easynet_General Agreement_May2012.pdf"/>
    <s v=".pdf"/>
    <d v="2014-04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m/>
    <m/>
    <s v="FP "/>
    <x v="0"/>
    <x v="1"/>
    <m/>
    <x v="0"/>
  </r>
  <r>
    <n v="2393"/>
    <x v="62"/>
    <x v="62"/>
    <x v="55"/>
    <x v="5"/>
    <x v="16"/>
    <n v="2334"/>
    <x v="7"/>
    <m/>
    <m/>
    <s v="Supplier"/>
    <m/>
    <x v="44"/>
    <s v="Easynet_General Agreement_May2012.pdf"/>
    <s v=".pdf"/>
    <d v="2014-04-17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m/>
    <m/>
    <s v="FP "/>
    <x v="0"/>
    <x v="1"/>
    <m/>
    <x v="0"/>
  </r>
  <r>
    <n v="2390"/>
    <x v="62"/>
    <x v="62"/>
    <x v="55"/>
    <x v="5"/>
    <x v="16"/>
    <n v="2331"/>
    <x v="7"/>
    <m/>
    <m/>
    <s v="Supplier"/>
    <m/>
    <x v="64"/>
    <s v="Env_Declaration Easynet 20110512.xls"/>
    <s v=".xls"/>
    <d v="2014-04-17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m/>
    <m/>
    <s v="FP "/>
    <x v="0"/>
    <x v="1"/>
    <m/>
    <x v="0"/>
  </r>
  <r>
    <n v="2391"/>
    <x v="62"/>
    <x v="62"/>
    <x v="55"/>
    <x v="5"/>
    <x v="16"/>
    <n v="2332"/>
    <x v="8"/>
    <m/>
    <m/>
    <s v="Supplier"/>
    <m/>
    <x v="176"/>
    <s v="Easynet_Responsible Purchaser Charter_17Aug2012.pdf"/>
    <s v=".pdf"/>
    <d v="2014-04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m/>
    <m/>
    <s v="FP "/>
    <x v="0"/>
    <x v="1"/>
    <m/>
    <x v="0"/>
  </r>
  <r>
    <n v="2397"/>
    <x v="62"/>
    <x v="62"/>
    <x v="55"/>
    <x v="5"/>
    <x v="16"/>
    <n v="2338"/>
    <x v="1"/>
    <m/>
    <m/>
    <s v="Supplier"/>
    <m/>
    <x v="145"/>
    <s v="EASYNET_SEF_ 2012May.xlsx"/>
    <s v=".xlsx"/>
    <d v="2014-04-17T00:00:00"/>
    <s v="as\afok"/>
    <m/>
    <s v="2012"/>
    <m/>
    <m/>
    <m/>
    <m/>
    <m/>
    <x v="0"/>
    <x v="0"/>
    <x v="0"/>
    <x v="11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m/>
    <m/>
    <s v="FP "/>
    <x v="0"/>
    <x v="1"/>
    <m/>
    <x v="0"/>
  </r>
  <r>
    <n v="2398"/>
    <x v="62"/>
    <x v="62"/>
    <x v="55"/>
    <x v="5"/>
    <x v="16"/>
    <n v="2339"/>
    <x v="2"/>
    <n v="1"/>
    <m/>
    <s v="Supplier"/>
    <m/>
    <x v="168"/>
    <s v="Easynet_SIF_8May2012.xls"/>
    <s v=".xls"/>
    <d v="2014-04-17T00:00:00"/>
    <s v="as\afok"/>
    <m/>
    <s v="2012"/>
    <m/>
    <m/>
    <m/>
    <m/>
    <m/>
    <x v="0"/>
    <x v="0"/>
    <x v="0"/>
    <x v="0"/>
    <x v="1"/>
    <x v="3"/>
    <x v="4"/>
    <x v="61"/>
    <x v="56"/>
    <x v="53"/>
    <x v="0"/>
    <x v="0"/>
    <x v="34"/>
    <x v="23"/>
    <x v="26"/>
    <s v="FP panel"/>
    <x v="1"/>
    <x v="3"/>
    <x v="0"/>
    <x v="0"/>
    <m/>
    <m/>
    <m/>
    <n v="1"/>
    <n v="1"/>
    <m/>
    <s v="FP"/>
    <m/>
    <m/>
    <m/>
    <s v="FP "/>
    <x v="1"/>
    <x v="1"/>
    <m/>
    <x v="0"/>
  </r>
  <r>
    <n v="2389"/>
    <x v="62"/>
    <x v="62"/>
    <x v="55"/>
    <x v="5"/>
    <x v="16"/>
    <n v="2330"/>
    <x v="3"/>
    <m/>
    <m/>
    <s v="Supplier"/>
    <m/>
    <x v="341"/>
    <s v="SPR 2012 Easynet.pptx"/>
    <s v=".pptx"/>
    <d v="2014-04-17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m/>
    <m/>
    <s v="FP "/>
    <x v="0"/>
    <x v="1"/>
    <m/>
    <x v="0"/>
  </r>
  <r>
    <n v="1225"/>
    <x v="63"/>
    <x v="63"/>
    <x v="56"/>
    <x v="2"/>
    <x v="2"/>
    <n v="1201"/>
    <x v="4"/>
    <m/>
    <m/>
    <s v="Supplier"/>
    <m/>
    <x v="342"/>
    <s v="Elecpro_General Agreement_20081212.pdf"/>
    <s v=".pdf"/>
    <d v="2014-03-27T00:00:00"/>
    <s v="as\afok"/>
    <m/>
    <s v="FHA 00 016 ind.0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0"/>
    <m/>
    <m/>
    <s v="FP"/>
    <m/>
    <s v="SP"/>
    <s v="MOULD"/>
    <s v="FP SP MOULD "/>
    <x v="0"/>
    <x v="1"/>
    <m/>
    <x v="26"/>
  </r>
  <r>
    <n v="1222"/>
    <x v="63"/>
    <x v="63"/>
    <x v="56"/>
    <x v="2"/>
    <x v="2"/>
    <n v="1198"/>
    <x v="7"/>
    <m/>
    <m/>
    <s v="Supplier"/>
    <m/>
    <x v="343"/>
    <s v="Elecpro_Env_Declaration_26May2010.xls"/>
    <s v=".xls"/>
    <d v="2014-03-27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6"/>
  </r>
  <r>
    <n v="1230"/>
    <x v="63"/>
    <x v="63"/>
    <x v="56"/>
    <x v="2"/>
    <x v="2"/>
    <n v="1206"/>
    <x v="0"/>
    <m/>
    <m/>
    <s v="Supplier"/>
    <m/>
    <x v="344"/>
    <s v="Elecpro FRD00069 ind.04 20090623.pdf"/>
    <s v=".pdf"/>
    <d v="2014-03-27T00:00:00"/>
    <s v="as\afok"/>
    <m/>
    <s v="FRD 00 069 ind.04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s v="FP"/>
    <m/>
    <s v="SP"/>
    <s v="MOULD"/>
    <s v="FP SP MOULD "/>
    <x v="0"/>
    <x v="1"/>
    <m/>
    <x v="26"/>
  </r>
  <r>
    <n v="1227"/>
    <x v="63"/>
    <x v="63"/>
    <x v="56"/>
    <x v="2"/>
    <x v="2"/>
    <n v="1203"/>
    <x v="13"/>
    <m/>
    <m/>
    <s v="Supplier"/>
    <d v="2011-05-26T00:00:00"/>
    <x v="345"/>
    <s v="Elecpro_ISO14001_2011.jpg"/>
    <s v=".jpg"/>
    <d v="2014-03-2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6"/>
  </r>
  <r>
    <n v="1226"/>
    <x v="63"/>
    <x v="63"/>
    <x v="56"/>
    <x v="2"/>
    <x v="2"/>
    <n v="1202"/>
    <x v="14"/>
    <m/>
    <m/>
    <s v="Supplier"/>
    <d v="2011-08-27T00:00:00"/>
    <x v="346"/>
    <s v="Elecpro_ISO9001_2011.jpg"/>
    <s v=".jpg"/>
    <d v="2014-03-2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6"/>
  </r>
  <r>
    <n v="1221"/>
    <x v="63"/>
    <x v="63"/>
    <x v="56"/>
    <x v="2"/>
    <x v="2"/>
    <n v="1197"/>
    <x v="15"/>
    <m/>
    <m/>
    <s v="Supplier"/>
    <m/>
    <x v="347"/>
    <s v="Elecpro - NDA 17Dec10.pdf"/>
    <s v=".pdf"/>
    <d v="2014-03-2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6"/>
  </r>
  <r>
    <n v="1224"/>
    <x v="63"/>
    <x v="63"/>
    <x v="56"/>
    <x v="2"/>
    <x v="2"/>
    <n v="1200"/>
    <x v="8"/>
    <m/>
    <m/>
    <s v="Supplier"/>
    <m/>
    <x v="288"/>
    <s v="Elecpro - Responsible Purchasing Charter (CH).pdf"/>
    <s v=".pdf"/>
    <d v="2014-03-27T00:00:00"/>
    <s v="as\afok"/>
    <s v="Chinese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6"/>
  </r>
  <r>
    <n v="1223"/>
    <x v="63"/>
    <x v="63"/>
    <x v="56"/>
    <x v="2"/>
    <x v="2"/>
    <n v="1199"/>
    <x v="8"/>
    <m/>
    <m/>
    <s v="Supplier"/>
    <m/>
    <x v="288"/>
    <s v="Elecpro - Responsible Purchasing Charter (ENG).pdf"/>
    <s v=".pdf"/>
    <d v="2014-03-27T00:00:00"/>
    <s v="as\afok"/>
    <s v="English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6"/>
  </r>
  <r>
    <n v="1220"/>
    <x v="63"/>
    <x v="63"/>
    <x v="56"/>
    <x v="2"/>
    <x v="2"/>
    <n v="1196"/>
    <x v="1"/>
    <m/>
    <m/>
    <s v="Supplier"/>
    <m/>
    <x v="102"/>
    <s v="SEF 2013 - Elecpro.xlsx"/>
    <s v=".xlsx"/>
    <d v="2014-03-27T00:00:00"/>
    <s v="as\afok"/>
    <m/>
    <s v="2013"/>
    <m/>
    <m/>
    <m/>
    <m/>
    <m/>
    <x v="0"/>
    <x v="0"/>
    <x v="0"/>
    <x v="1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6"/>
  </r>
  <r>
    <n v="1229"/>
    <x v="63"/>
    <x v="63"/>
    <x v="56"/>
    <x v="2"/>
    <x v="2"/>
    <n v="1205"/>
    <x v="1"/>
    <m/>
    <m/>
    <s v="Supplier"/>
    <m/>
    <x v="72"/>
    <s v="SEF_Elecpro_ 201206.xlsx"/>
    <s v=".xlsx"/>
    <d v="2014-03-27T00:00:00"/>
    <s v="as\afok"/>
    <m/>
    <s v="2012"/>
    <m/>
    <m/>
    <m/>
    <m/>
    <m/>
    <x v="0"/>
    <x v="0"/>
    <x v="0"/>
    <x v="34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6"/>
  </r>
  <r>
    <n v="1219"/>
    <x v="63"/>
    <x v="63"/>
    <x v="56"/>
    <x v="2"/>
    <x v="2"/>
    <n v="1195"/>
    <x v="2"/>
    <m/>
    <m/>
    <s v="Supplier"/>
    <m/>
    <x v="348"/>
    <s v="Elecpro - SIF 2012.XLSX"/>
    <s v=".xlsx"/>
    <d v="2014-03-27T00:00:00"/>
    <s v="as\afok"/>
    <m/>
    <s v="2012"/>
    <m/>
    <m/>
    <m/>
    <m/>
    <m/>
    <x v="0"/>
    <x v="0"/>
    <x v="0"/>
    <x v="0"/>
    <x v="1"/>
    <x v="59"/>
    <x v="64"/>
    <x v="62"/>
    <x v="57"/>
    <x v="54"/>
    <x v="0"/>
    <x v="0"/>
    <x v="29"/>
    <x v="29"/>
    <x v="27"/>
    <m/>
    <x v="0"/>
    <x v="0"/>
    <x v="0"/>
    <x v="0"/>
    <m/>
    <m/>
    <m/>
    <n v="0"/>
    <m/>
    <m/>
    <s v="FP"/>
    <m/>
    <s v="SP"/>
    <s v="MOULD"/>
    <s v="FP SP MOULD "/>
    <x v="3"/>
    <x v="1"/>
    <m/>
    <x v="26"/>
  </r>
  <r>
    <n v="1218"/>
    <x v="63"/>
    <x v="63"/>
    <x v="56"/>
    <x v="2"/>
    <x v="2"/>
    <n v="1194"/>
    <x v="2"/>
    <m/>
    <m/>
    <s v="Supplier"/>
    <m/>
    <x v="349"/>
    <s v="Elecpro - SIF 2013.xls"/>
    <s v=".xls"/>
    <d v="2014-03-27T00:00:00"/>
    <s v="as\afok"/>
    <m/>
    <s v="2013"/>
    <m/>
    <m/>
    <m/>
    <m/>
    <m/>
    <x v="0"/>
    <x v="0"/>
    <x v="0"/>
    <x v="0"/>
    <x v="2"/>
    <x v="59"/>
    <x v="64"/>
    <x v="62"/>
    <x v="57"/>
    <x v="54"/>
    <x v="0"/>
    <x v="0"/>
    <x v="29"/>
    <x v="29"/>
    <x v="27"/>
    <m/>
    <x v="0"/>
    <x v="0"/>
    <x v="0"/>
    <x v="0"/>
    <m/>
    <m/>
    <m/>
    <n v="0"/>
    <m/>
    <m/>
    <s v="FP"/>
    <m/>
    <s v="SP"/>
    <s v="MOULD"/>
    <s v="FP SP MOULD "/>
    <x v="3"/>
    <x v="1"/>
    <m/>
    <x v="26"/>
  </r>
  <r>
    <n v="1228"/>
    <x v="63"/>
    <x v="63"/>
    <x v="56"/>
    <x v="2"/>
    <x v="2"/>
    <n v="1204"/>
    <x v="3"/>
    <m/>
    <m/>
    <s v="Supplier"/>
    <m/>
    <x v="343"/>
    <s v="Elecpro_SPR_May2010.PPT"/>
    <s v=".ppt"/>
    <d v="2014-03-27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6"/>
  </r>
  <r>
    <n v="2"/>
    <x v="64"/>
    <x v="64"/>
    <x v="57"/>
    <x v="0"/>
    <x v="9"/>
    <n v="2"/>
    <x v="4"/>
    <m/>
    <m/>
    <s v="Supplier"/>
    <d v="2015-12-31T00:00:00"/>
    <x v="350"/>
    <s v="ETI_General Agreement_16Feb2012.pdf"/>
    <s v=".pdf"/>
    <d v="2014-03-03T00:00:00"/>
    <s v="as\afok"/>
    <m/>
    <s v="FHA00016 ind10 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m/>
    <s v="SP"/>
    <s v="MOULD"/>
    <s v="FP SP MOULD "/>
    <x v="0"/>
    <x v="1"/>
    <m/>
    <x v="7"/>
  </r>
  <r>
    <n v="56"/>
    <x v="64"/>
    <x v="64"/>
    <x v="57"/>
    <x v="0"/>
    <x v="9"/>
    <n v="48"/>
    <x v="5"/>
    <m/>
    <m/>
    <s v="Supplier"/>
    <m/>
    <x v="350"/>
    <s v="ETI_General Agreement_16Feb2012.pdf"/>
    <s v=".pdf"/>
    <d v="2014-03-06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m/>
    <s v="SP"/>
    <s v="MOULD"/>
    <s v="FP SP MOULD "/>
    <x v="0"/>
    <x v="1"/>
    <m/>
    <x v="7"/>
  </r>
  <r>
    <n v="57"/>
    <x v="64"/>
    <x v="64"/>
    <x v="57"/>
    <x v="0"/>
    <x v="9"/>
    <n v="49"/>
    <x v="6"/>
    <m/>
    <m/>
    <s v="Supplier"/>
    <m/>
    <x v="350"/>
    <s v="ETI_General Agreement_16Feb2012.pdf"/>
    <s v=".pdf"/>
    <d v="2014-03-06T00:00:00"/>
    <s v="as\afok"/>
    <m/>
    <m/>
    <m/>
    <n v="9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m/>
    <s v="SP"/>
    <s v="MOULD"/>
    <s v="FP SP MOULD "/>
    <x v="0"/>
    <x v="1"/>
    <m/>
    <x v="7"/>
  </r>
  <r>
    <n v="587"/>
    <x v="64"/>
    <x v="64"/>
    <x v="57"/>
    <x v="0"/>
    <x v="9"/>
    <n v="570"/>
    <x v="10"/>
    <m/>
    <m/>
    <s v="Supplier"/>
    <m/>
    <x v="265"/>
    <s v="ETI_General Agreement_16Feb2012.pdf"/>
    <s v=".pdf"/>
    <d v="2014-03-1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n v="1"/>
    <m/>
    <s v="FP"/>
    <m/>
    <s v="SP"/>
    <s v="MOULD"/>
    <s v="FP SP MOULD "/>
    <x v="0"/>
    <x v="1"/>
    <m/>
    <x v="7"/>
  </r>
  <r>
    <n v="51"/>
    <x v="64"/>
    <x v="64"/>
    <x v="57"/>
    <x v="0"/>
    <x v="9"/>
    <n v="43"/>
    <x v="7"/>
    <m/>
    <m/>
    <s v="Supplier"/>
    <m/>
    <x v="351"/>
    <s v="ETI_Env_Declaration_15May2010.xls"/>
    <s v=".xls"/>
    <d v="2014-03-06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7"/>
  </r>
  <r>
    <n v="58"/>
    <x v="64"/>
    <x v="64"/>
    <x v="57"/>
    <x v="0"/>
    <x v="9"/>
    <n v="50"/>
    <x v="7"/>
    <m/>
    <m/>
    <s v="Supplier"/>
    <m/>
    <x v="350"/>
    <s v="ETI_General Agreement_16Feb2012.pdf"/>
    <s v=".pdf"/>
    <d v="2014-03-06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7"/>
  </r>
  <r>
    <n v="47"/>
    <x v="64"/>
    <x v="64"/>
    <x v="57"/>
    <x v="0"/>
    <x v="9"/>
    <n v="39"/>
    <x v="11"/>
    <m/>
    <m/>
    <s v="Supplier"/>
    <m/>
    <x v="352"/>
    <s v="ELEC-TECH_Exclusivity_Grind and Brew Coffee machine_23Mar12.pdf"/>
    <s v=".pdf"/>
    <d v="2014-03-0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7"/>
  </r>
  <r>
    <n v="49"/>
    <x v="64"/>
    <x v="64"/>
    <x v="57"/>
    <x v="0"/>
    <x v="9"/>
    <n v="41"/>
    <x v="0"/>
    <m/>
    <m/>
    <s v="Supplier"/>
    <m/>
    <x v="353"/>
    <s v="ETI_Food_Stuff_13Oct2010.pdf"/>
    <s v=".pdf"/>
    <d v="2014-03-06T00:00:00"/>
    <s v="as\afok"/>
    <m/>
    <s v="FRD00069 ind.04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7"/>
  </r>
  <r>
    <n v="48"/>
    <x v="64"/>
    <x v="64"/>
    <x v="57"/>
    <x v="0"/>
    <x v="9"/>
    <n v="40"/>
    <x v="12"/>
    <m/>
    <m/>
    <s v="Supplier"/>
    <m/>
    <x v="31"/>
    <s v="ELEC-TECH_IP_7064 Baby Phone Digital Video_18Apr12.pdf"/>
    <s v=".pdf"/>
    <d v="2014-03-0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7"/>
  </r>
  <r>
    <n v="50"/>
    <x v="64"/>
    <x v="64"/>
    <x v="57"/>
    <x v="0"/>
    <x v="9"/>
    <n v="42"/>
    <x v="20"/>
    <m/>
    <m/>
    <s v="Supplier"/>
    <m/>
    <x v="354"/>
    <s v="ETI_PLI_24Jul12.pdf"/>
    <s v=".pdf"/>
    <d v="2014-03-0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7"/>
  </r>
  <r>
    <n v="46"/>
    <x v="64"/>
    <x v="64"/>
    <x v="57"/>
    <x v="0"/>
    <x v="9"/>
    <n v="38"/>
    <x v="9"/>
    <m/>
    <m/>
    <s v="Supplier"/>
    <m/>
    <x v="355"/>
    <s v="ETI_LOC_2009.pdf"/>
    <s v=".pdf"/>
    <d v="2014-03-0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7"/>
  </r>
  <r>
    <n v="53"/>
    <x v="64"/>
    <x v="64"/>
    <x v="57"/>
    <x v="0"/>
    <x v="9"/>
    <n v="45"/>
    <x v="8"/>
    <m/>
    <m/>
    <s v="Supplier"/>
    <m/>
    <x v="299"/>
    <s v="ETI_Responsible Purchasing Charter (Vesta)_3Aug12.pdf"/>
    <s v=".pdf"/>
    <d v="2014-03-06T00:00:00"/>
    <s v="as\afok"/>
    <s v="Vesta Electrical Appliance Manufacturing (ZhongShan) Co. Ltd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7"/>
  </r>
  <r>
    <n v="52"/>
    <x v="64"/>
    <x v="64"/>
    <x v="57"/>
    <x v="0"/>
    <x v="9"/>
    <n v="44"/>
    <x v="8"/>
    <m/>
    <m/>
    <s v="Supplier"/>
    <m/>
    <x v="77"/>
    <s v="ETI_Responsible Purchasing Charter_3Aug12.pdf"/>
    <s v=".pdf"/>
    <d v="2014-03-0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7"/>
  </r>
  <r>
    <n v="44"/>
    <x v="64"/>
    <x v="64"/>
    <x v="57"/>
    <x v="0"/>
    <x v="9"/>
    <n v="36"/>
    <x v="1"/>
    <m/>
    <m/>
    <s v="Supplier"/>
    <m/>
    <x v="70"/>
    <s v="SEF_Elec_Tech_20120830.xlsx"/>
    <s v=".xlsx"/>
    <d v="2014-03-06T00:00:00"/>
    <s v="as\afok"/>
    <m/>
    <s v="2012"/>
    <m/>
    <m/>
    <m/>
    <m/>
    <m/>
    <x v="0"/>
    <x v="0"/>
    <x v="0"/>
    <x v="11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7"/>
  </r>
  <r>
    <n v="45"/>
    <x v="64"/>
    <x v="64"/>
    <x v="57"/>
    <x v="0"/>
    <x v="9"/>
    <n v="37"/>
    <x v="1"/>
    <m/>
    <m/>
    <s v="Supplier"/>
    <m/>
    <x v="356"/>
    <s v="SEF ElecTech 20130809.xlsx"/>
    <s v=".xlsx"/>
    <d v="2014-03-06T00:00:00"/>
    <s v="as\afok"/>
    <m/>
    <s v="2013"/>
    <m/>
    <m/>
    <m/>
    <m/>
    <m/>
    <x v="0"/>
    <x v="0"/>
    <x v="0"/>
    <x v="8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7"/>
  </r>
  <r>
    <n v="55"/>
    <x v="64"/>
    <x v="64"/>
    <x v="57"/>
    <x v="0"/>
    <x v="9"/>
    <n v="47"/>
    <x v="2"/>
    <m/>
    <m/>
    <s v="Supplier"/>
    <m/>
    <x v="357"/>
    <s v="Elec_Tech_SIF2012_11Mar12.xls"/>
    <s v=".xls"/>
    <d v="2014-03-06T00:00:00"/>
    <s v="as\afok"/>
    <m/>
    <s v="2012"/>
    <m/>
    <m/>
    <m/>
    <m/>
    <m/>
    <x v="0"/>
    <x v="0"/>
    <x v="0"/>
    <x v="0"/>
    <x v="1"/>
    <x v="60"/>
    <x v="65"/>
    <x v="63"/>
    <x v="58"/>
    <x v="55"/>
    <x v="8"/>
    <x v="8"/>
    <x v="10"/>
    <x v="4"/>
    <x v="3"/>
    <m/>
    <x v="0"/>
    <x v="0"/>
    <x v="0"/>
    <x v="0"/>
    <m/>
    <m/>
    <m/>
    <n v="1"/>
    <m/>
    <m/>
    <s v="FP"/>
    <m/>
    <s v="SP"/>
    <s v="MOULD"/>
    <s v="FP SP MOULD "/>
    <x v="3"/>
    <x v="1"/>
    <m/>
    <x v="7"/>
  </r>
  <r>
    <n v="54"/>
    <x v="64"/>
    <x v="64"/>
    <x v="57"/>
    <x v="0"/>
    <x v="9"/>
    <n v="46"/>
    <x v="2"/>
    <n v="1"/>
    <m/>
    <s v="Supplier"/>
    <m/>
    <x v="358"/>
    <s v="Elec_Tech_SIF2011_17Mar11.xls"/>
    <s v=".xls"/>
    <d v="2014-03-06T00:00:00"/>
    <s v="as\afok"/>
    <m/>
    <s v="2011"/>
    <m/>
    <m/>
    <m/>
    <m/>
    <m/>
    <x v="0"/>
    <x v="0"/>
    <x v="0"/>
    <x v="0"/>
    <x v="5"/>
    <x v="16"/>
    <x v="66"/>
    <x v="64"/>
    <x v="59"/>
    <x v="56"/>
    <x v="23"/>
    <x v="6"/>
    <x v="5"/>
    <x v="3"/>
    <x v="7"/>
    <m/>
    <x v="0"/>
    <x v="0"/>
    <x v="0"/>
    <x v="0"/>
    <m/>
    <m/>
    <m/>
    <n v="1"/>
    <m/>
    <m/>
    <s v="FP"/>
    <m/>
    <s v="SP"/>
    <s v="MOULD"/>
    <s v="FP SP MOULD "/>
    <x v="3"/>
    <x v="1"/>
    <m/>
    <x v="7"/>
  </r>
  <r>
    <n v="43"/>
    <x v="64"/>
    <x v="64"/>
    <x v="57"/>
    <x v="0"/>
    <x v="9"/>
    <n v="35"/>
    <x v="3"/>
    <m/>
    <m/>
    <s v="Supplier"/>
    <m/>
    <x v="359"/>
    <s v="ETI SPR 20111003.pptx"/>
    <s v=".pptx"/>
    <d v="2014-03-06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7"/>
  </r>
  <r>
    <n v="2728"/>
    <x v="65"/>
    <x v="65"/>
    <x v="58"/>
    <x v="3"/>
    <x v="4"/>
    <n v="2571"/>
    <x v="21"/>
    <m/>
    <m/>
    <s v="Supplier"/>
    <m/>
    <x v="189"/>
    <s v="Emperor - Responsible.Purchasing.Charter (ENG).jpg"/>
    <s v=".jpg"/>
    <d v="2014-04-25T00:00:00"/>
    <s v="as\afok"/>
    <s v="English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17"/>
  </r>
  <r>
    <n v="2722"/>
    <x v="65"/>
    <x v="65"/>
    <x v="58"/>
    <x v="3"/>
    <x v="4"/>
    <n v="2565"/>
    <x v="4"/>
    <m/>
    <m/>
    <s v="Supplier"/>
    <m/>
    <x v="140"/>
    <s v="EMPEROR_GENERAL AGREEMENT ind.11 2012-04-23.pdf"/>
    <s v=".pdf"/>
    <d v="2014-04-24T00:00:00"/>
    <s v="as\afok"/>
    <m/>
    <s v="FHA 00 016 ind.11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m/>
    <s v="SP"/>
    <m/>
    <s v="FP SP "/>
    <x v="0"/>
    <x v="1"/>
    <m/>
    <x v="17"/>
  </r>
  <r>
    <n v="2731"/>
    <x v="65"/>
    <x v="65"/>
    <x v="58"/>
    <x v="3"/>
    <x v="4"/>
    <n v="2574"/>
    <x v="4"/>
    <m/>
    <m/>
    <s v="Supplier"/>
    <m/>
    <x v="360"/>
    <s v="Emperor _ Development and Supply Agreement.pdf"/>
    <s v=".pdf"/>
    <d v="2014-04-25T00:00:00"/>
    <s v="as\afok"/>
    <m/>
    <s v="FHA 00 016 ind.09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n v="1"/>
    <m/>
    <s v="FP"/>
    <m/>
    <s v="SP"/>
    <m/>
    <s v="FP SP "/>
    <x v="0"/>
    <x v="1"/>
    <m/>
    <x v="17"/>
  </r>
  <r>
    <n v="2725"/>
    <x v="65"/>
    <x v="65"/>
    <x v="58"/>
    <x v="3"/>
    <x v="4"/>
    <n v="2568"/>
    <x v="5"/>
    <m/>
    <m/>
    <s v="Supplier"/>
    <m/>
    <x v="48"/>
    <s v="EMPEROR_GENERAL AGREEMENT ind.11 2012-04-23.pdf"/>
    <s v=".pdf"/>
    <d v="2014-04-25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m/>
    <s v="SP"/>
    <m/>
    <s v="FP SP "/>
    <x v="0"/>
    <x v="1"/>
    <m/>
    <x v="17"/>
  </r>
  <r>
    <n v="2724"/>
    <x v="65"/>
    <x v="65"/>
    <x v="58"/>
    <x v="3"/>
    <x v="4"/>
    <n v="2567"/>
    <x v="6"/>
    <m/>
    <m/>
    <s v="Supplier"/>
    <m/>
    <x v="48"/>
    <s v="EMPEROR_GENERAL AGREEMENT ind.11 2012-04-23.pdf"/>
    <s v=".pdf"/>
    <d v="2014-04-24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m/>
    <s v="SP"/>
    <m/>
    <s v="FP SP "/>
    <x v="0"/>
    <x v="1"/>
    <m/>
    <x v="17"/>
  </r>
  <r>
    <n v="2726"/>
    <x v="65"/>
    <x v="65"/>
    <x v="58"/>
    <x v="3"/>
    <x v="4"/>
    <n v="2569"/>
    <x v="10"/>
    <m/>
    <m/>
    <s v="Supplier"/>
    <m/>
    <x v="308"/>
    <s v="EMPEROR_GENERAL AGREEMENT ind.11 2012-04-23.pdf"/>
    <s v=".pdf"/>
    <d v="2014-04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17"/>
  </r>
  <r>
    <n v="2723"/>
    <x v="65"/>
    <x v="65"/>
    <x v="58"/>
    <x v="3"/>
    <x v="4"/>
    <n v="2566"/>
    <x v="7"/>
    <m/>
    <m/>
    <s v="Supplier"/>
    <m/>
    <x v="140"/>
    <s v="EMPEROR_GENERAL AGREEMENT ind.11 2012-04-23.pdf"/>
    <s v=".pdf"/>
    <d v="2014-04-24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17"/>
  </r>
  <r>
    <n v="2721"/>
    <x v="65"/>
    <x v="65"/>
    <x v="58"/>
    <x v="3"/>
    <x v="4"/>
    <n v="2564"/>
    <x v="7"/>
    <m/>
    <m/>
    <s v="Supplier"/>
    <m/>
    <x v="361"/>
    <s v="Emperor_Env_Declaration_21May2010.xls"/>
    <s v=".xls"/>
    <d v="2014-04-24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17"/>
  </r>
  <r>
    <n v="2719"/>
    <x v="65"/>
    <x v="65"/>
    <x v="58"/>
    <x v="3"/>
    <x v="4"/>
    <n v="2562"/>
    <x v="11"/>
    <m/>
    <m/>
    <s v="Supplier"/>
    <m/>
    <x v="362"/>
    <s v="EMPEROR -  WORLDWIDE EXCLUSIVITY 29Sep10.XLS"/>
    <s v=".xls"/>
    <d v="2014-04-24T00:00:00"/>
    <s v="as\afok"/>
    <s v="Exclusivity Summary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17"/>
  </r>
  <r>
    <n v="2720"/>
    <x v="65"/>
    <x v="65"/>
    <x v="58"/>
    <x v="3"/>
    <x v="4"/>
    <n v="2563"/>
    <x v="11"/>
    <m/>
    <m/>
    <s v="Supplier"/>
    <m/>
    <x v="331"/>
    <s v="Emperor Exclusivity Summary 2011-03-31.xlsx"/>
    <s v=".xlsx"/>
    <d v="2014-04-24T00:00:00"/>
    <s v="as\afok"/>
    <s v="Exclusivity Summary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17"/>
  </r>
  <r>
    <n v="2729"/>
    <x v="65"/>
    <x v="65"/>
    <x v="58"/>
    <x v="3"/>
    <x v="4"/>
    <n v="2572"/>
    <x v="8"/>
    <m/>
    <m/>
    <s v="Supplier"/>
    <m/>
    <x v="189"/>
    <s v="Emperor - Responsible.Purchasing.Charter (CH).jpg"/>
    <s v=".jpg"/>
    <d v="2014-04-25T00:00:00"/>
    <s v="as\afok"/>
    <s v="Chinese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17"/>
  </r>
  <r>
    <n v="2727"/>
    <x v="65"/>
    <x v="65"/>
    <x v="58"/>
    <x v="3"/>
    <x v="4"/>
    <n v="2570"/>
    <x v="1"/>
    <m/>
    <m/>
    <s v="Supplier"/>
    <m/>
    <x v="72"/>
    <s v="SEF_Emperor_201206.xlsx"/>
    <s v=".xlsx"/>
    <d v="2014-04-25T00:00:00"/>
    <s v="as\afok"/>
    <m/>
    <s v="2012"/>
    <m/>
    <m/>
    <m/>
    <m/>
    <m/>
    <x v="0"/>
    <x v="0"/>
    <x v="0"/>
    <x v="2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17"/>
  </r>
  <r>
    <n v="2718"/>
    <x v="65"/>
    <x v="65"/>
    <x v="58"/>
    <x v="3"/>
    <x v="4"/>
    <n v="2561"/>
    <x v="2"/>
    <m/>
    <m/>
    <s v="Supplier"/>
    <m/>
    <x v="363"/>
    <s v="FHA6E502_EN_-_SIF-Emperor 2013.xlsx"/>
    <s v=".xlsx"/>
    <d v="2014-04-24T00:00:00"/>
    <s v="as\afok"/>
    <m/>
    <s v="2013"/>
    <m/>
    <m/>
    <m/>
    <m/>
    <m/>
    <x v="0"/>
    <x v="0"/>
    <x v="0"/>
    <x v="0"/>
    <x v="2"/>
    <x v="61"/>
    <x v="67"/>
    <x v="65"/>
    <x v="60"/>
    <x v="0"/>
    <x v="24"/>
    <x v="40"/>
    <x v="35"/>
    <x v="0"/>
    <x v="0"/>
    <m/>
    <x v="0"/>
    <x v="0"/>
    <x v="0"/>
    <x v="0"/>
    <m/>
    <m/>
    <m/>
    <n v="1"/>
    <m/>
    <m/>
    <s v="FP"/>
    <m/>
    <s v="SP"/>
    <m/>
    <s v="FP SP "/>
    <x v="3"/>
    <x v="1"/>
    <m/>
    <x v="17"/>
  </r>
  <r>
    <n v="2730"/>
    <x v="65"/>
    <x v="65"/>
    <x v="58"/>
    <x v="3"/>
    <x v="4"/>
    <n v="2573"/>
    <x v="3"/>
    <m/>
    <m/>
    <s v="Supplier"/>
    <m/>
    <x v="279"/>
    <s v="Emperor_SPR_2009.xlsx"/>
    <s v=".xlsx"/>
    <d v="2014-04-25T00:00:00"/>
    <s v="as\afok"/>
    <m/>
    <s v="2009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17"/>
  </r>
  <r>
    <n v="2736"/>
    <x v="66"/>
    <x v="66"/>
    <x v="59"/>
    <x v="3"/>
    <x v="19"/>
    <n v="2579"/>
    <x v="4"/>
    <m/>
    <m/>
    <s v="Supplier"/>
    <m/>
    <x v="305"/>
    <s v="Entech_General agreement_ind.12_2013-01-21.pdf"/>
    <s v=".pdf"/>
    <d v="2014-04-25T00:00:00"/>
    <s v="as\afok"/>
    <m/>
    <s v="FHA 00 016 ind.12"/>
    <s v="37F9 - 90 days end of month the 10th due net posting date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n v="1"/>
    <m/>
    <m/>
    <n v="1"/>
    <m/>
    <m/>
    <s v="FP"/>
    <m/>
    <s v="SP"/>
    <s v="MOULD"/>
    <s v="FP SP MOULD "/>
    <x v="0"/>
    <x v="1"/>
    <m/>
    <x v="27"/>
  </r>
  <r>
    <n v="2739"/>
    <x v="66"/>
    <x v="66"/>
    <x v="59"/>
    <x v="3"/>
    <x v="19"/>
    <n v="2582"/>
    <x v="5"/>
    <m/>
    <m/>
    <s v="Supplier"/>
    <m/>
    <x v="305"/>
    <s v="Entech_General agreement_ind.12_2013-01-21.pdf"/>
    <s v=".pdf"/>
    <d v="2014-04-25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n v="1"/>
    <m/>
    <n v="1"/>
    <m/>
    <m/>
    <s v="FP"/>
    <m/>
    <s v="SP"/>
    <s v="MOULD"/>
    <s v="FP SP MOULD "/>
    <x v="0"/>
    <x v="1"/>
    <m/>
    <x v="27"/>
  </r>
  <r>
    <n v="2738"/>
    <x v="66"/>
    <x v="66"/>
    <x v="59"/>
    <x v="3"/>
    <x v="19"/>
    <n v="2581"/>
    <x v="6"/>
    <m/>
    <m/>
    <s v="Supplier"/>
    <m/>
    <x v="305"/>
    <s v="Entech_General agreement_ind.12_2013-01-21.pdf"/>
    <s v=".pdf"/>
    <d v="2014-04-25T00:00:00"/>
    <s v="as\afok"/>
    <m/>
    <m/>
    <m/>
    <n v="70"/>
    <n v="85"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n v="1"/>
    <n v="1"/>
    <m/>
    <m/>
    <s v="FP"/>
    <m/>
    <s v="SP"/>
    <s v="MOULD"/>
    <s v="FP SP MOULD "/>
    <x v="0"/>
    <x v="1"/>
    <m/>
    <x v="27"/>
  </r>
  <r>
    <n v="2740"/>
    <x v="66"/>
    <x v="66"/>
    <x v="59"/>
    <x v="3"/>
    <x v="19"/>
    <n v="2583"/>
    <x v="10"/>
    <m/>
    <m/>
    <s v="Supplier"/>
    <m/>
    <x v="364"/>
    <s v="Entech_General agreement_ind.12_2013-01-21.pdf"/>
    <s v=".pdf"/>
    <d v="2014-04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1"/>
    <m/>
    <m/>
    <s v="FP"/>
    <m/>
    <s v="SP"/>
    <s v="MOULD"/>
    <s v="FP SP MOULD "/>
    <x v="0"/>
    <x v="1"/>
    <m/>
    <x v="27"/>
  </r>
  <r>
    <n v="2737"/>
    <x v="66"/>
    <x v="66"/>
    <x v="59"/>
    <x v="3"/>
    <x v="19"/>
    <n v="2580"/>
    <x v="7"/>
    <m/>
    <m/>
    <s v="Supplier"/>
    <m/>
    <x v="117"/>
    <s v="Entech_General agreement_ind.12_2013-01-21.pdf"/>
    <s v=".pdf"/>
    <d v="2014-04-25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1"/>
    <m/>
    <m/>
    <s v="FP"/>
    <m/>
    <s v="SP"/>
    <s v="MOULD"/>
    <s v="FP SP MOULD "/>
    <x v="0"/>
    <x v="1"/>
    <m/>
    <x v="27"/>
  </r>
  <r>
    <n v="2743"/>
    <x v="66"/>
    <x v="66"/>
    <x v="59"/>
    <x v="3"/>
    <x v="19"/>
    <n v="2586"/>
    <x v="7"/>
    <m/>
    <m/>
    <s v="Supplier"/>
    <m/>
    <x v="365"/>
    <s v="ENTECH_Env_Declaration_25Mar2010.xlsx"/>
    <s v=".xlsx"/>
    <d v="2014-04-25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1"/>
    <m/>
    <m/>
    <s v="FP"/>
    <m/>
    <s v="SP"/>
    <s v="MOULD"/>
    <s v="FP SP MOULD "/>
    <x v="0"/>
    <x v="1"/>
    <m/>
    <x v="27"/>
  </r>
  <r>
    <n v="2742"/>
    <x v="66"/>
    <x v="66"/>
    <x v="59"/>
    <x v="3"/>
    <x v="19"/>
    <n v="2585"/>
    <x v="11"/>
    <m/>
    <m/>
    <s v="Supplier"/>
    <m/>
    <x v="366"/>
    <s v="ENTECH -  WORLDWIDE EXCLUSIVITY 21Sep10.XLS"/>
    <s v=".xls"/>
    <d v="2014-04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1"/>
    <m/>
    <m/>
    <s v="FP"/>
    <m/>
    <s v="SP"/>
    <s v="MOULD"/>
    <s v="FP SP MOULD "/>
    <x v="0"/>
    <x v="1"/>
    <m/>
    <x v="27"/>
  </r>
  <r>
    <n v="2741"/>
    <x v="66"/>
    <x v="66"/>
    <x v="59"/>
    <x v="3"/>
    <x v="19"/>
    <n v="2584"/>
    <x v="15"/>
    <m/>
    <m/>
    <s v="Product / Project"/>
    <m/>
    <x v="274"/>
    <s v="Entech_NDA (A154) 2012-01-09.pdf"/>
    <s v=".pdf"/>
    <d v="2014-04-25T00:00:00"/>
    <s v="as\afok"/>
    <m/>
    <m/>
    <m/>
    <m/>
    <m/>
    <m/>
    <s v="A154, Avanti 2s &amp; 4s toaster"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1"/>
    <m/>
    <m/>
    <s v="FP"/>
    <m/>
    <s v="SP"/>
    <s v="MOULD"/>
    <s v="FP SP MOULD "/>
    <x v="0"/>
    <x v="1"/>
    <m/>
    <x v="27"/>
  </r>
  <r>
    <n v="2744"/>
    <x v="66"/>
    <x v="66"/>
    <x v="59"/>
    <x v="3"/>
    <x v="19"/>
    <n v="2587"/>
    <x v="8"/>
    <m/>
    <m/>
    <s v="Supplier"/>
    <m/>
    <x v="367"/>
    <s v="Entech - Responsible Purchasing Charter.Jpg"/>
    <s v=".jpg"/>
    <d v="2014-04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1"/>
    <m/>
    <m/>
    <s v="FP"/>
    <m/>
    <s v="SP"/>
    <s v="MOULD"/>
    <s v="FP SP MOULD "/>
    <x v="0"/>
    <x v="1"/>
    <m/>
    <x v="27"/>
  </r>
  <r>
    <n v="2747"/>
    <x v="66"/>
    <x v="66"/>
    <x v="59"/>
    <x v="3"/>
    <x v="19"/>
    <n v="2590"/>
    <x v="1"/>
    <m/>
    <m/>
    <s v="Supplier"/>
    <m/>
    <x v="72"/>
    <s v="SEF_Entech_201206.xlsx"/>
    <s v=".xlsx"/>
    <d v="2014-04-25T00:00:00"/>
    <s v="as\afok"/>
    <m/>
    <s v="2012"/>
    <m/>
    <m/>
    <m/>
    <m/>
    <m/>
    <x v="0"/>
    <x v="0"/>
    <x v="0"/>
    <x v="11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1"/>
    <n v="1"/>
    <m/>
    <s v="FP"/>
    <m/>
    <s v="SP"/>
    <s v="MOULD"/>
    <s v="FP SP MOULD "/>
    <x v="0"/>
    <x v="1"/>
    <m/>
    <x v="27"/>
  </r>
  <r>
    <n v="2735"/>
    <x v="66"/>
    <x v="66"/>
    <x v="59"/>
    <x v="3"/>
    <x v="19"/>
    <n v="2578"/>
    <x v="2"/>
    <n v="1"/>
    <m/>
    <s v="Supplier"/>
    <m/>
    <x v="305"/>
    <s v="SIF 2013 - EnTech.xls"/>
    <s v=".xls"/>
    <d v="2014-04-25T00:00:00"/>
    <s v="as\afok"/>
    <m/>
    <s v="2013"/>
    <m/>
    <m/>
    <m/>
    <m/>
    <m/>
    <x v="0"/>
    <x v="0"/>
    <x v="0"/>
    <x v="0"/>
    <x v="2"/>
    <x v="62"/>
    <x v="68"/>
    <x v="66"/>
    <x v="48"/>
    <x v="57"/>
    <x v="0"/>
    <x v="0"/>
    <x v="0"/>
    <x v="0"/>
    <x v="0"/>
    <s v="FP panel"/>
    <x v="1"/>
    <x v="1"/>
    <x v="0"/>
    <x v="0"/>
    <m/>
    <m/>
    <m/>
    <n v="1"/>
    <m/>
    <m/>
    <s v="FP"/>
    <m/>
    <s v="SP"/>
    <s v="MOULD"/>
    <s v="FP SP MOULD "/>
    <x v="3"/>
    <x v="1"/>
    <m/>
    <x v="27"/>
  </r>
  <r>
    <n v="2746"/>
    <x v="66"/>
    <x v="66"/>
    <x v="59"/>
    <x v="3"/>
    <x v="19"/>
    <n v="2589"/>
    <x v="2"/>
    <m/>
    <m/>
    <s v="Supplier"/>
    <m/>
    <x v="368"/>
    <s v="ENTECH_SIF 2012_15Feb12.xlsx"/>
    <s v=".xlsx"/>
    <d v="2014-04-25T00:00:00"/>
    <s v="as\afok"/>
    <m/>
    <s v="2012"/>
    <m/>
    <m/>
    <m/>
    <m/>
    <m/>
    <x v="0"/>
    <x v="0"/>
    <x v="0"/>
    <x v="0"/>
    <x v="1"/>
    <x v="63"/>
    <x v="69"/>
    <x v="66"/>
    <x v="48"/>
    <x v="57"/>
    <x v="0"/>
    <x v="0"/>
    <x v="0"/>
    <x v="0"/>
    <x v="0"/>
    <s v="FP panel"/>
    <x v="1"/>
    <x v="1"/>
    <x v="0"/>
    <x v="0"/>
    <m/>
    <m/>
    <m/>
    <n v="1"/>
    <m/>
    <m/>
    <s v="FP"/>
    <m/>
    <s v="SP"/>
    <s v="MOULD"/>
    <s v="FP SP MOULD "/>
    <x v="3"/>
    <x v="1"/>
    <m/>
    <x v="27"/>
  </r>
  <r>
    <n v="2745"/>
    <x v="66"/>
    <x v="66"/>
    <x v="59"/>
    <x v="3"/>
    <x v="19"/>
    <n v="2588"/>
    <x v="3"/>
    <m/>
    <m/>
    <s v="Supplier"/>
    <m/>
    <x v="369"/>
    <s v="Entech_SPR_201011.PPT"/>
    <s v=".ppt"/>
    <d v="2014-04-25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1"/>
    <m/>
    <m/>
    <s v="FP"/>
    <m/>
    <s v="SP"/>
    <s v="MOULD"/>
    <s v="FP SP MOULD "/>
    <x v="0"/>
    <x v="1"/>
    <m/>
    <x v="27"/>
  </r>
  <r>
    <n v="2753"/>
    <x v="67"/>
    <x v="67"/>
    <x v="60"/>
    <x v="3"/>
    <x v="19"/>
    <n v="2596"/>
    <x v="4"/>
    <m/>
    <m/>
    <s v="Supplier"/>
    <m/>
    <x v="370"/>
    <s v="Eternal General Agreement - Addendum 1 29Jul10.pdf"/>
    <s v=".pdf"/>
    <d v="2014-04-25T00:00:00"/>
    <s v="as\afok"/>
    <m/>
    <m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0"/>
    <m/>
    <m/>
    <s v="FP"/>
    <m/>
    <s v="SP"/>
    <s v="MOULD"/>
    <s v="FP SP MOULD "/>
    <x v="0"/>
    <x v="1"/>
    <m/>
    <x v="24"/>
  </r>
  <r>
    <n v="2760"/>
    <x v="67"/>
    <x v="67"/>
    <x v="60"/>
    <x v="3"/>
    <x v="19"/>
    <n v="2603"/>
    <x v="4"/>
    <m/>
    <m/>
    <s v="Supplier"/>
    <m/>
    <x v="371"/>
    <s v="Eternal FHA00016 ind.09 20090430.pdf"/>
    <s v=".pdf"/>
    <d v="2014-04-25T00:00:00"/>
    <s v="as\afok"/>
    <m/>
    <s v="FHA 00 016 ind.09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0"/>
    <m/>
    <n v="1"/>
    <s v="FP"/>
    <m/>
    <s v="SP"/>
    <s v="MOULD"/>
    <s v="FP SP MOULD "/>
    <x v="0"/>
    <x v="1"/>
    <m/>
    <x v="24"/>
  </r>
  <r>
    <n v="2750"/>
    <x v="67"/>
    <x v="67"/>
    <x v="60"/>
    <x v="3"/>
    <x v="19"/>
    <n v="2593"/>
    <x v="4"/>
    <m/>
    <m/>
    <s v="Supplier"/>
    <m/>
    <x v="274"/>
    <s v="Eternal_General agreement_ind.11_2013-01-09 (except appendix 7,8).pdf"/>
    <s v=".pdf"/>
    <d v="2014-04-25T00:00:00"/>
    <s v="as\afok"/>
    <m/>
    <s v="FHA 00 016 ind.11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0"/>
    <m/>
    <m/>
    <s v="FP"/>
    <m/>
    <s v="SP"/>
    <s v="MOULD"/>
    <s v="FP SP MOULD "/>
    <x v="0"/>
    <x v="1"/>
    <m/>
    <x v="24"/>
  </r>
  <r>
    <n v="2752"/>
    <x v="67"/>
    <x v="67"/>
    <x v="60"/>
    <x v="3"/>
    <x v="19"/>
    <n v="2595"/>
    <x v="6"/>
    <m/>
    <m/>
    <s v="Supplier"/>
    <m/>
    <x v="274"/>
    <s v="Eternal_General agreement_ind.11_2013-01-09 (except appendix 7,8).pdf"/>
    <s v=".pdf"/>
    <d v="2014-04-25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0"/>
    <m/>
    <m/>
    <s v="FP"/>
    <m/>
    <s v="SP"/>
    <s v="MOULD"/>
    <s v="FP SP MOULD "/>
    <x v="0"/>
    <x v="1"/>
    <m/>
    <x v="24"/>
  </r>
  <r>
    <n v="2751"/>
    <x v="67"/>
    <x v="67"/>
    <x v="60"/>
    <x v="3"/>
    <x v="19"/>
    <n v="2594"/>
    <x v="7"/>
    <m/>
    <m/>
    <s v="Supplier"/>
    <m/>
    <x v="274"/>
    <s v="Eternal_General agreement_ind.11_2013-01-09 (except appendix 7,8).pdf"/>
    <s v=".pdf"/>
    <d v="2014-04-25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4"/>
  </r>
  <r>
    <n v="2758"/>
    <x v="67"/>
    <x v="67"/>
    <x v="60"/>
    <x v="3"/>
    <x v="19"/>
    <n v="2601"/>
    <x v="11"/>
    <m/>
    <m/>
    <s v="Supplier"/>
    <m/>
    <x v="372"/>
    <s v="ETERNAL_Exclusivity_FOOD STEAMER VN40_1262007.pdf"/>
    <s v=".pdf"/>
    <d v="2014-04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4"/>
  </r>
  <r>
    <n v="2754"/>
    <x v="67"/>
    <x v="67"/>
    <x v="60"/>
    <x v="3"/>
    <x v="19"/>
    <n v="2597"/>
    <x v="11"/>
    <m/>
    <m/>
    <s v="Supplier"/>
    <m/>
    <x v="373"/>
    <s v="ETERNAL -  WORLDWIDE EXCLUSIVITY 16Sep10.XLS"/>
    <s v=".xls"/>
    <d v="2014-04-25T00:00:00"/>
    <s v="as\afok"/>
    <s v="Exclusivity Summary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4"/>
  </r>
  <r>
    <n v="2755"/>
    <x v="67"/>
    <x v="67"/>
    <x v="60"/>
    <x v="3"/>
    <x v="19"/>
    <n v="2598"/>
    <x v="8"/>
    <m/>
    <m/>
    <s v="Supplier"/>
    <m/>
    <x v="189"/>
    <s v="Eternal - Responsible Purchasing Charter.pdf"/>
    <s v=".pdf"/>
    <d v="2014-04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4"/>
  </r>
  <r>
    <n v="2749"/>
    <x v="67"/>
    <x v="67"/>
    <x v="60"/>
    <x v="3"/>
    <x v="19"/>
    <n v="2592"/>
    <x v="1"/>
    <m/>
    <m/>
    <s v="Supplier"/>
    <m/>
    <x v="71"/>
    <s v="ETERNAL__SEF_Dec 2012.xlsx"/>
    <s v=".xlsx"/>
    <d v="2014-04-25T00:00:00"/>
    <s v="as\afok"/>
    <m/>
    <s v="2012"/>
    <m/>
    <m/>
    <m/>
    <m/>
    <m/>
    <x v="0"/>
    <x v="0"/>
    <x v="0"/>
    <x v="18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4"/>
  </r>
  <r>
    <n v="2757"/>
    <x v="67"/>
    <x v="67"/>
    <x v="60"/>
    <x v="3"/>
    <x v="19"/>
    <n v="2600"/>
    <x v="1"/>
    <m/>
    <m/>
    <s v="Supplier"/>
    <m/>
    <x v="72"/>
    <s v="SEF_Eternal_ 201206.xlsx"/>
    <s v=".xlsx"/>
    <d v="2014-04-25T00:00:00"/>
    <s v="as\afok"/>
    <m/>
    <s v="2012"/>
    <m/>
    <m/>
    <m/>
    <m/>
    <m/>
    <x v="0"/>
    <x v="0"/>
    <x v="0"/>
    <x v="12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4"/>
  </r>
  <r>
    <n v="2748"/>
    <x v="67"/>
    <x v="67"/>
    <x v="60"/>
    <x v="3"/>
    <x v="19"/>
    <n v="2591"/>
    <x v="2"/>
    <m/>
    <m/>
    <s v="Supplier"/>
    <m/>
    <x v="321"/>
    <s v="Eternal-SIF 2013.xls"/>
    <s v=".xls"/>
    <d v="2014-04-25T00:00:00"/>
    <s v="as\afok"/>
    <m/>
    <s v="2013"/>
    <m/>
    <m/>
    <m/>
    <m/>
    <m/>
    <x v="0"/>
    <x v="0"/>
    <x v="0"/>
    <x v="0"/>
    <x v="2"/>
    <x v="64"/>
    <x v="70"/>
    <x v="67"/>
    <x v="61"/>
    <x v="58"/>
    <x v="25"/>
    <x v="33"/>
    <x v="11"/>
    <x v="29"/>
    <x v="7"/>
    <m/>
    <x v="0"/>
    <x v="0"/>
    <x v="0"/>
    <x v="0"/>
    <m/>
    <m/>
    <m/>
    <n v="0"/>
    <m/>
    <m/>
    <s v="FP"/>
    <m/>
    <s v="SP"/>
    <s v="MOULD"/>
    <s v="FP SP MOULD "/>
    <x v="3"/>
    <x v="1"/>
    <m/>
    <x v="24"/>
  </r>
  <r>
    <n v="2756"/>
    <x v="67"/>
    <x v="67"/>
    <x v="60"/>
    <x v="3"/>
    <x v="19"/>
    <n v="2599"/>
    <x v="2"/>
    <n v="1"/>
    <m/>
    <s v="Supplier"/>
    <m/>
    <x v="374"/>
    <s v="ETERNAL_SIF 2012_6Mar12.xlsx"/>
    <s v=".xlsx"/>
    <d v="2014-04-25T00:00:00"/>
    <s v="as\afok"/>
    <m/>
    <s v="2012"/>
    <m/>
    <m/>
    <m/>
    <m/>
    <m/>
    <x v="0"/>
    <x v="0"/>
    <x v="0"/>
    <x v="0"/>
    <x v="1"/>
    <x v="30"/>
    <x v="70"/>
    <x v="67"/>
    <x v="61"/>
    <x v="58"/>
    <x v="11"/>
    <x v="33"/>
    <x v="11"/>
    <x v="29"/>
    <x v="7"/>
    <m/>
    <x v="0"/>
    <x v="0"/>
    <x v="0"/>
    <x v="0"/>
    <m/>
    <m/>
    <m/>
    <n v="0"/>
    <m/>
    <m/>
    <s v="FP"/>
    <m/>
    <s v="SP"/>
    <s v="MOULD"/>
    <s v="FP SP MOULD "/>
    <x v="3"/>
    <x v="1"/>
    <m/>
    <x v="24"/>
  </r>
  <r>
    <n v="2759"/>
    <x v="67"/>
    <x v="67"/>
    <x v="60"/>
    <x v="3"/>
    <x v="19"/>
    <n v="2602"/>
    <x v="3"/>
    <m/>
    <m/>
    <s v="Supplier"/>
    <m/>
    <x v="375"/>
    <s v="Eternal_SPR_2009.xlsx"/>
    <s v=".xlsx"/>
    <d v="2014-04-25T00:00:00"/>
    <s v="as\afok"/>
    <m/>
    <s v="2009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4"/>
  </r>
  <r>
    <n v="1"/>
    <x v="68"/>
    <x v="68"/>
    <x v="61"/>
    <x v="5"/>
    <x v="16"/>
    <n v="1"/>
    <x v="4"/>
    <m/>
    <m/>
    <s v="Supplier"/>
    <d v="2014-12-31T00:00:00"/>
    <x v="376"/>
    <s v="EUP FHA00016 ind.07 20071001.pdf"/>
    <s v=".pdf"/>
    <d v="2014-03-03T00:00:00"/>
    <s v="as\afok"/>
    <m/>
    <s v="FHA00016 ind.07 "/>
    <s v="37E3 - 30 days end of month due net on posting date 37E3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n v="1"/>
    <m/>
    <m/>
    <n v="0"/>
    <m/>
    <m/>
    <s v="FP"/>
    <s v="CP"/>
    <s v="SP"/>
    <s v="MOULD"/>
    <s v="FP CP SP MOULD Both"/>
    <x v="0"/>
    <x v="1"/>
    <n v="1"/>
    <x v="28"/>
  </r>
  <r>
    <n v="2882"/>
    <x v="68"/>
    <x v="68"/>
    <x v="61"/>
    <x v="5"/>
    <x v="16"/>
    <n v="2621"/>
    <x v="7"/>
    <m/>
    <m/>
    <s v="Supplier"/>
    <m/>
    <x v="377"/>
    <s v="Env_Declaration_EUP  201106.xlsx"/>
    <s v=".xlsx"/>
    <d v="2014-04-29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28"/>
  </r>
  <r>
    <n v="2879"/>
    <x v="68"/>
    <x v="68"/>
    <x v="61"/>
    <x v="5"/>
    <x v="16"/>
    <n v="2618"/>
    <x v="8"/>
    <m/>
    <m/>
    <s v="Supplier"/>
    <m/>
    <x v="247"/>
    <s v="EUP_Responsible Purchasing Charter_13Aug2012.pdf"/>
    <s v=".pdf"/>
    <d v="2014-04-2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28"/>
  </r>
  <r>
    <n v="2880"/>
    <x v="68"/>
    <x v="68"/>
    <x v="61"/>
    <x v="5"/>
    <x v="16"/>
    <n v="2619"/>
    <x v="1"/>
    <m/>
    <m/>
    <s v="Supplier"/>
    <m/>
    <x v="145"/>
    <s v="EUP_SEF_ 2012May.xlsx"/>
    <s v=".xlsx"/>
    <d v="2014-04-29T00:00:00"/>
    <s v="as\afok"/>
    <m/>
    <s v="2012"/>
    <m/>
    <m/>
    <m/>
    <m/>
    <m/>
    <x v="0"/>
    <x v="0"/>
    <x v="0"/>
    <x v="9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28"/>
  </r>
  <r>
    <n v="2876"/>
    <x v="68"/>
    <x v="68"/>
    <x v="61"/>
    <x v="5"/>
    <x v="16"/>
    <n v="2615"/>
    <x v="1"/>
    <m/>
    <m/>
    <s v="Supplier"/>
    <m/>
    <x v="378"/>
    <s v="SEF EUP2011 Nov.xlsx"/>
    <s v=".xlsx"/>
    <d v="2014-04-29T00:00:00"/>
    <s v="as\afok"/>
    <m/>
    <s v="2011"/>
    <m/>
    <m/>
    <m/>
    <m/>
    <m/>
    <x v="0"/>
    <x v="0"/>
    <x v="0"/>
    <x v="26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28"/>
  </r>
  <r>
    <n v="2883"/>
    <x v="68"/>
    <x v="68"/>
    <x v="61"/>
    <x v="5"/>
    <x v="16"/>
    <n v="2622"/>
    <x v="2"/>
    <m/>
    <m/>
    <s v="Supplier"/>
    <m/>
    <x v="379"/>
    <s v="EUP_SIF_20130609.xlsx"/>
    <s v=".xlsx"/>
    <d v="2014-04-29T00:00:00"/>
    <s v="as\afok"/>
    <m/>
    <s v="2013"/>
    <m/>
    <m/>
    <m/>
    <m/>
    <m/>
    <x v="0"/>
    <x v="0"/>
    <x v="0"/>
    <x v="0"/>
    <x v="2"/>
    <x v="65"/>
    <x v="71"/>
    <x v="19"/>
    <x v="41"/>
    <x v="39"/>
    <x v="0"/>
    <x v="41"/>
    <x v="36"/>
    <x v="30"/>
    <x v="28"/>
    <s v="FP panel Top 15"/>
    <x v="1"/>
    <x v="2"/>
    <x v="0"/>
    <x v="0"/>
    <m/>
    <m/>
    <m/>
    <n v="0"/>
    <m/>
    <n v="1"/>
    <s v="FP"/>
    <s v="CP"/>
    <s v="SP"/>
    <s v="MOULD"/>
    <s v="FP CP SP MOULD Both"/>
    <x v="1"/>
    <x v="1"/>
    <n v="1"/>
    <x v="28"/>
  </r>
  <r>
    <n v="2878"/>
    <x v="68"/>
    <x v="68"/>
    <x v="61"/>
    <x v="5"/>
    <x v="16"/>
    <n v="2617"/>
    <x v="2"/>
    <m/>
    <m/>
    <s v="Supplier"/>
    <m/>
    <x v="47"/>
    <s v="SPR 2012Jul EUP.pptx"/>
    <s v=".pptx"/>
    <d v="2014-04-29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1"/>
    <x v="1"/>
    <n v="1"/>
    <x v="28"/>
  </r>
  <r>
    <n v="2877"/>
    <x v="68"/>
    <x v="68"/>
    <x v="61"/>
    <x v="5"/>
    <x v="16"/>
    <n v="2616"/>
    <x v="2"/>
    <n v="1"/>
    <m/>
    <s v="Supplier"/>
    <m/>
    <x v="165"/>
    <s v="EUP_SIF_29Feb2012.xlsx"/>
    <s v=".xlsx"/>
    <d v="2014-04-29T00:00:00"/>
    <s v="as\afok"/>
    <m/>
    <s v="2012"/>
    <m/>
    <m/>
    <m/>
    <m/>
    <m/>
    <x v="0"/>
    <x v="0"/>
    <x v="0"/>
    <x v="0"/>
    <x v="1"/>
    <x v="0"/>
    <x v="72"/>
    <x v="19"/>
    <x v="41"/>
    <x v="39"/>
    <x v="0"/>
    <x v="0"/>
    <x v="36"/>
    <x v="30"/>
    <x v="28"/>
    <s v="FP panel Top 15"/>
    <x v="1"/>
    <x v="2"/>
    <x v="0"/>
    <x v="0"/>
    <m/>
    <m/>
    <m/>
    <n v="0"/>
    <m/>
    <m/>
    <s v="FP"/>
    <s v="CP"/>
    <s v="SP"/>
    <s v="MOULD"/>
    <s v="FP CP SP MOULD Both"/>
    <x v="1"/>
    <x v="1"/>
    <n v="1"/>
    <x v="28"/>
  </r>
  <r>
    <n v="2881"/>
    <x v="68"/>
    <x v="68"/>
    <x v="61"/>
    <x v="5"/>
    <x v="16"/>
    <n v="2620"/>
    <x v="3"/>
    <m/>
    <m/>
    <s v="Supplier"/>
    <m/>
    <x v="9"/>
    <s v="SPR 2013 EUP.pptx"/>
    <s v=".pptx"/>
    <d v="2014-04-29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28"/>
  </r>
  <r>
    <n v="1834"/>
    <x v="69"/>
    <x v="69"/>
    <x v="62"/>
    <x v="4"/>
    <x v="17"/>
    <n v="1791"/>
    <x v="4"/>
    <m/>
    <m/>
    <s v="Supplier"/>
    <m/>
    <x v="216"/>
    <s v="Everking_agreement_APR2012.pdf"/>
    <s v=".pdf"/>
    <d v="2014-04-09T00:00:00"/>
    <s v="as\afok"/>
    <m/>
    <s v="V7"/>
    <s v="37E3 - 30 days end of month due net on posting date 37E3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n v="1"/>
    <m/>
    <m/>
    <n v="1"/>
    <m/>
    <m/>
    <m/>
    <s v="CP"/>
    <m/>
    <m/>
    <s v="CP "/>
    <x v="0"/>
    <x v="1"/>
    <m/>
    <x v="18"/>
  </r>
  <r>
    <n v="1836"/>
    <x v="69"/>
    <x v="69"/>
    <x v="62"/>
    <x v="4"/>
    <x v="17"/>
    <n v="1793"/>
    <x v="5"/>
    <m/>
    <m/>
    <s v="Supplier"/>
    <m/>
    <x v="320"/>
    <s v="Everking_agreement_APR2012.pdf"/>
    <s v=".pdf"/>
    <d v="2014-04-09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n v="1"/>
    <m/>
    <n v="1"/>
    <m/>
    <m/>
    <m/>
    <s v="CP"/>
    <m/>
    <m/>
    <s v="CP "/>
    <x v="0"/>
    <x v="1"/>
    <m/>
    <x v="18"/>
  </r>
  <r>
    <n v="1828"/>
    <x v="69"/>
    <x v="69"/>
    <x v="62"/>
    <x v="4"/>
    <x v="17"/>
    <n v="1785"/>
    <x v="6"/>
    <m/>
    <m/>
    <s v="Supplier"/>
    <m/>
    <x v="380"/>
    <s v="Supply_chain_appendixV.10_Everking_4Jul13.pdf"/>
    <s v=".pdf"/>
    <d v="2014-04-09T00:00:00"/>
    <s v="as\afok"/>
    <m/>
    <s v="V10"/>
    <m/>
    <n v="6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n v="1"/>
    <n v="1"/>
    <m/>
    <m/>
    <m/>
    <s v="CP"/>
    <m/>
    <m/>
    <s v="CP "/>
    <x v="0"/>
    <x v="1"/>
    <m/>
    <x v="18"/>
  </r>
  <r>
    <n v="1837"/>
    <x v="69"/>
    <x v="69"/>
    <x v="62"/>
    <x v="4"/>
    <x v="17"/>
    <n v="1794"/>
    <x v="6"/>
    <m/>
    <m/>
    <s v="Supplier"/>
    <m/>
    <x v="216"/>
    <s v="Everking_agreement_APR2012.pdf"/>
    <s v=".pdf"/>
    <d v="2014-04-09T00:00:00"/>
    <s v="as\afok"/>
    <m/>
    <m/>
    <m/>
    <n v="90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n v="1"/>
    <n v="1"/>
    <m/>
    <m/>
    <m/>
    <s v="CP"/>
    <m/>
    <m/>
    <s v="CP "/>
    <x v="0"/>
    <x v="1"/>
    <m/>
    <x v="18"/>
  </r>
  <r>
    <n v="1838"/>
    <x v="69"/>
    <x v="69"/>
    <x v="62"/>
    <x v="4"/>
    <x v="17"/>
    <n v="1795"/>
    <x v="10"/>
    <m/>
    <m/>
    <s v="Supplier"/>
    <m/>
    <x v="216"/>
    <s v="Everking_agreement_APR2012.pdf"/>
    <s v=".pdf"/>
    <d v="2014-04-0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18"/>
  </r>
  <r>
    <n v="1835"/>
    <x v="69"/>
    <x v="69"/>
    <x v="62"/>
    <x v="4"/>
    <x v="17"/>
    <n v="1792"/>
    <x v="7"/>
    <m/>
    <m/>
    <s v="Supplier"/>
    <m/>
    <x v="216"/>
    <s v="Everking_agreement_APR2012.pdf"/>
    <s v=".pdf"/>
    <d v="2014-04-09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18"/>
  </r>
  <r>
    <n v="1833"/>
    <x v="69"/>
    <x v="69"/>
    <x v="62"/>
    <x v="4"/>
    <x v="17"/>
    <n v="1790"/>
    <x v="7"/>
    <m/>
    <m/>
    <s v="Supplier"/>
    <m/>
    <x v="381"/>
    <s v="Ever_King_Env_Declaration_02Apr2010.tif"/>
    <s v=".tif"/>
    <d v="2014-04-09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18"/>
  </r>
  <r>
    <n v="1832"/>
    <x v="69"/>
    <x v="69"/>
    <x v="62"/>
    <x v="4"/>
    <x v="17"/>
    <n v="1789"/>
    <x v="8"/>
    <m/>
    <m/>
    <s v="Supplier"/>
    <m/>
    <x v="93"/>
    <s v="EverKing_Responsible_Purchasing_Charter_02Aug12.pdf"/>
    <s v=".pdf"/>
    <d v="2014-04-0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18"/>
  </r>
  <r>
    <n v="1831"/>
    <x v="69"/>
    <x v="69"/>
    <x v="62"/>
    <x v="4"/>
    <x v="17"/>
    <n v="1788"/>
    <x v="1"/>
    <m/>
    <m/>
    <s v="Supplier"/>
    <m/>
    <x v="288"/>
    <s v="SEF-Ever King-20120828-76.xlsx"/>
    <s v=".xlsx"/>
    <d v="2014-04-09T00:00:00"/>
    <s v="as\afok"/>
    <m/>
    <s v="2012"/>
    <m/>
    <m/>
    <m/>
    <m/>
    <m/>
    <x v="0"/>
    <x v="0"/>
    <x v="0"/>
    <x v="5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18"/>
  </r>
  <r>
    <n v="1830"/>
    <x v="69"/>
    <x v="69"/>
    <x v="62"/>
    <x v="4"/>
    <x v="17"/>
    <n v="1787"/>
    <x v="1"/>
    <m/>
    <m/>
    <s v="Supplier"/>
    <m/>
    <x v="382"/>
    <s v="SEF-Ever King-20120319-75.xlsx"/>
    <s v=".xlsx"/>
    <d v="2014-04-09T00:00:00"/>
    <s v="as\afok"/>
    <m/>
    <s v="2012"/>
    <m/>
    <m/>
    <m/>
    <m/>
    <m/>
    <x v="0"/>
    <x v="0"/>
    <x v="0"/>
    <x v="1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18"/>
  </r>
  <r>
    <n v="1829"/>
    <x v="69"/>
    <x v="69"/>
    <x v="62"/>
    <x v="4"/>
    <x v="17"/>
    <n v="1786"/>
    <x v="2"/>
    <m/>
    <m/>
    <s v="Supplier"/>
    <m/>
    <x v="383"/>
    <s v="Ever King_SIF2013.xlsx"/>
    <s v=".xlsx"/>
    <d v="2014-04-09T00:00:00"/>
    <s v="as\afok"/>
    <m/>
    <s v="2013"/>
    <m/>
    <m/>
    <m/>
    <m/>
    <m/>
    <x v="0"/>
    <x v="0"/>
    <x v="0"/>
    <x v="0"/>
    <x v="2"/>
    <x v="0"/>
    <x v="73"/>
    <x v="68"/>
    <x v="0"/>
    <x v="0"/>
    <x v="26"/>
    <x v="42"/>
    <x v="0"/>
    <x v="0"/>
    <x v="0"/>
    <s v="CP Panel"/>
    <x v="0"/>
    <x v="0"/>
    <x v="1"/>
    <x v="1"/>
    <m/>
    <m/>
    <m/>
    <n v="1"/>
    <m/>
    <m/>
    <m/>
    <s v="CP"/>
    <m/>
    <m/>
    <s v="CP "/>
    <x v="2"/>
    <x v="1"/>
    <m/>
    <x v="18"/>
  </r>
  <r>
    <n v="1839"/>
    <x v="69"/>
    <x v="69"/>
    <x v="62"/>
    <x v="4"/>
    <x v="17"/>
    <n v="1796"/>
    <x v="2"/>
    <m/>
    <m/>
    <s v="Supplier"/>
    <m/>
    <x v="307"/>
    <s v="Ever_King_SIF2012_14May12.xlsx"/>
    <s v=".xlsx"/>
    <d v="2014-04-09T00:00:00"/>
    <s v="as\afok"/>
    <m/>
    <s v="2012"/>
    <m/>
    <m/>
    <m/>
    <m/>
    <m/>
    <x v="0"/>
    <x v="0"/>
    <x v="0"/>
    <x v="0"/>
    <x v="1"/>
    <x v="0"/>
    <x v="74"/>
    <x v="69"/>
    <x v="0"/>
    <x v="0"/>
    <x v="26"/>
    <x v="35"/>
    <x v="0"/>
    <x v="0"/>
    <x v="0"/>
    <s v="CP Panel"/>
    <x v="0"/>
    <x v="0"/>
    <x v="1"/>
    <x v="1"/>
    <m/>
    <m/>
    <m/>
    <n v="1"/>
    <n v="1"/>
    <m/>
    <m/>
    <s v="CP"/>
    <m/>
    <m/>
    <s v="CP "/>
    <x v="2"/>
    <x v="1"/>
    <m/>
    <x v="18"/>
  </r>
  <r>
    <n v="2184"/>
    <x v="70"/>
    <x v="70"/>
    <x v="63"/>
    <x v="4"/>
    <x v="8"/>
    <n v="2127"/>
    <x v="4"/>
    <m/>
    <m/>
    <s v="Supplier"/>
    <m/>
    <x v="384"/>
    <s v="Evershine_SupplyAgreement_V8_22Nov2013.pdf"/>
    <s v=".pdf"/>
    <d v="2014-04-14T00:00:00"/>
    <s v="as\afok"/>
    <m/>
    <s v="V8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m/>
    <s v="CP"/>
    <m/>
    <m/>
    <s v="CP "/>
    <x v="0"/>
    <x v="1"/>
    <m/>
    <x v="8"/>
  </r>
  <r>
    <n v="2187"/>
    <x v="70"/>
    <x v="70"/>
    <x v="63"/>
    <x v="4"/>
    <x v="8"/>
    <n v="2130"/>
    <x v="5"/>
    <m/>
    <m/>
    <s v="Supplier"/>
    <m/>
    <x v="385"/>
    <s v="Evershine_Appendix_4_QualityPolicy_22Nov2013.pdf"/>
    <s v=".pdf"/>
    <d v="2014-04-14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m/>
    <s v="CP"/>
    <m/>
    <m/>
    <s v="CP "/>
    <x v="0"/>
    <x v="1"/>
    <m/>
    <x v="8"/>
  </r>
  <r>
    <n v="2189"/>
    <x v="70"/>
    <x v="70"/>
    <x v="63"/>
    <x v="4"/>
    <x v="8"/>
    <n v="2132"/>
    <x v="6"/>
    <m/>
    <m/>
    <s v="Supplier"/>
    <m/>
    <x v="118"/>
    <s v="supply_chain_appendixV.10_Evershine_13Aug13.pdf"/>
    <s v=".pdf"/>
    <d v="2014-04-14T00:00:00"/>
    <s v="as\afok"/>
    <m/>
    <s v="V10"/>
    <m/>
    <n v="28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m/>
    <s v="CP"/>
    <m/>
    <m/>
    <s v="CP "/>
    <x v="0"/>
    <x v="1"/>
    <m/>
    <x v="8"/>
  </r>
  <r>
    <n v="2188"/>
    <x v="70"/>
    <x v="70"/>
    <x v="63"/>
    <x v="4"/>
    <x v="8"/>
    <n v="2131"/>
    <x v="10"/>
    <m/>
    <m/>
    <s v="Supplier"/>
    <m/>
    <x v="386"/>
    <s v="Evershine_Appendix_6_22Nov2013.pdf"/>
    <s v=".pdf"/>
    <d v="2014-04-1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8"/>
  </r>
  <r>
    <n v="2186"/>
    <x v="70"/>
    <x v="70"/>
    <x v="63"/>
    <x v="4"/>
    <x v="8"/>
    <n v="2129"/>
    <x v="7"/>
    <m/>
    <m/>
    <s v="Supplier"/>
    <m/>
    <x v="384"/>
    <s v="Evershine_Appendix_3_EnvironnementalDeclaration_22Nov2013.pdf"/>
    <s v=".pdf"/>
    <d v="2014-04-14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8"/>
  </r>
  <r>
    <n v="2185"/>
    <x v="70"/>
    <x v="70"/>
    <x v="63"/>
    <x v="4"/>
    <x v="8"/>
    <n v="2128"/>
    <x v="8"/>
    <m/>
    <m/>
    <s v="Supplier"/>
    <m/>
    <x v="384"/>
    <s v="Evershine_ResponsiblePurchasingCharter_22Nov2013.pdf"/>
    <s v=".pdf"/>
    <d v="2014-04-1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8"/>
  </r>
  <r>
    <n v="2191"/>
    <x v="70"/>
    <x v="70"/>
    <x v="63"/>
    <x v="4"/>
    <x v="8"/>
    <n v="2134"/>
    <x v="1"/>
    <m/>
    <m/>
    <s v="Supplier"/>
    <m/>
    <x v="159"/>
    <s v="EVERSHINE_Supplier_Evaluation_May_2012.xlsx"/>
    <s v=".xlsx"/>
    <d v="2014-04-14T00:00:00"/>
    <s v="as\afok"/>
    <m/>
    <s v="2012"/>
    <m/>
    <m/>
    <m/>
    <m/>
    <m/>
    <x v="0"/>
    <x v="0"/>
    <x v="0"/>
    <x v="15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8"/>
  </r>
  <r>
    <n v="2192"/>
    <x v="70"/>
    <x v="70"/>
    <x v="63"/>
    <x v="4"/>
    <x v="8"/>
    <n v="2135"/>
    <x v="2"/>
    <n v="1"/>
    <m/>
    <s v="Supplier"/>
    <m/>
    <x v="220"/>
    <s v="Evershine_SIF2012_17Apr12.xls"/>
    <s v=".xls"/>
    <d v="2014-04-14T00:00:00"/>
    <s v="as\afok"/>
    <m/>
    <s v="2012"/>
    <m/>
    <m/>
    <m/>
    <m/>
    <m/>
    <x v="0"/>
    <x v="0"/>
    <x v="0"/>
    <x v="0"/>
    <x v="1"/>
    <x v="66"/>
    <x v="75"/>
    <x v="70"/>
    <x v="62"/>
    <x v="59"/>
    <x v="0"/>
    <x v="10"/>
    <x v="0"/>
    <x v="0"/>
    <x v="0"/>
    <m/>
    <x v="0"/>
    <x v="0"/>
    <x v="0"/>
    <x v="0"/>
    <m/>
    <m/>
    <m/>
    <n v="1"/>
    <n v="1"/>
    <m/>
    <m/>
    <s v="CP"/>
    <m/>
    <m/>
    <s v="CP "/>
    <x v="2"/>
    <x v="1"/>
    <m/>
    <x v="8"/>
  </r>
  <r>
    <n v="2190"/>
    <x v="70"/>
    <x v="70"/>
    <x v="63"/>
    <x v="4"/>
    <x v="8"/>
    <n v="2133"/>
    <x v="2"/>
    <m/>
    <m/>
    <s v="Supplier"/>
    <m/>
    <x v="387"/>
    <s v="Evershine_SIF2013.xls"/>
    <s v=".xls"/>
    <d v="2014-04-14T00:00:00"/>
    <s v="as\afok"/>
    <m/>
    <s v="2013"/>
    <m/>
    <m/>
    <m/>
    <m/>
    <m/>
    <x v="0"/>
    <x v="0"/>
    <x v="0"/>
    <x v="0"/>
    <x v="2"/>
    <x v="67"/>
    <x v="76"/>
    <x v="71"/>
    <x v="63"/>
    <x v="60"/>
    <x v="6"/>
    <x v="0"/>
    <x v="0"/>
    <x v="0"/>
    <x v="0"/>
    <m/>
    <x v="0"/>
    <x v="0"/>
    <x v="0"/>
    <x v="0"/>
    <m/>
    <m/>
    <m/>
    <n v="1"/>
    <m/>
    <m/>
    <m/>
    <s v="CP"/>
    <m/>
    <m/>
    <s v="CP "/>
    <x v="2"/>
    <x v="1"/>
    <m/>
    <x v="8"/>
  </r>
  <r>
    <n v="2018"/>
    <x v="71"/>
    <x v="71"/>
    <x v="64"/>
    <x v="4"/>
    <x v="14"/>
    <n v="1961"/>
    <x v="4"/>
    <m/>
    <m/>
    <s v="Supplier"/>
    <m/>
    <x v="196"/>
    <s v="Excelight_AgreementV.8_16Aug13.pdf"/>
    <s v=".pdf"/>
    <d v="2014-04-11T00:00:00"/>
    <s v="as\afok"/>
    <m/>
    <s v="V8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n v="1"/>
    <m/>
    <m/>
    <s v="CP"/>
    <m/>
    <m/>
    <s v="CP "/>
    <x v="0"/>
    <x v="1"/>
    <m/>
    <x v="29"/>
  </r>
  <r>
    <n v="2008"/>
    <x v="71"/>
    <x v="71"/>
    <x v="64"/>
    <x v="4"/>
    <x v="14"/>
    <n v="1951"/>
    <x v="4"/>
    <m/>
    <m/>
    <s v="Supplier"/>
    <m/>
    <x v="153"/>
    <s v="Excelight_Agreement_Revised_Sep2012.pdf"/>
    <s v=".pdf"/>
    <d v="2014-04-10T00:00:00"/>
    <s v="as\afok"/>
    <m/>
    <m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m/>
    <m/>
    <m/>
    <s v="CP"/>
    <m/>
    <m/>
    <s v="CP "/>
    <x v="0"/>
    <x v="1"/>
    <m/>
    <x v="29"/>
  </r>
  <r>
    <n v="2002"/>
    <x v="71"/>
    <x v="71"/>
    <x v="64"/>
    <x v="4"/>
    <x v="14"/>
    <n v="1945"/>
    <x v="4"/>
    <m/>
    <m/>
    <s v="Supplier"/>
    <m/>
    <x v="205"/>
    <s v="Excelight_Agreement_MAY2012.pdf"/>
    <s v=".pdf"/>
    <d v="2014-04-10T00:00:00"/>
    <s v="as\afok"/>
    <m/>
    <s v="V7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m/>
    <m/>
    <m/>
    <s v="CP"/>
    <m/>
    <m/>
    <s v="CP "/>
    <x v="0"/>
    <x v="1"/>
    <m/>
    <x v="29"/>
  </r>
  <r>
    <n v="2016"/>
    <x v="71"/>
    <x v="71"/>
    <x v="64"/>
    <x v="4"/>
    <x v="14"/>
    <n v="1959"/>
    <x v="4"/>
    <m/>
    <m/>
    <s v="Supplier"/>
    <m/>
    <x v="388"/>
    <s v="Excelight_SupplyAgreementV8_2013.pdf"/>
    <s v=".pdf"/>
    <d v="2014-04-11T00:00:00"/>
    <s v="as\afok"/>
    <m/>
    <s v="V8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m/>
    <m/>
    <m/>
    <s v="CP"/>
    <m/>
    <m/>
    <s v="CP "/>
    <x v="0"/>
    <x v="1"/>
    <m/>
    <x v="29"/>
  </r>
  <r>
    <n v="2004"/>
    <x v="71"/>
    <x v="71"/>
    <x v="64"/>
    <x v="4"/>
    <x v="14"/>
    <n v="1947"/>
    <x v="5"/>
    <m/>
    <m/>
    <s v="Supplier"/>
    <m/>
    <x v="206"/>
    <s v="Excelight_Agreement_MAY2012.pdf"/>
    <s v=".pdf"/>
    <d v="2014-04-10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n v="1"/>
    <m/>
    <n v="1"/>
    <m/>
    <m/>
    <m/>
    <s v="CP"/>
    <m/>
    <m/>
    <s v="CP "/>
    <x v="0"/>
    <x v="1"/>
    <m/>
    <x v="29"/>
  </r>
  <r>
    <n v="2014"/>
    <x v="71"/>
    <x v="71"/>
    <x v="64"/>
    <x v="4"/>
    <x v="14"/>
    <n v="1957"/>
    <x v="6"/>
    <m/>
    <m/>
    <s v="Supplier"/>
    <m/>
    <x v="302"/>
    <s v="Excelight_Supply Chain Appendix V10_10Jul2013.pdf"/>
    <s v=".pdf"/>
    <d v="2014-04-10T00:00:00"/>
    <s v="as\afok"/>
    <m/>
    <s v="V10"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n v="1"/>
    <n v="1"/>
    <m/>
    <m/>
    <m/>
    <s v="CP"/>
    <m/>
    <m/>
    <s v="CP "/>
    <x v="0"/>
    <x v="1"/>
    <m/>
    <x v="29"/>
  </r>
  <r>
    <n v="2005"/>
    <x v="71"/>
    <x v="71"/>
    <x v="64"/>
    <x v="4"/>
    <x v="14"/>
    <n v="1948"/>
    <x v="6"/>
    <m/>
    <m/>
    <s v="Supplier"/>
    <m/>
    <x v="202"/>
    <s v="Excelight_Agreement_MAY2012.pdf"/>
    <s v=".pdf"/>
    <d v="2014-04-10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n v="1"/>
    <n v="1"/>
    <m/>
    <m/>
    <m/>
    <s v="CP"/>
    <m/>
    <m/>
    <s v="CP "/>
    <x v="0"/>
    <x v="1"/>
    <m/>
    <x v="29"/>
  </r>
  <r>
    <n v="2015"/>
    <x v="71"/>
    <x v="71"/>
    <x v="64"/>
    <x v="4"/>
    <x v="14"/>
    <n v="1958"/>
    <x v="6"/>
    <m/>
    <m/>
    <s v="Supplier"/>
    <m/>
    <x v="170"/>
    <s v="Excelight_SupplyChainAppendix_V10_24Oct2013.pdf"/>
    <s v=".pdf"/>
    <d v="2014-04-11T00:00:00"/>
    <s v="as\afok"/>
    <m/>
    <s v="V10"/>
    <m/>
    <n v="28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n v="1"/>
    <n v="1"/>
    <m/>
    <m/>
    <m/>
    <s v="CP"/>
    <m/>
    <m/>
    <s v="CP "/>
    <x v="0"/>
    <x v="1"/>
    <m/>
    <x v="29"/>
  </r>
  <r>
    <n v="2006"/>
    <x v="71"/>
    <x v="71"/>
    <x v="64"/>
    <x v="4"/>
    <x v="14"/>
    <n v="1949"/>
    <x v="10"/>
    <m/>
    <m/>
    <s v="Supplier"/>
    <m/>
    <x v="389"/>
    <s v="Excelight_Agreement_MAY2012.pdf"/>
    <s v=".pdf"/>
    <d v="2014-04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29"/>
  </r>
  <r>
    <n v="2003"/>
    <x v="71"/>
    <x v="71"/>
    <x v="64"/>
    <x v="4"/>
    <x v="14"/>
    <n v="1946"/>
    <x v="7"/>
    <m/>
    <m/>
    <s v="Supplier"/>
    <m/>
    <x v="205"/>
    <s v="Excelight_Agreement_MAY2012.pdf"/>
    <s v=".pdf"/>
    <d v="2014-04-10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29"/>
  </r>
  <r>
    <n v="2010"/>
    <x v="71"/>
    <x v="71"/>
    <x v="64"/>
    <x v="4"/>
    <x v="14"/>
    <n v="1953"/>
    <x v="7"/>
    <m/>
    <m/>
    <s v="Supplier"/>
    <m/>
    <x v="259"/>
    <s v="Excelight_Environnement_Declaration.xls"/>
    <s v=".xls"/>
    <d v="2014-04-10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29"/>
  </r>
  <r>
    <n v="2011"/>
    <x v="71"/>
    <x v="71"/>
    <x v="64"/>
    <x v="4"/>
    <x v="14"/>
    <n v="1954"/>
    <x v="8"/>
    <m/>
    <m/>
    <s v="Supplier"/>
    <m/>
    <x v="19"/>
    <s v="Excelight_Responsible_Purchasing_Charter_07Aug12.pdf"/>
    <s v=".pdf"/>
    <d v="2014-04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29"/>
  </r>
  <r>
    <n v="2012"/>
    <x v="71"/>
    <x v="71"/>
    <x v="64"/>
    <x v="4"/>
    <x v="14"/>
    <n v="1955"/>
    <x v="1"/>
    <m/>
    <m/>
    <s v="Supplier"/>
    <m/>
    <x v="47"/>
    <s v="Excelight_SEF_July2012R1.xlsx"/>
    <s v=".xlsx"/>
    <d v="2014-04-10T00:00:00"/>
    <s v="as\afok"/>
    <m/>
    <s v="2012"/>
    <m/>
    <m/>
    <m/>
    <m/>
    <m/>
    <x v="0"/>
    <x v="0"/>
    <x v="0"/>
    <x v="13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29"/>
  </r>
  <r>
    <n v="2007"/>
    <x v="71"/>
    <x v="71"/>
    <x v="64"/>
    <x v="4"/>
    <x v="14"/>
    <n v="1950"/>
    <x v="2"/>
    <m/>
    <m/>
    <s v="Supplier"/>
    <m/>
    <x v="390"/>
    <s v="Excelight_SIF2012_11May12.xlsx"/>
    <s v=".xlsx"/>
    <d v="2014-04-10T00:00:00"/>
    <s v="as\afok"/>
    <m/>
    <s v="2012"/>
    <m/>
    <m/>
    <m/>
    <m/>
    <m/>
    <x v="0"/>
    <x v="0"/>
    <x v="0"/>
    <x v="0"/>
    <x v="1"/>
    <x v="68"/>
    <x v="77"/>
    <x v="72"/>
    <x v="64"/>
    <x v="0"/>
    <x v="27"/>
    <x v="43"/>
    <x v="6"/>
    <x v="31"/>
    <x v="29"/>
    <s v="CP Panel"/>
    <x v="0"/>
    <x v="0"/>
    <x v="1"/>
    <x v="3"/>
    <m/>
    <m/>
    <m/>
    <n v="1"/>
    <m/>
    <m/>
    <m/>
    <s v="CP"/>
    <m/>
    <m/>
    <s v="CP "/>
    <x v="2"/>
    <x v="1"/>
    <m/>
    <x v="29"/>
  </r>
  <r>
    <n v="2013"/>
    <x v="71"/>
    <x v="71"/>
    <x v="64"/>
    <x v="4"/>
    <x v="14"/>
    <n v="1956"/>
    <x v="2"/>
    <m/>
    <m/>
    <s v="Supplier"/>
    <m/>
    <x v="187"/>
    <s v="Excelight_SIF2013.xlsx"/>
    <s v=".xlsx"/>
    <d v="2014-04-10T00:00:00"/>
    <s v="as\afok"/>
    <m/>
    <s v="2013"/>
    <m/>
    <m/>
    <m/>
    <m/>
    <m/>
    <x v="0"/>
    <x v="0"/>
    <x v="0"/>
    <x v="0"/>
    <x v="2"/>
    <x v="24"/>
    <x v="22"/>
    <x v="73"/>
    <x v="64"/>
    <x v="61"/>
    <x v="11"/>
    <x v="35"/>
    <x v="37"/>
    <x v="31"/>
    <x v="29"/>
    <s v="CP Panel"/>
    <x v="0"/>
    <x v="0"/>
    <x v="1"/>
    <x v="3"/>
    <m/>
    <m/>
    <m/>
    <n v="1"/>
    <m/>
    <m/>
    <m/>
    <s v="CP"/>
    <m/>
    <m/>
    <s v="CP "/>
    <x v="2"/>
    <x v="1"/>
    <m/>
    <x v="29"/>
  </r>
  <r>
    <n v="2009"/>
    <x v="71"/>
    <x v="71"/>
    <x v="64"/>
    <x v="4"/>
    <x v="14"/>
    <n v="1952"/>
    <x v="3"/>
    <m/>
    <m/>
    <s v="Supplier"/>
    <m/>
    <x v="47"/>
    <s v="Excelight_SPR_July2012.pptx"/>
    <s v=".pptx"/>
    <d v="2014-04-10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29"/>
  </r>
  <r>
    <n v="2017"/>
    <x v="71"/>
    <x v="71"/>
    <x v="64"/>
    <x v="4"/>
    <x v="14"/>
    <n v="1960"/>
    <x v="3"/>
    <m/>
    <m/>
    <s v="Supplier"/>
    <m/>
    <x v="391"/>
    <s v="SPR_Excelight_20Jun2013.pptx"/>
    <s v=".pptx"/>
    <d v="2014-04-11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29"/>
  </r>
  <r>
    <n v="32"/>
    <x v="72"/>
    <x v="72"/>
    <x v="65"/>
    <x v="0"/>
    <x v="18"/>
    <n v="27"/>
    <x v="4"/>
    <m/>
    <m/>
    <s v="Supplier"/>
    <d v="2014-12-31T00:00:00"/>
    <x v="392"/>
    <s v="FAIRFORM-DEVELOPMENT AND SUPPLY AGRERMENT_06022009.PDF"/>
    <s v=".pdf"/>
    <d v="2014-03-04T00:00:00"/>
    <s v="as\afok"/>
    <m/>
    <s v="FHA00016 ind.09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n v="1"/>
    <m/>
    <m/>
    <n v="0"/>
    <m/>
    <m/>
    <s v="FP"/>
    <s v="CP"/>
    <s v="SP"/>
    <m/>
    <s v="FP CP SP Both"/>
    <x v="0"/>
    <x v="1"/>
    <m/>
    <x v="10"/>
  </r>
  <r>
    <n v="371"/>
    <x v="72"/>
    <x v="72"/>
    <x v="65"/>
    <x v="0"/>
    <x v="18"/>
    <n v="358"/>
    <x v="13"/>
    <m/>
    <m/>
    <s v="Supplier"/>
    <d v="2013-03-01T00:00:00"/>
    <x v="393"/>
    <s v="Fairform_ISO 14001_1Mar2013.JPG"/>
    <s v=".jpg"/>
    <d v="2014-03-1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m/>
    <s v="FP"/>
    <s v="CP"/>
    <s v="SP"/>
    <m/>
    <s v="FP CP SP Both"/>
    <x v="0"/>
    <x v="1"/>
    <m/>
    <x v="10"/>
  </r>
  <r>
    <n v="369"/>
    <x v="72"/>
    <x v="72"/>
    <x v="65"/>
    <x v="0"/>
    <x v="18"/>
    <n v="356"/>
    <x v="14"/>
    <m/>
    <m/>
    <s v="Supplier"/>
    <d v="2013-03-16T00:00:00"/>
    <x v="394"/>
    <s v="Fairform_ISO 9001_16Mar2013.JPG"/>
    <s v=".jpg"/>
    <d v="2014-03-1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m/>
    <s v="FP"/>
    <s v="CP"/>
    <s v="SP"/>
    <m/>
    <s v="FP CP SP Both"/>
    <x v="0"/>
    <x v="1"/>
    <m/>
    <x v="10"/>
  </r>
  <r>
    <n v="370"/>
    <x v="72"/>
    <x v="72"/>
    <x v="65"/>
    <x v="0"/>
    <x v="18"/>
    <n v="357"/>
    <x v="16"/>
    <m/>
    <m/>
    <s v="Supplier"/>
    <d v="2013-02-11T00:00:00"/>
    <x v="395"/>
    <s v="Fairform_ISO 13485_11Feb2013.pdf"/>
    <s v=".pdf"/>
    <d v="2014-03-14T00:00:00"/>
    <s v="as\afok"/>
    <s v="ISO 13485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m/>
    <s v="FP"/>
    <s v="CP"/>
    <s v="SP"/>
    <m/>
    <s v="FP CP SP Both"/>
    <x v="0"/>
    <x v="1"/>
    <m/>
    <x v="10"/>
  </r>
  <r>
    <n v="376"/>
    <x v="72"/>
    <x v="72"/>
    <x v="65"/>
    <x v="0"/>
    <x v="18"/>
    <n v="363"/>
    <x v="8"/>
    <m/>
    <m/>
    <s v="Supplier"/>
    <m/>
    <x v="396"/>
    <s v="Fairform RPC 2013.pdf"/>
    <s v=".pdf"/>
    <d v="2014-03-1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n v="1"/>
    <s v="FP"/>
    <s v="CP"/>
    <s v="SP"/>
    <m/>
    <s v="FP CP SP Both"/>
    <x v="0"/>
    <x v="1"/>
    <m/>
    <x v="10"/>
  </r>
  <r>
    <n v="372"/>
    <x v="72"/>
    <x v="72"/>
    <x v="65"/>
    <x v="0"/>
    <x v="18"/>
    <n v="359"/>
    <x v="1"/>
    <m/>
    <m/>
    <s v="Supplier"/>
    <m/>
    <x v="47"/>
    <s v="SEF - Fairform 2012.xlsx"/>
    <s v=".xlsx"/>
    <d v="2014-03-14T00:00:00"/>
    <s v="as\afok"/>
    <m/>
    <s v="2012"/>
    <m/>
    <m/>
    <m/>
    <m/>
    <m/>
    <x v="0"/>
    <x v="0"/>
    <x v="0"/>
    <x v="19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m/>
    <s v="FP"/>
    <s v="CP"/>
    <s v="SP"/>
    <m/>
    <s v="FP CP SP Both"/>
    <x v="0"/>
    <x v="1"/>
    <m/>
    <x v="10"/>
  </r>
  <r>
    <n v="373"/>
    <x v="72"/>
    <x v="72"/>
    <x v="65"/>
    <x v="0"/>
    <x v="18"/>
    <n v="360"/>
    <x v="1"/>
    <m/>
    <m/>
    <s v="Supplier"/>
    <m/>
    <x v="397"/>
    <s v="SEF Fairform 2013.XLSX"/>
    <s v=".xlsx"/>
    <d v="2014-03-14T00:00:00"/>
    <s v="as\afok"/>
    <m/>
    <s v="2013"/>
    <m/>
    <m/>
    <m/>
    <m/>
    <m/>
    <x v="0"/>
    <x v="0"/>
    <x v="0"/>
    <x v="19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m/>
    <s v="FP"/>
    <s v="CP"/>
    <s v="SP"/>
    <m/>
    <s v="FP CP SP Both"/>
    <x v="0"/>
    <x v="1"/>
    <m/>
    <x v="10"/>
  </r>
  <r>
    <n v="374"/>
    <x v="72"/>
    <x v="72"/>
    <x v="65"/>
    <x v="0"/>
    <x v="18"/>
    <n v="361"/>
    <x v="2"/>
    <n v="1"/>
    <m/>
    <s v="Supplier"/>
    <m/>
    <x v="398"/>
    <s v="SIF2012 FAIRFORM.xls"/>
    <s v=".xls"/>
    <d v="2014-03-14T00:00:00"/>
    <s v="as\afok"/>
    <m/>
    <s v="2012"/>
    <m/>
    <m/>
    <m/>
    <m/>
    <m/>
    <x v="0"/>
    <x v="0"/>
    <x v="0"/>
    <x v="0"/>
    <x v="1"/>
    <x v="69"/>
    <x v="78"/>
    <x v="4"/>
    <x v="24"/>
    <x v="62"/>
    <x v="28"/>
    <x v="44"/>
    <x v="38"/>
    <x v="32"/>
    <x v="30"/>
    <s v="FP panel"/>
    <x v="1"/>
    <x v="3"/>
    <x v="0"/>
    <x v="0"/>
    <m/>
    <m/>
    <m/>
    <n v="0"/>
    <m/>
    <m/>
    <s v="FP"/>
    <s v="CP"/>
    <s v="SP"/>
    <m/>
    <s v="FP CP SP Both"/>
    <x v="1"/>
    <x v="1"/>
    <m/>
    <x v="10"/>
  </r>
  <r>
    <n v="375"/>
    <x v="72"/>
    <x v="72"/>
    <x v="65"/>
    <x v="0"/>
    <x v="18"/>
    <n v="362"/>
    <x v="3"/>
    <m/>
    <m/>
    <s v="Supplier"/>
    <m/>
    <x v="398"/>
    <s v="SPR - Fairform_Aug2012.pptx"/>
    <s v=".pptx"/>
    <d v="2014-03-14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m/>
    <s v="FP"/>
    <s v="CP"/>
    <s v="SP"/>
    <m/>
    <s v="FP CP SP Both"/>
    <x v="0"/>
    <x v="1"/>
    <m/>
    <x v="10"/>
  </r>
  <r>
    <n v="1393"/>
    <x v="73"/>
    <x v="73"/>
    <x v="66"/>
    <x v="5"/>
    <x v="12"/>
    <n v="1361"/>
    <x v="13"/>
    <m/>
    <m/>
    <s v="Supplier"/>
    <d v="2013-03-25T00:00:00"/>
    <x v="399"/>
    <s v="ISO14001_FANRONG_2010.3-2013.3.jpg"/>
    <s v=".jpg"/>
    <d v="2014-04-0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30"/>
  </r>
  <r>
    <n v="1396"/>
    <x v="73"/>
    <x v="73"/>
    <x v="66"/>
    <x v="5"/>
    <x v="12"/>
    <n v="1364"/>
    <x v="9"/>
    <m/>
    <m/>
    <s v="Supplier"/>
    <m/>
    <x v="400"/>
    <s v="LOC_Jiaxing_Fanrong_2011.pdf"/>
    <s v=".pdf"/>
    <d v="2014-04-0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s v="CP"/>
    <m/>
    <m/>
    <s v="CP "/>
    <x v="0"/>
    <x v="1"/>
    <m/>
    <x v="30"/>
  </r>
  <r>
    <n v="1395"/>
    <x v="73"/>
    <x v="73"/>
    <x v="66"/>
    <x v="5"/>
    <x v="12"/>
    <n v="1363"/>
    <x v="8"/>
    <m/>
    <m/>
    <s v="Supplier"/>
    <m/>
    <x v="153"/>
    <s v="FANRONG_Responsible Purchaser Charter_1Sep2012.pdf"/>
    <s v=".pdf"/>
    <d v="2014-04-0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30"/>
  </r>
  <r>
    <n v="1392"/>
    <x v="73"/>
    <x v="73"/>
    <x v="66"/>
    <x v="5"/>
    <x v="12"/>
    <n v="1360"/>
    <x v="1"/>
    <m/>
    <m/>
    <s v="Supplier"/>
    <m/>
    <x v="401"/>
    <s v="Fanrong SupplierEvaluation201104.xlsx"/>
    <s v=".xlsx"/>
    <d v="2014-04-01T00:00:00"/>
    <s v="as\afok"/>
    <m/>
    <s v="2011"/>
    <m/>
    <m/>
    <m/>
    <m/>
    <m/>
    <x v="0"/>
    <x v="0"/>
    <x v="0"/>
    <x v="35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30"/>
  </r>
  <r>
    <n v="1391"/>
    <x v="73"/>
    <x v="73"/>
    <x v="66"/>
    <x v="5"/>
    <x v="12"/>
    <n v="1359"/>
    <x v="2"/>
    <m/>
    <m/>
    <s v="Supplier"/>
    <m/>
    <x v="402"/>
    <s v="FANRONG_SIF2011.pdf"/>
    <s v=".pdf"/>
    <d v="2014-04-01T00:00:00"/>
    <s v="as\afok"/>
    <m/>
    <s v="2011"/>
    <m/>
    <m/>
    <m/>
    <m/>
    <m/>
    <x v="0"/>
    <x v="0"/>
    <x v="0"/>
    <x v="0"/>
    <x v="5"/>
    <x v="70"/>
    <x v="79"/>
    <x v="74"/>
    <x v="65"/>
    <x v="63"/>
    <x v="29"/>
    <x v="45"/>
    <x v="39"/>
    <x v="33"/>
    <x v="31"/>
    <m/>
    <x v="0"/>
    <x v="0"/>
    <x v="0"/>
    <x v="0"/>
    <m/>
    <m/>
    <m/>
    <n v="0"/>
    <m/>
    <m/>
    <m/>
    <s v="CP"/>
    <m/>
    <m/>
    <s v="CP "/>
    <x v="2"/>
    <x v="1"/>
    <m/>
    <x v="30"/>
  </r>
  <r>
    <n v="1394"/>
    <x v="73"/>
    <x v="73"/>
    <x v="66"/>
    <x v="5"/>
    <x v="12"/>
    <n v="1362"/>
    <x v="3"/>
    <m/>
    <m/>
    <s v="Supplier"/>
    <m/>
    <x v="403"/>
    <s v="SPR_Fanrong Dec.2010_Weiwei 121310.pptx"/>
    <s v=".pptx"/>
    <d v="2014-04-01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30"/>
  </r>
  <r>
    <n v="18"/>
    <x v="74"/>
    <x v="74"/>
    <x v="67"/>
    <x v="3"/>
    <x v="19"/>
    <n v="14"/>
    <x v="4"/>
    <m/>
    <m/>
    <s v="Supplier"/>
    <d v="2014-12-31T00:00:00"/>
    <x v="404"/>
    <s v="FATIA_DEVELOPMENT AND SUPPLY AGREEMENT - 03122007.pdf"/>
    <s v=".pdf"/>
    <d v="2014-03-04T00:00:00"/>
    <s v="as\afok"/>
    <m/>
    <s v="FHA00016 ind.07"/>
    <s v="37E4 - 45 days end of month Due net on posting date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0"/>
    <m/>
    <m/>
    <s v="FP"/>
    <m/>
    <s v="SP"/>
    <s v="MOULD"/>
    <s v="FP SP MOULD "/>
    <x v="0"/>
    <x v="1"/>
    <m/>
    <x v="31"/>
  </r>
  <r>
    <n v="96"/>
    <x v="74"/>
    <x v="74"/>
    <x v="67"/>
    <x v="3"/>
    <x v="19"/>
    <n v="88"/>
    <x v="11"/>
    <m/>
    <m/>
    <s v="Supplier"/>
    <m/>
    <x v="405"/>
    <s v="FATIA_ASPEN_EA_11Aug11.pdf"/>
    <s v=".pdf"/>
    <d v="2014-03-0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31"/>
  </r>
  <r>
    <n v="94"/>
    <x v="74"/>
    <x v="74"/>
    <x v="67"/>
    <x v="3"/>
    <x v="19"/>
    <n v="86"/>
    <x v="11"/>
    <m/>
    <m/>
    <s v="Supplier"/>
    <m/>
    <x v="249"/>
    <s v="Fatia Exclusivity Summary 2011-03-11.xlsx"/>
    <s v=".xlsx"/>
    <d v="2014-03-07T00:00:00"/>
    <s v="as\afok"/>
    <s v="Exclusivity Summary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31"/>
  </r>
  <r>
    <n v="97"/>
    <x v="74"/>
    <x v="74"/>
    <x v="67"/>
    <x v="3"/>
    <x v="19"/>
    <n v="89"/>
    <x v="0"/>
    <m/>
    <m/>
    <s v="Supplier"/>
    <m/>
    <x v="168"/>
    <s v="FATIA_Foodstuff declaration_FRD00069_ind.05_2012-05-08.pdf"/>
    <s v=".pdf"/>
    <d v="2014-03-07T00:00:00"/>
    <s v="as\afok"/>
    <m/>
    <s v="FRD00069 ind.05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31"/>
  </r>
  <r>
    <n v="92"/>
    <x v="74"/>
    <x v="74"/>
    <x v="67"/>
    <x v="3"/>
    <x v="19"/>
    <n v="84"/>
    <x v="8"/>
    <m/>
    <m/>
    <s v="Supplier"/>
    <m/>
    <x v="131"/>
    <s v="Fatia - Responsible Purchasing Charter.pdf"/>
    <s v=".pdf"/>
    <d v="2014-03-0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31"/>
  </r>
  <r>
    <n v="95"/>
    <x v="74"/>
    <x v="74"/>
    <x v="67"/>
    <x v="3"/>
    <x v="19"/>
    <n v="87"/>
    <x v="1"/>
    <m/>
    <m/>
    <s v="Supplier"/>
    <m/>
    <x v="5"/>
    <s v="FATIA__SEF_Dec_2012.xlsx"/>
    <s v=".xlsx"/>
    <d v="2014-03-07T00:00:00"/>
    <s v="as\afok"/>
    <m/>
    <s v="2012"/>
    <m/>
    <m/>
    <m/>
    <m/>
    <m/>
    <x v="0"/>
    <x v="0"/>
    <x v="0"/>
    <x v="19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31"/>
  </r>
  <r>
    <n v="93"/>
    <x v="74"/>
    <x v="74"/>
    <x v="67"/>
    <x v="3"/>
    <x v="19"/>
    <n v="85"/>
    <x v="2"/>
    <n v="1"/>
    <m/>
    <s v="Supplier"/>
    <m/>
    <x v="149"/>
    <s v="Fatia - SIF 2012 (SEP10,2012).xls"/>
    <s v=".xls"/>
    <d v="2014-03-07T00:00:00"/>
    <s v="as\afok"/>
    <m/>
    <s v="2012"/>
    <m/>
    <m/>
    <m/>
    <m/>
    <m/>
    <x v="0"/>
    <x v="0"/>
    <x v="0"/>
    <x v="0"/>
    <x v="1"/>
    <x v="71"/>
    <x v="80"/>
    <x v="0"/>
    <x v="0"/>
    <x v="0"/>
    <x v="5"/>
    <x v="5"/>
    <x v="0"/>
    <x v="0"/>
    <x v="0"/>
    <m/>
    <x v="0"/>
    <x v="0"/>
    <x v="0"/>
    <x v="0"/>
    <m/>
    <m/>
    <m/>
    <n v="0"/>
    <m/>
    <m/>
    <s v="FP"/>
    <m/>
    <s v="SP"/>
    <s v="MOULD"/>
    <s v="FP SP MOULD "/>
    <x v="3"/>
    <x v="1"/>
    <m/>
    <x v="31"/>
  </r>
  <r>
    <n v="99"/>
    <x v="74"/>
    <x v="74"/>
    <x v="67"/>
    <x v="3"/>
    <x v="19"/>
    <n v="91"/>
    <x v="2"/>
    <m/>
    <m/>
    <s v="Supplier"/>
    <m/>
    <x v="406"/>
    <s v="FTA SIF 2013.xls"/>
    <s v=".xls"/>
    <d v="2014-03-07T00:00:00"/>
    <s v="as\afok"/>
    <m/>
    <s v="2013"/>
    <m/>
    <m/>
    <m/>
    <m/>
    <m/>
    <x v="0"/>
    <x v="0"/>
    <x v="0"/>
    <x v="0"/>
    <x v="2"/>
    <x v="0"/>
    <x v="80"/>
    <x v="0"/>
    <x v="0"/>
    <x v="0"/>
    <x v="0"/>
    <x v="4"/>
    <x v="0"/>
    <x v="0"/>
    <x v="0"/>
    <m/>
    <x v="0"/>
    <x v="0"/>
    <x v="0"/>
    <x v="0"/>
    <m/>
    <m/>
    <m/>
    <n v="0"/>
    <m/>
    <n v="1"/>
    <s v="FP"/>
    <m/>
    <s v="SP"/>
    <s v="MOULD"/>
    <s v="FP SP MOULD "/>
    <x v="3"/>
    <x v="1"/>
    <m/>
    <x v="31"/>
  </r>
  <r>
    <n v="98"/>
    <x v="74"/>
    <x v="74"/>
    <x v="67"/>
    <x v="3"/>
    <x v="19"/>
    <n v="90"/>
    <x v="3"/>
    <m/>
    <m/>
    <s v="Supplier"/>
    <m/>
    <x v="407"/>
    <s v="Fatia-SPR-Nov 2012.PPT"/>
    <s v=".ppt"/>
    <d v="2014-03-07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31"/>
  </r>
  <r>
    <n v="2381"/>
    <x v="75"/>
    <x v="75"/>
    <x v="68"/>
    <x v="5"/>
    <x v="20"/>
    <n v="2322"/>
    <x v="8"/>
    <m/>
    <m/>
    <s v="Supplier"/>
    <m/>
    <x v="338"/>
    <s v="KFC_RESPONSIBLE PURCHASING CHARTER_14Aug2012.pdf"/>
    <s v=".pdf"/>
    <d v="2014-04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0"/>
  </r>
  <r>
    <n v="2382"/>
    <x v="75"/>
    <x v="75"/>
    <x v="68"/>
    <x v="5"/>
    <x v="20"/>
    <n v="2323"/>
    <x v="2"/>
    <m/>
    <m/>
    <s v="Supplier"/>
    <m/>
    <x v="22"/>
    <s v="KFC_SIF_Dec2011.xlsx"/>
    <s v=".xlsx"/>
    <d v="2014-04-17T00:00:00"/>
    <s v="as\afok"/>
    <m/>
    <s v="2011"/>
    <m/>
    <m/>
    <m/>
    <m/>
    <m/>
    <x v="0"/>
    <x v="0"/>
    <x v="0"/>
    <x v="0"/>
    <x v="5"/>
    <x v="72"/>
    <x v="81"/>
    <x v="75"/>
    <x v="66"/>
    <x v="64"/>
    <x v="0"/>
    <x v="0"/>
    <x v="0"/>
    <x v="0"/>
    <x v="0"/>
    <m/>
    <x v="0"/>
    <x v="0"/>
    <x v="0"/>
    <x v="0"/>
    <m/>
    <m/>
    <m/>
    <n v="0"/>
    <m/>
    <n v="1"/>
    <m/>
    <s v="CP"/>
    <m/>
    <m/>
    <s v="CP "/>
    <x v="2"/>
    <x v="1"/>
    <m/>
    <x v="0"/>
  </r>
  <r>
    <n v="2027"/>
    <x v="76"/>
    <x v="76"/>
    <x v="69"/>
    <x v="4"/>
    <x v="14"/>
    <n v="1970"/>
    <x v="4"/>
    <m/>
    <m/>
    <s v="Supplier"/>
    <m/>
    <x v="408"/>
    <s v="Focus_Purchase_Agreement_2008.pdf"/>
    <s v=".pdf"/>
    <d v="2014-04-11T00:00:00"/>
    <s v="as\afok"/>
    <m/>
    <s v="V5"/>
    <s v="37E4 - 45 days end of month Due net on posting date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8"/>
    <n v="1"/>
    <m/>
    <m/>
    <n v="0"/>
    <m/>
    <n v="1"/>
    <m/>
    <s v="CP"/>
    <s v="SP"/>
    <m/>
    <s v="CP SP "/>
    <x v="0"/>
    <x v="1"/>
    <m/>
    <x v="32"/>
  </r>
  <r>
    <n v="2019"/>
    <x v="76"/>
    <x v="76"/>
    <x v="69"/>
    <x v="4"/>
    <x v="14"/>
    <n v="1962"/>
    <x v="6"/>
    <m/>
    <m/>
    <s v="Supplier"/>
    <m/>
    <x v="409"/>
    <s v="Focus_Supply_Chain_Appendix_V10_05Aug2013.pdf"/>
    <s v=".pdf"/>
    <d v="2014-04-11T00:00:00"/>
    <s v="as\afok"/>
    <m/>
    <s v="V10"/>
    <m/>
    <n v="0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8"/>
    <m/>
    <m/>
    <n v="1"/>
    <n v="0"/>
    <m/>
    <m/>
    <m/>
    <s v="CP"/>
    <s v="SP"/>
    <m/>
    <s v="CP SP "/>
    <x v="0"/>
    <x v="1"/>
    <m/>
    <x v="32"/>
  </r>
  <r>
    <n v="2021"/>
    <x v="76"/>
    <x v="76"/>
    <x v="69"/>
    <x v="4"/>
    <x v="14"/>
    <n v="1964"/>
    <x v="7"/>
    <m/>
    <m/>
    <s v="Supplier"/>
    <m/>
    <x v="343"/>
    <s v="Focus_Env_declaration_26May2010.xls"/>
    <s v=".xls"/>
    <d v="2014-04-11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8"/>
    <m/>
    <m/>
    <m/>
    <n v="0"/>
    <m/>
    <m/>
    <m/>
    <s v="CP"/>
    <s v="SP"/>
    <m/>
    <s v="CP SP "/>
    <x v="0"/>
    <x v="1"/>
    <m/>
    <x v="32"/>
  </r>
  <r>
    <n v="2026"/>
    <x v="76"/>
    <x v="76"/>
    <x v="69"/>
    <x v="4"/>
    <x v="14"/>
    <n v="1969"/>
    <x v="9"/>
    <m/>
    <m/>
    <s v="Supplier"/>
    <m/>
    <x v="410"/>
    <s v="LOC_Focus_2011.pdf"/>
    <s v=".pdf"/>
    <d v="2014-04-11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8"/>
    <m/>
    <m/>
    <m/>
    <n v="0"/>
    <m/>
    <m/>
    <m/>
    <s v="CP"/>
    <s v="SP"/>
    <m/>
    <s v="CP SP "/>
    <x v="0"/>
    <x v="1"/>
    <m/>
    <x v="32"/>
  </r>
  <r>
    <n v="2022"/>
    <x v="76"/>
    <x v="76"/>
    <x v="69"/>
    <x v="4"/>
    <x v="14"/>
    <n v="1965"/>
    <x v="8"/>
    <m/>
    <m/>
    <s v="Supplier"/>
    <m/>
    <x v="8"/>
    <s v="Focus_Responsible_Purchasing_Charter_8Aug12.pdf"/>
    <s v=".pdf"/>
    <d v="2014-04-1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8"/>
    <m/>
    <m/>
    <m/>
    <n v="0"/>
    <m/>
    <m/>
    <m/>
    <s v="CP"/>
    <s v="SP"/>
    <m/>
    <s v="CP SP "/>
    <x v="0"/>
    <x v="1"/>
    <m/>
    <x v="32"/>
  </r>
  <r>
    <n v="2025"/>
    <x v="76"/>
    <x v="76"/>
    <x v="69"/>
    <x v="4"/>
    <x v="14"/>
    <n v="1968"/>
    <x v="1"/>
    <m/>
    <m/>
    <s v="Supplier"/>
    <m/>
    <x v="265"/>
    <s v="Focus_SEF_Dec2011_R2.xlsx"/>
    <s v=".xlsx"/>
    <d v="2014-04-11T00:00:00"/>
    <s v="as\afok"/>
    <m/>
    <s v="2011"/>
    <m/>
    <m/>
    <m/>
    <m/>
    <m/>
    <x v="0"/>
    <x v="0"/>
    <x v="0"/>
    <x v="7"/>
    <x v="0"/>
    <x v="0"/>
    <x v="0"/>
    <x v="0"/>
    <x v="0"/>
    <x v="0"/>
    <x v="0"/>
    <x v="0"/>
    <x v="0"/>
    <x v="0"/>
    <x v="0"/>
    <s v="CP Panel"/>
    <x v="0"/>
    <x v="0"/>
    <x v="1"/>
    <x v="8"/>
    <m/>
    <m/>
    <m/>
    <n v="0"/>
    <m/>
    <m/>
    <m/>
    <s v="CP"/>
    <s v="SP"/>
    <m/>
    <s v="CP SP "/>
    <x v="0"/>
    <x v="1"/>
    <m/>
    <x v="32"/>
  </r>
  <r>
    <n v="2024"/>
    <x v="76"/>
    <x v="76"/>
    <x v="69"/>
    <x v="4"/>
    <x v="14"/>
    <n v="1967"/>
    <x v="2"/>
    <m/>
    <m/>
    <s v="Supplier"/>
    <m/>
    <x v="31"/>
    <s v="Focus_SIF2012_18Apr12.pdf"/>
    <s v=".pdf"/>
    <d v="2014-04-11T00:00:00"/>
    <s v="as\afok"/>
    <m/>
    <s v="2012"/>
    <m/>
    <m/>
    <m/>
    <m/>
    <m/>
    <x v="0"/>
    <x v="0"/>
    <x v="0"/>
    <x v="0"/>
    <x v="1"/>
    <x v="0"/>
    <x v="82"/>
    <x v="76"/>
    <x v="67"/>
    <x v="65"/>
    <x v="0"/>
    <x v="46"/>
    <x v="40"/>
    <x v="34"/>
    <x v="32"/>
    <s v="CP Panel"/>
    <x v="0"/>
    <x v="0"/>
    <x v="1"/>
    <x v="8"/>
    <m/>
    <m/>
    <m/>
    <n v="0"/>
    <m/>
    <m/>
    <m/>
    <s v="CP"/>
    <s v="SP"/>
    <m/>
    <s v="CP SP "/>
    <x v="2"/>
    <x v="1"/>
    <m/>
    <x v="32"/>
  </r>
  <r>
    <n v="2020"/>
    <x v="76"/>
    <x v="76"/>
    <x v="69"/>
    <x v="4"/>
    <x v="14"/>
    <n v="1963"/>
    <x v="2"/>
    <n v="1"/>
    <m/>
    <s v="Supplier"/>
    <m/>
    <x v="411"/>
    <s v="Focus_SIF2013.pdf"/>
    <s v=".pdf"/>
    <d v="2014-04-11T00:00:00"/>
    <s v="as\afok"/>
    <m/>
    <s v="2013"/>
    <m/>
    <m/>
    <m/>
    <m/>
    <m/>
    <x v="0"/>
    <x v="0"/>
    <x v="0"/>
    <x v="0"/>
    <x v="2"/>
    <x v="0"/>
    <x v="83"/>
    <x v="77"/>
    <x v="68"/>
    <x v="29"/>
    <x v="0"/>
    <x v="47"/>
    <x v="41"/>
    <x v="35"/>
    <x v="33"/>
    <s v="CP Panel"/>
    <x v="0"/>
    <x v="0"/>
    <x v="1"/>
    <x v="8"/>
    <m/>
    <m/>
    <m/>
    <n v="0"/>
    <m/>
    <m/>
    <m/>
    <s v="CP"/>
    <s v="SP"/>
    <m/>
    <s v="CP SP "/>
    <x v="2"/>
    <x v="1"/>
    <m/>
    <x v="32"/>
  </r>
  <r>
    <n v="2023"/>
    <x v="76"/>
    <x v="76"/>
    <x v="69"/>
    <x v="4"/>
    <x v="14"/>
    <n v="1966"/>
    <x v="3"/>
    <m/>
    <m/>
    <s v="Supplier"/>
    <m/>
    <x v="1"/>
    <s v="SPR_Focus_NOV2010R1.pptx"/>
    <s v=".pptx"/>
    <d v="2014-04-11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8"/>
    <m/>
    <m/>
    <m/>
    <n v="0"/>
    <m/>
    <m/>
    <m/>
    <s v="CP"/>
    <s v="SP"/>
    <m/>
    <s v="CP SP "/>
    <x v="0"/>
    <x v="1"/>
    <m/>
    <x v="32"/>
  </r>
  <r>
    <n v="2587"/>
    <x v="77"/>
    <x v="77"/>
    <x v="70"/>
    <x v="0"/>
    <x v="0"/>
    <n v="2436"/>
    <x v="4"/>
    <m/>
    <m/>
    <s v="Supplier"/>
    <m/>
    <x v="412"/>
    <s v="Forturn Art_General Agreement_8Jun12.pdf"/>
    <s v=".pdf"/>
    <d v="2014-04-23T00:00:00"/>
    <s v="as\afok"/>
    <m/>
    <m/>
    <s v="37D6 - Within 60 days Due net on posting date 37D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m/>
    <m/>
    <s v="MOULD"/>
    <s v="FP MOULD "/>
    <x v="0"/>
    <x v="1"/>
    <m/>
    <x v="0"/>
  </r>
  <r>
    <n v="2590"/>
    <x v="77"/>
    <x v="77"/>
    <x v="70"/>
    <x v="0"/>
    <x v="0"/>
    <n v="2439"/>
    <x v="5"/>
    <m/>
    <m/>
    <s v="Supplier"/>
    <m/>
    <x v="412"/>
    <s v="Forturn Art_General Agreement_8Jun12.pdf"/>
    <s v=".pdf"/>
    <d v="2014-04-23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m/>
    <m/>
    <s v="MOULD"/>
    <s v="FP MOULD "/>
    <x v="0"/>
    <x v="1"/>
    <m/>
    <x v="0"/>
  </r>
  <r>
    <n v="2589"/>
    <x v="77"/>
    <x v="77"/>
    <x v="70"/>
    <x v="0"/>
    <x v="0"/>
    <n v="2438"/>
    <x v="6"/>
    <m/>
    <m/>
    <s v="Supplier"/>
    <m/>
    <x v="412"/>
    <s v="Forturn Art_General Agreement_8Jun12.pdf"/>
    <s v=".pdf"/>
    <d v="2014-04-23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m/>
    <m/>
    <s v="MOULD"/>
    <s v="FP MOULD "/>
    <x v="0"/>
    <x v="1"/>
    <m/>
    <x v="0"/>
  </r>
  <r>
    <n v="2591"/>
    <x v="77"/>
    <x v="77"/>
    <x v="70"/>
    <x v="0"/>
    <x v="0"/>
    <n v="2440"/>
    <x v="10"/>
    <m/>
    <m/>
    <s v="Supplier"/>
    <m/>
    <x v="413"/>
    <s v="Forturn Art_General Agreement_8Jun12.pdf"/>
    <s v=".pdf"/>
    <d v="2014-04-2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m/>
    <s v="MOULD"/>
    <s v="FP MOULD "/>
    <x v="0"/>
    <x v="1"/>
    <m/>
    <x v="0"/>
  </r>
  <r>
    <n v="2588"/>
    <x v="77"/>
    <x v="77"/>
    <x v="70"/>
    <x v="0"/>
    <x v="0"/>
    <n v="2437"/>
    <x v="7"/>
    <m/>
    <m/>
    <s v="Supplier"/>
    <m/>
    <x v="414"/>
    <s v="Forturn Art_General Agreement_8Jun12.pdf"/>
    <s v=".pdf"/>
    <d v="2014-04-23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m/>
    <s v="MOULD"/>
    <s v="FP MOULD "/>
    <x v="0"/>
    <x v="1"/>
    <m/>
    <x v="0"/>
  </r>
  <r>
    <n v="2584"/>
    <x v="77"/>
    <x v="77"/>
    <x v="70"/>
    <x v="0"/>
    <x v="0"/>
    <n v="2433"/>
    <x v="8"/>
    <m/>
    <m/>
    <s v="Supplier"/>
    <m/>
    <x v="93"/>
    <s v="Fortune Art_Responsible Purchasing Charter_9Aug12.pdf"/>
    <s v=".pdf"/>
    <d v="2014-04-2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m/>
    <s v="MOULD"/>
    <s v="FP MOULD "/>
    <x v="0"/>
    <x v="1"/>
    <m/>
    <x v="0"/>
  </r>
  <r>
    <n v="2592"/>
    <x v="77"/>
    <x v="77"/>
    <x v="70"/>
    <x v="0"/>
    <x v="0"/>
    <n v="2441"/>
    <x v="1"/>
    <m/>
    <m/>
    <s v="Supplier"/>
    <m/>
    <x v="267"/>
    <s v="SEF - Fonture Art 2013.xlsx"/>
    <s v=".xlsx"/>
    <d v="2014-04-23T00:00:00"/>
    <s v="as\afok"/>
    <m/>
    <s v="2013"/>
    <m/>
    <m/>
    <m/>
    <m/>
    <m/>
    <x v="0"/>
    <x v="0"/>
    <x v="0"/>
    <x v="15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n v="1"/>
    <m/>
    <s v="FP"/>
    <m/>
    <m/>
    <s v="MOULD"/>
    <s v="FP MOULD "/>
    <x v="0"/>
    <x v="1"/>
    <m/>
    <x v="0"/>
  </r>
  <r>
    <n v="2586"/>
    <x v="77"/>
    <x v="77"/>
    <x v="70"/>
    <x v="0"/>
    <x v="0"/>
    <n v="2435"/>
    <x v="2"/>
    <m/>
    <m/>
    <s v="Supplier"/>
    <m/>
    <x v="37"/>
    <s v="Fortune Art_SIF 2013.xls"/>
    <s v=".xls"/>
    <d v="2014-04-23T00:00:00"/>
    <s v="as\afok"/>
    <m/>
    <s v="2013"/>
    <m/>
    <m/>
    <m/>
    <m/>
    <m/>
    <x v="0"/>
    <x v="0"/>
    <x v="0"/>
    <x v="0"/>
    <x v="2"/>
    <x v="73"/>
    <x v="84"/>
    <x v="78"/>
    <x v="69"/>
    <x v="66"/>
    <x v="30"/>
    <x v="15"/>
    <x v="6"/>
    <x v="36"/>
    <x v="0"/>
    <m/>
    <x v="0"/>
    <x v="0"/>
    <x v="0"/>
    <x v="0"/>
    <m/>
    <m/>
    <m/>
    <n v="1"/>
    <m/>
    <m/>
    <s v="FP"/>
    <m/>
    <m/>
    <s v="MOULD"/>
    <s v="FP MOULD "/>
    <x v="3"/>
    <x v="1"/>
    <m/>
    <x v="0"/>
  </r>
  <r>
    <n v="2585"/>
    <x v="77"/>
    <x v="77"/>
    <x v="70"/>
    <x v="0"/>
    <x v="0"/>
    <n v="2434"/>
    <x v="2"/>
    <m/>
    <m/>
    <s v="Supplier"/>
    <m/>
    <x v="308"/>
    <s v="Fortune Art - SIF2012.pdf"/>
    <s v=".pdf"/>
    <d v="2014-04-23T00:00:00"/>
    <s v="as\afok"/>
    <m/>
    <s v="2012"/>
    <m/>
    <m/>
    <m/>
    <m/>
    <m/>
    <x v="0"/>
    <x v="0"/>
    <x v="0"/>
    <x v="0"/>
    <x v="1"/>
    <x v="24"/>
    <x v="3"/>
    <x v="3"/>
    <x v="3"/>
    <x v="61"/>
    <x v="0"/>
    <x v="0"/>
    <x v="0"/>
    <x v="0"/>
    <x v="0"/>
    <m/>
    <x v="0"/>
    <x v="0"/>
    <x v="0"/>
    <x v="0"/>
    <m/>
    <m/>
    <m/>
    <n v="1"/>
    <m/>
    <m/>
    <s v="FP"/>
    <m/>
    <m/>
    <s v="MOULD"/>
    <s v="FP MOULD "/>
    <x v="3"/>
    <x v="1"/>
    <m/>
    <x v="0"/>
  </r>
  <r>
    <n v="1011"/>
    <x v="78"/>
    <x v="78"/>
    <x v="71"/>
    <x v="1"/>
    <x v="11"/>
    <n v="988"/>
    <x v="8"/>
    <m/>
    <m/>
    <s v="Supplier"/>
    <m/>
    <x v="288"/>
    <s v="Friendship_Responsible_Purchasing_Charter_28Aug12.pdf"/>
    <s v=".pdf"/>
    <d v="2014-03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0"/>
    <m/>
    <m/>
    <m/>
    <s v="CP"/>
    <m/>
    <m/>
    <s v="CP "/>
    <x v="0"/>
    <x v="1"/>
    <m/>
    <x v="11"/>
  </r>
  <r>
    <n v="1012"/>
    <x v="78"/>
    <x v="78"/>
    <x v="71"/>
    <x v="1"/>
    <x v="11"/>
    <n v="989"/>
    <x v="1"/>
    <m/>
    <m/>
    <s v="Supplier"/>
    <m/>
    <x v="112"/>
    <s v="Friendship_SEF_2012.xlsx"/>
    <s v=".xlsx"/>
    <d v="2014-03-24T00:00:00"/>
    <s v="as\afok"/>
    <m/>
    <s v="2012"/>
    <m/>
    <m/>
    <m/>
    <m/>
    <m/>
    <x v="0"/>
    <x v="0"/>
    <x v="0"/>
    <x v="27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0"/>
    <m/>
    <m/>
    <m/>
    <s v="CP"/>
    <m/>
    <m/>
    <s v="CP "/>
    <x v="0"/>
    <x v="1"/>
    <m/>
    <x v="11"/>
  </r>
  <r>
    <n v="1010"/>
    <x v="78"/>
    <x v="78"/>
    <x v="71"/>
    <x v="1"/>
    <x v="11"/>
    <n v="987"/>
    <x v="1"/>
    <m/>
    <m/>
    <s v="Supplier"/>
    <m/>
    <x v="190"/>
    <s v="Friendship_SEF_201305-1.xlsx"/>
    <s v=".xlsx"/>
    <d v="2014-03-24T00:00:00"/>
    <s v="as\afok"/>
    <m/>
    <s v="2013"/>
    <m/>
    <m/>
    <m/>
    <m/>
    <m/>
    <x v="0"/>
    <x v="0"/>
    <x v="0"/>
    <x v="9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0"/>
    <m/>
    <m/>
    <m/>
    <s v="CP"/>
    <m/>
    <m/>
    <s v="CP "/>
    <x v="0"/>
    <x v="1"/>
    <m/>
    <x v="11"/>
  </r>
  <r>
    <n v="1013"/>
    <x v="78"/>
    <x v="78"/>
    <x v="71"/>
    <x v="1"/>
    <x v="11"/>
    <n v="990"/>
    <x v="2"/>
    <n v="1"/>
    <m/>
    <s v="Supplier"/>
    <m/>
    <x v="415"/>
    <s v="Friendship_SIF_2011.xlsx"/>
    <s v=".xlsx"/>
    <d v="2014-03-24T00:00:00"/>
    <s v="as\afok"/>
    <m/>
    <s v="2011"/>
    <m/>
    <m/>
    <m/>
    <m/>
    <m/>
    <x v="0"/>
    <x v="0"/>
    <x v="0"/>
    <x v="0"/>
    <x v="5"/>
    <x v="38"/>
    <x v="85"/>
    <x v="79"/>
    <x v="70"/>
    <x v="67"/>
    <x v="0"/>
    <x v="0"/>
    <x v="0"/>
    <x v="0"/>
    <x v="0"/>
    <s v="CP Panel"/>
    <x v="0"/>
    <x v="0"/>
    <x v="1"/>
    <x v="6"/>
    <m/>
    <m/>
    <m/>
    <n v="0"/>
    <m/>
    <n v="1"/>
    <m/>
    <s v="CP"/>
    <m/>
    <m/>
    <s v="CP "/>
    <x v="2"/>
    <x v="1"/>
    <m/>
    <x v="11"/>
  </r>
  <r>
    <n v="2405"/>
    <x v="79"/>
    <x v="79"/>
    <x v="72"/>
    <x v="5"/>
    <x v="16"/>
    <n v="2346"/>
    <x v="4"/>
    <m/>
    <m/>
    <s v="Supplier"/>
    <m/>
    <x v="416"/>
    <s v="Futian FHA000016 ind. 09 20090907.pdf"/>
    <s v=".pdf"/>
    <d v="2014-04-17T00:00:00"/>
    <s v="as\afok"/>
    <m/>
    <s v="FHA 00 016 ind.09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n v="1"/>
    <m/>
    <m/>
    <n v="0"/>
    <m/>
    <n v="1"/>
    <s v="FP"/>
    <m/>
    <m/>
    <s v="MOULD"/>
    <s v="FP MOULD "/>
    <x v="0"/>
    <x v="1"/>
    <m/>
    <x v="0"/>
  </r>
  <r>
    <n v="2401"/>
    <x v="79"/>
    <x v="79"/>
    <x v="72"/>
    <x v="5"/>
    <x v="16"/>
    <n v="2342"/>
    <x v="7"/>
    <m/>
    <m/>
    <s v="Supplier"/>
    <m/>
    <x v="365"/>
    <s v="Fu-Tian_Env_Declaration_25mar2010.xlsx"/>
    <s v=".xlsx"/>
    <d v="2014-04-17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m/>
    <s v="FP"/>
    <m/>
    <m/>
    <s v="MOULD"/>
    <s v="FP MOULD "/>
    <x v="0"/>
    <x v="1"/>
    <m/>
    <x v="0"/>
  </r>
  <r>
    <n v="2403"/>
    <x v="79"/>
    <x v="79"/>
    <x v="72"/>
    <x v="5"/>
    <x v="16"/>
    <n v="2344"/>
    <x v="8"/>
    <m/>
    <m/>
    <s v="Supplier"/>
    <m/>
    <x v="247"/>
    <s v="Futian_Responsible Purchaser Charter_13Aug2012.pdf"/>
    <s v=".pdf"/>
    <d v="2014-04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m/>
    <s v="FP"/>
    <m/>
    <m/>
    <s v="MOULD"/>
    <s v="FP MOULD "/>
    <x v="0"/>
    <x v="1"/>
    <m/>
    <x v="0"/>
  </r>
  <r>
    <n v="2404"/>
    <x v="79"/>
    <x v="79"/>
    <x v="72"/>
    <x v="5"/>
    <x v="16"/>
    <n v="2345"/>
    <x v="1"/>
    <m/>
    <m/>
    <s v="Supplier"/>
    <m/>
    <x v="145"/>
    <s v="SEF_Futian_2012May.xlsx"/>
    <s v=".xlsx"/>
    <d v="2014-04-17T00:00:00"/>
    <s v="as\afok"/>
    <m/>
    <s v="2012"/>
    <m/>
    <m/>
    <m/>
    <m/>
    <m/>
    <x v="0"/>
    <x v="0"/>
    <x v="0"/>
    <x v="36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m/>
    <s v="FP"/>
    <m/>
    <m/>
    <s v="MOULD"/>
    <s v="FP MOULD "/>
    <x v="0"/>
    <x v="1"/>
    <m/>
    <x v="0"/>
  </r>
  <r>
    <n v="2399"/>
    <x v="79"/>
    <x v="79"/>
    <x v="72"/>
    <x v="5"/>
    <x v="16"/>
    <n v="2340"/>
    <x v="2"/>
    <m/>
    <m/>
    <s v="Supplier"/>
    <m/>
    <x v="417"/>
    <s v="Futian_SIF_Jan 2014.xlsx"/>
    <s v=".xlsx"/>
    <d v="2014-04-17T00:00:00"/>
    <s v="as\afok"/>
    <m/>
    <s v="2014"/>
    <m/>
    <m/>
    <m/>
    <m/>
    <m/>
    <x v="0"/>
    <x v="0"/>
    <x v="0"/>
    <x v="0"/>
    <x v="3"/>
    <x v="74"/>
    <x v="86"/>
    <x v="80"/>
    <x v="71"/>
    <x v="68"/>
    <x v="8"/>
    <x v="42"/>
    <x v="42"/>
    <x v="37"/>
    <x v="27"/>
    <s v="FP panel"/>
    <x v="1"/>
    <x v="3"/>
    <x v="0"/>
    <x v="0"/>
    <m/>
    <m/>
    <m/>
    <n v="0"/>
    <m/>
    <m/>
    <s v="FP"/>
    <m/>
    <m/>
    <s v="MOULD"/>
    <s v="FP MOULD "/>
    <x v="3"/>
    <x v="1"/>
    <m/>
    <x v="0"/>
  </r>
  <r>
    <n v="2402"/>
    <x v="79"/>
    <x v="79"/>
    <x v="72"/>
    <x v="5"/>
    <x v="16"/>
    <n v="2343"/>
    <x v="2"/>
    <m/>
    <m/>
    <s v="Supplier"/>
    <m/>
    <x v="247"/>
    <s v="FUTIAN_SIF_13Aug2012.xlsx"/>
    <s v=".xlsx"/>
    <d v="2014-04-17T00:00:00"/>
    <s v="as\afok"/>
    <m/>
    <s v="2012"/>
    <m/>
    <m/>
    <m/>
    <m/>
    <m/>
    <x v="0"/>
    <x v="0"/>
    <x v="0"/>
    <x v="0"/>
    <x v="1"/>
    <x v="0"/>
    <x v="87"/>
    <x v="81"/>
    <x v="72"/>
    <x v="69"/>
    <x v="31"/>
    <x v="48"/>
    <x v="29"/>
    <x v="9"/>
    <x v="34"/>
    <s v="FP panel"/>
    <x v="1"/>
    <x v="3"/>
    <x v="0"/>
    <x v="0"/>
    <m/>
    <m/>
    <m/>
    <n v="0"/>
    <m/>
    <m/>
    <s v="FP"/>
    <m/>
    <m/>
    <s v="MOULD"/>
    <s v="FP MOULD "/>
    <x v="3"/>
    <x v="1"/>
    <m/>
    <x v="0"/>
  </r>
  <r>
    <n v="2400"/>
    <x v="79"/>
    <x v="79"/>
    <x v="72"/>
    <x v="5"/>
    <x v="16"/>
    <n v="2341"/>
    <x v="3"/>
    <m/>
    <m/>
    <s v="Supplier"/>
    <m/>
    <x v="418"/>
    <s v="SPR 2012 FUTIAN.pptx"/>
    <s v=".pptx"/>
    <d v="2014-04-17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m/>
    <s v="FP"/>
    <m/>
    <m/>
    <s v="MOULD"/>
    <s v="FP MOULD "/>
    <x v="0"/>
    <x v="1"/>
    <m/>
    <x v="0"/>
  </r>
  <r>
    <n v="1420"/>
    <x v="80"/>
    <x v="80"/>
    <x v="73"/>
    <x v="5"/>
    <x v="12"/>
    <n v="1386"/>
    <x v="4"/>
    <m/>
    <m/>
    <s v="Supplier"/>
    <m/>
    <x v="419"/>
    <s v="Shanghai_Fujitech_Purchase_Agreement_2009.pdf"/>
    <s v=".pdf"/>
    <d v="2014-04-01T00:00:00"/>
    <s v="as\afok"/>
    <m/>
    <s v="V5"/>
    <s v="37D6 - Within 60 days Due net on posting date 37D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m/>
    <m/>
    <m/>
    <s v="CP"/>
    <m/>
    <m/>
    <s v="CP "/>
    <x v="0"/>
    <x v="1"/>
    <m/>
    <x v="33"/>
  </r>
  <r>
    <n v="1415"/>
    <x v="80"/>
    <x v="80"/>
    <x v="73"/>
    <x v="5"/>
    <x v="12"/>
    <n v="1366"/>
    <x v="4"/>
    <m/>
    <m/>
    <s v="Supplier"/>
    <m/>
    <x v="420"/>
    <s v="Fujitech_Supply Agreement_14Jun2012(renewed Lead time).PDF"/>
    <s v=".pdf"/>
    <d v="2014-04-01T00:00:00"/>
    <s v="as\afok"/>
    <m/>
    <s v="V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m/>
    <m/>
    <m/>
    <s v="CP"/>
    <m/>
    <m/>
    <s v="CP "/>
    <x v="0"/>
    <x v="1"/>
    <m/>
    <x v="33"/>
  </r>
  <r>
    <n v="1400"/>
    <x v="80"/>
    <x v="80"/>
    <x v="73"/>
    <x v="5"/>
    <x v="12"/>
    <n v="1368"/>
    <x v="5"/>
    <m/>
    <m/>
    <s v="Supplier"/>
    <m/>
    <x v="217"/>
    <s v="Fujitech_Supply Agreement_14Jun2012(renewed Lead time).PDF"/>
    <s v=".pdf"/>
    <d v="2014-04-01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n v="1"/>
    <m/>
    <n v="1"/>
    <m/>
    <m/>
    <m/>
    <s v="CP"/>
    <m/>
    <m/>
    <s v="CP "/>
    <x v="0"/>
    <x v="1"/>
    <m/>
    <x v="33"/>
  </r>
  <r>
    <n v="1421"/>
    <x v="80"/>
    <x v="80"/>
    <x v="73"/>
    <x v="5"/>
    <x v="12"/>
    <n v="1387"/>
    <x v="5"/>
    <m/>
    <m/>
    <s v="Supplier"/>
    <m/>
    <x v="419"/>
    <s v="Shanghai_Fujitech_Purchase_Agreement_2009.pdf"/>
    <s v=".pdf"/>
    <d v="2014-04-01T00:00:00"/>
    <s v="as\afok"/>
    <m/>
    <s v="FHA 00 014 ind.07"/>
    <m/>
    <m/>
    <m/>
    <n v="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n v="1"/>
    <m/>
    <n v="1"/>
    <n v="1"/>
    <m/>
    <m/>
    <s v="CP"/>
    <m/>
    <m/>
    <s v="CP "/>
    <x v="0"/>
    <x v="1"/>
    <m/>
    <x v="33"/>
  </r>
  <r>
    <n v="1401"/>
    <x v="80"/>
    <x v="80"/>
    <x v="73"/>
    <x v="5"/>
    <x v="12"/>
    <n v="1369"/>
    <x v="6"/>
    <m/>
    <m/>
    <s v="Supplier"/>
    <m/>
    <x v="421"/>
    <s v="Fujitech_Supply Agreement_14Jun2012(renewed Lead time).PDF"/>
    <s v=".pdf"/>
    <d v="2014-04-01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n v="1"/>
    <n v="1"/>
    <m/>
    <m/>
    <m/>
    <s v="CP"/>
    <m/>
    <m/>
    <s v="CP "/>
    <x v="0"/>
    <x v="1"/>
    <m/>
    <x v="33"/>
  </r>
  <r>
    <n v="1402"/>
    <x v="80"/>
    <x v="80"/>
    <x v="73"/>
    <x v="5"/>
    <x v="12"/>
    <n v="1370"/>
    <x v="10"/>
    <m/>
    <m/>
    <s v="Supplier"/>
    <m/>
    <x v="422"/>
    <s v="Fujitech_Supply Agreement_14Jun2012(renewed Lead time).PDF"/>
    <s v=".pdf"/>
    <d v="2014-04-0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33"/>
  </r>
  <r>
    <n v="1399"/>
    <x v="80"/>
    <x v="80"/>
    <x v="73"/>
    <x v="5"/>
    <x v="12"/>
    <n v="1367"/>
    <x v="7"/>
    <m/>
    <m/>
    <s v="Supplier"/>
    <m/>
    <x v="420"/>
    <s v="Fujitech_Supply Agreement_14Jun2012(renewed Lead time).PDF"/>
    <s v=".pdf"/>
    <d v="2014-04-01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33"/>
  </r>
  <r>
    <n v="1404"/>
    <x v="80"/>
    <x v="80"/>
    <x v="73"/>
    <x v="5"/>
    <x v="12"/>
    <n v="1372"/>
    <x v="13"/>
    <m/>
    <m/>
    <s v="Supplier"/>
    <d v="2011-10-12T00:00:00"/>
    <x v="423"/>
    <s v="Fujitech_ISo14001_23Mar2010.pdf"/>
    <s v=".pdf"/>
    <d v="2014-04-0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33"/>
  </r>
  <r>
    <n v="1405"/>
    <x v="80"/>
    <x v="80"/>
    <x v="73"/>
    <x v="5"/>
    <x v="12"/>
    <n v="1373"/>
    <x v="9"/>
    <m/>
    <m/>
    <s v="Supplier"/>
    <m/>
    <x v="424"/>
    <s v="LOC_Fujitech.pdf"/>
    <s v=".pdf"/>
    <d v="2014-04-0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33"/>
  </r>
  <r>
    <n v="1419"/>
    <x v="80"/>
    <x v="80"/>
    <x v="73"/>
    <x v="5"/>
    <x v="12"/>
    <n v="1385"/>
    <x v="9"/>
    <m/>
    <m/>
    <s v="Product / Project"/>
    <m/>
    <x v="425"/>
    <s v="LOC_Fujitech_Fresh2_Project.pdf"/>
    <s v=".pdf"/>
    <d v="2014-04-01T00:00:00"/>
    <s v="as\afok"/>
    <m/>
    <m/>
    <m/>
    <m/>
    <m/>
    <m/>
    <s v="Fresh2 Project"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33"/>
  </r>
  <r>
    <n v="1406"/>
    <x v="80"/>
    <x v="80"/>
    <x v="73"/>
    <x v="5"/>
    <x v="12"/>
    <n v="1374"/>
    <x v="9"/>
    <m/>
    <m/>
    <s v="Product / Project"/>
    <m/>
    <x v="426"/>
    <s v="LOC_Shanghai_Fujitech_(Nara_project).pdf"/>
    <s v=".pdf"/>
    <d v="2014-04-01T00:00:00"/>
    <s v="as\afok"/>
    <m/>
    <m/>
    <m/>
    <m/>
    <m/>
    <m/>
    <s v="Nara project"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33"/>
  </r>
  <r>
    <n v="1418"/>
    <x v="80"/>
    <x v="80"/>
    <x v="73"/>
    <x v="5"/>
    <x v="12"/>
    <n v="1384"/>
    <x v="9"/>
    <m/>
    <m/>
    <s v="Product / Project"/>
    <m/>
    <x v="425"/>
    <s v="LOC_Fujitech_Rome Tokyo_project.pdf"/>
    <s v=".pdf"/>
    <d v="2014-04-01T00:00:00"/>
    <s v="as\afok"/>
    <m/>
    <m/>
    <m/>
    <m/>
    <m/>
    <m/>
    <s v="Rome &amp; Tokyo project"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33"/>
  </r>
  <r>
    <n v="1407"/>
    <x v="80"/>
    <x v="80"/>
    <x v="73"/>
    <x v="5"/>
    <x v="12"/>
    <n v="1375"/>
    <x v="8"/>
    <m/>
    <m/>
    <s v="Supplier"/>
    <m/>
    <x v="261"/>
    <s v="Fujitech_Responsible Purchaser Charter_6Aug2012.pdf"/>
    <s v=".pdf"/>
    <d v="2014-04-0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33"/>
  </r>
  <r>
    <n v="1408"/>
    <x v="80"/>
    <x v="80"/>
    <x v="73"/>
    <x v="5"/>
    <x v="12"/>
    <n v="1376"/>
    <x v="1"/>
    <m/>
    <m/>
    <s v="Supplier"/>
    <m/>
    <x v="135"/>
    <s v="Fujitech_SEF_201207.xlsx"/>
    <s v=".xlsx"/>
    <d v="2014-04-01T00:00:00"/>
    <s v="as\afok"/>
    <m/>
    <s v="2012"/>
    <m/>
    <m/>
    <m/>
    <m/>
    <m/>
    <x v="0"/>
    <x v="0"/>
    <x v="0"/>
    <x v="3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33"/>
  </r>
  <r>
    <n v="1397"/>
    <x v="80"/>
    <x v="80"/>
    <x v="73"/>
    <x v="5"/>
    <x v="12"/>
    <n v="1365"/>
    <x v="2"/>
    <m/>
    <m/>
    <s v="Supplier"/>
    <m/>
    <x v="427"/>
    <s v="Fujitech_SIF_Jan2014.xlsx"/>
    <s v=".xlsx"/>
    <d v="2014-04-01T00:00:00"/>
    <s v="as\afok"/>
    <m/>
    <s v="2014"/>
    <m/>
    <m/>
    <m/>
    <m/>
    <m/>
    <x v="0"/>
    <x v="0"/>
    <x v="0"/>
    <x v="0"/>
    <x v="3"/>
    <x v="75"/>
    <x v="88"/>
    <x v="5"/>
    <x v="73"/>
    <x v="70"/>
    <x v="1"/>
    <x v="49"/>
    <x v="43"/>
    <x v="38"/>
    <x v="35"/>
    <s v="CP Panel"/>
    <x v="0"/>
    <x v="0"/>
    <x v="1"/>
    <x v="3"/>
    <m/>
    <m/>
    <m/>
    <n v="1"/>
    <m/>
    <m/>
    <m/>
    <s v="CP"/>
    <m/>
    <m/>
    <s v="CP "/>
    <x v="2"/>
    <x v="1"/>
    <m/>
    <x v="33"/>
  </r>
  <r>
    <n v="1417"/>
    <x v="80"/>
    <x v="80"/>
    <x v="73"/>
    <x v="5"/>
    <x v="12"/>
    <n v="1383"/>
    <x v="2"/>
    <n v="1"/>
    <m/>
    <s v="Supplier"/>
    <m/>
    <x v="48"/>
    <s v="Fujitech_SIF_27Apr2012.xls"/>
    <s v=".xls"/>
    <d v="2014-04-01T00:00:00"/>
    <s v="as\afok"/>
    <m/>
    <s v="2012"/>
    <m/>
    <m/>
    <m/>
    <m/>
    <m/>
    <x v="0"/>
    <x v="0"/>
    <x v="0"/>
    <x v="0"/>
    <x v="1"/>
    <x v="4"/>
    <x v="5"/>
    <x v="30"/>
    <x v="74"/>
    <x v="71"/>
    <x v="32"/>
    <x v="1"/>
    <x v="2"/>
    <x v="39"/>
    <x v="22"/>
    <s v="CP Panel"/>
    <x v="0"/>
    <x v="0"/>
    <x v="1"/>
    <x v="3"/>
    <m/>
    <m/>
    <m/>
    <n v="1"/>
    <m/>
    <m/>
    <m/>
    <s v="CP"/>
    <m/>
    <m/>
    <s v="CP "/>
    <x v="2"/>
    <x v="1"/>
    <m/>
    <x v="33"/>
  </r>
  <r>
    <n v="1414"/>
    <x v="80"/>
    <x v="80"/>
    <x v="73"/>
    <x v="5"/>
    <x v="12"/>
    <n v="1382"/>
    <x v="17"/>
    <m/>
    <m/>
    <s v="Supplier"/>
    <m/>
    <x v="428"/>
    <s v="SEB-HKSHA1786973-Shanghai Fujitech Plastic Co., Ltd-28 June. 2012-Report.pdf"/>
    <s v=".pdf"/>
    <d v="2014-04-01T00:00:00"/>
    <s v="as\afok"/>
    <m/>
    <m/>
    <m/>
    <m/>
    <m/>
    <m/>
    <m/>
    <x v="2"/>
    <x v="1"/>
    <x v="1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33"/>
  </r>
  <r>
    <n v="1413"/>
    <x v="80"/>
    <x v="80"/>
    <x v="73"/>
    <x v="5"/>
    <x v="12"/>
    <n v="1381"/>
    <x v="17"/>
    <m/>
    <m/>
    <s v="Supplier"/>
    <m/>
    <x v="428"/>
    <s v="SEB-HKSHA1786973-Shanghai Fujitech Plastic Co., Ltd-28 June. 2012-Photo Report.pdf"/>
    <s v=".pdf"/>
    <d v="2014-04-01T00:00:00"/>
    <s v="as\afok"/>
    <s v="Photo Report"/>
    <m/>
    <m/>
    <m/>
    <m/>
    <m/>
    <m/>
    <x v="2"/>
    <x v="1"/>
    <x v="1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33"/>
  </r>
  <r>
    <n v="1416"/>
    <x v="80"/>
    <x v="80"/>
    <x v="73"/>
    <x v="5"/>
    <x v="12"/>
    <n v="1379"/>
    <x v="22"/>
    <m/>
    <m/>
    <s v="Supplier"/>
    <m/>
    <x v="428"/>
    <s v="SEB-HKSHA1786973-Shanghai Fujitech Plastic Co., Ltd-28 June. 2012-CAP.pdf"/>
    <s v=".pdf"/>
    <d v="2014-04-0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33"/>
  </r>
  <r>
    <n v="1412"/>
    <x v="80"/>
    <x v="80"/>
    <x v="73"/>
    <x v="5"/>
    <x v="12"/>
    <n v="1380"/>
    <x v="22"/>
    <m/>
    <m/>
    <s v="Supplier"/>
    <m/>
    <x v="428"/>
    <s v="SEB-HKSHA1786973-Shanghai Fujitech Plastic Co., Ltd-28 June. 2012-Onsite CAP.pdf"/>
    <s v=".pdf"/>
    <d v="2014-04-01T00:00:00"/>
    <s v="as\afok"/>
    <s v="Onsite CAP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33"/>
  </r>
  <r>
    <n v="1409"/>
    <x v="80"/>
    <x v="80"/>
    <x v="73"/>
    <x v="5"/>
    <x v="12"/>
    <n v="1377"/>
    <x v="22"/>
    <m/>
    <m/>
    <s v="Supplier"/>
    <m/>
    <x v="428"/>
    <s v="Fujitech-HKSHA1786973-CAP.xlsx"/>
    <s v=".xlsx"/>
    <d v="2014-04-0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33"/>
  </r>
  <r>
    <n v="1410"/>
    <x v="80"/>
    <x v="80"/>
    <x v="73"/>
    <x v="5"/>
    <x v="12"/>
    <n v="1378"/>
    <x v="3"/>
    <m/>
    <m/>
    <s v="Supplier"/>
    <m/>
    <x v="47"/>
    <s v="SPR 2012 Fujitech.pptx"/>
    <s v=".pptx"/>
    <d v="2014-04-01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33"/>
  </r>
  <r>
    <n v="1403"/>
    <x v="80"/>
    <x v="80"/>
    <x v="73"/>
    <x v="5"/>
    <x v="12"/>
    <n v="1371"/>
    <x v="18"/>
    <m/>
    <m/>
    <s v="Supplier"/>
    <m/>
    <x v="9"/>
    <s v="SSR MATRIX_FUJITECH 2013.pptx"/>
    <s v=".pptx"/>
    <d v="2014-04-01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33"/>
  </r>
  <r>
    <n v="1593"/>
    <x v="81"/>
    <x v="81"/>
    <x v="74"/>
    <x v="3"/>
    <x v="4"/>
    <n v="1554"/>
    <x v="4"/>
    <m/>
    <m/>
    <s v="Supplier"/>
    <m/>
    <x v="255"/>
    <s v="Fuxin_General Agreement (ind.11) 2012-10-31.pdf"/>
    <s v=".pdf"/>
    <d v="2014-04-04T00:00:00"/>
    <s v="as\afok"/>
    <m/>
    <s v="FHA 00 016 ind.11"/>
    <s v="37E7 - 75 days end of month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n v="1"/>
    <m/>
    <m/>
    <n v="1"/>
    <m/>
    <m/>
    <s v="FP"/>
    <m/>
    <s v="SP"/>
    <s v="MOULD"/>
    <s v="FP SP MOULD "/>
    <x v="0"/>
    <x v="1"/>
    <m/>
    <x v="17"/>
  </r>
  <r>
    <n v="1598"/>
    <x v="81"/>
    <x v="81"/>
    <x v="74"/>
    <x v="3"/>
    <x v="4"/>
    <n v="1559"/>
    <x v="4"/>
    <m/>
    <m/>
    <s v="Supplier"/>
    <m/>
    <x v="429"/>
    <s v="Fuxin supply agreement ind11 (new company name)-16May2013.pdf"/>
    <s v=".pdf"/>
    <d v="2014-04-04T00:00:00"/>
    <s v="as\afok"/>
    <m/>
    <s v="FHA 00 016 ind.11"/>
    <s v="37F7 - 75 days end of month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n v="1"/>
    <m/>
    <m/>
    <n v="1"/>
    <m/>
    <m/>
    <s v="FP"/>
    <m/>
    <s v="SP"/>
    <s v="MOULD"/>
    <s v="FP SP MOULD "/>
    <x v="0"/>
    <x v="1"/>
    <m/>
    <x v="17"/>
  </r>
  <r>
    <n v="1601"/>
    <x v="81"/>
    <x v="81"/>
    <x v="74"/>
    <x v="3"/>
    <x v="4"/>
    <n v="1562"/>
    <x v="5"/>
    <m/>
    <m/>
    <s v="Supplier"/>
    <m/>
    <x v="429"/>
    <s v="Fuxin supply agreement ind11 (new company name)-16May2013.pdf"/>
    <s v=".pdf"/>
    <d v="2014-04-04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n v="1"/>
    <m/>
    <n v="1"/>
    <m/>
    <m/>
    <s v="FP"/>
    <m/>
    <s v="SP"/>
    <s v="MOULD"/>
    <s v="FP SP MOULD "/>
    <x v="0"/>
    <x v="1"/>
    <m/>
    <x v="17"/>
  </r>
  <r>
    <n v="1596"/>
    <x v="81"/>
    <x v="81"/>
    <x v="74"/>
    <x v="3"/>
    <x v="4"/>
    <n v="1557"/>
    <x v="5"/>
    <m/>
    <m/>
    <s v="Supplier"/>
    <m/>
    <x v="255"/>
    <s v="Fuxin_General Agreement (ind.11) 2012-10-31.pdf"/>
    <s v=".pdf"/>
    <d v="2014-04-04T00:00:00"/>
    <s v="as\afok"/>
    <m/>
    <m/>
    <m/>
    <m/>
    <m/>
    <n v="3000"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n v="1"/>
    <m/>
    <n v="1"/>
    <m/>
    <m/>
    <s v="FP"/>
    <m/>
    <s v="SP"/>
    <s v="MOULD"/>
    <s v="FP SP MOULD "/>
    <x v="0"/>
    <x v="1"/>
    <m/>
    <x v="17"/>
  </r>
  <r>
    <n v="1600"/>
    <x v="81"/>
    <x v="81"/>
    <x v="74"/>
    <x v="3"/>
    <x v="4"/>
    <n v="1561"/>
    <x v="6"/>
    <m/>
    <m/>
    <s v="Supplier"/>
    <m/>
    <x v="430"/>
    <s v="Fuxin supply agreement ind11 (new company name)-16May2013.pdf"/>
    <s v=".pdf"/>
    <d v="2014-04-04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n v="1"/>
    <n v="1"/>
    <m/>
    <m/>
    <s v="FP"/>
    <m/>
    <s v="SP"/>
    <s v="MOULD"/>
    <s v="FP SP MOULD "/>
    <x v="0"/>
    <x v="1"/>
    <m/>
    <x v="17"/>
  </r>
  <r>
    <n v="1595"/>
    <x v="81"/>
    <x v="81"/>
    <x v="74"/>
    <x v="3"/>
    <x v="4"/>
    <n v="1556"/>
    <x v="6"/>
    <m/>
    <m/>
    <s v="Supplier"/>
    <m/>
    <x v="255"/>
    <s v="Fuxin_General Agreement (ind.11) 2012-10-31.pdf"/>
    <s v=".pdf"/>
    <d v="2014-04-04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n v="1"/>
    <n v="1"/>
    <m/>
    <m/>
    <s v="FP"/>
    <m/>
    <s v="SP"/>
    <s v="MOULD"/>
    <s v="FP SP MOULD "/>
    <x v="0"/>
    <x v="1"/>
    <m/>
    <x v="17"/>
  </r>
  <r>
    <n v="1602"/>
    <x v="81"/>
    <x v="81"/>
    <x v="74"/>
    <x v="3"/>
    <x v="4"/>
    <n v="1563"/>
    <x v="10"/>
    <m/>
    <m/>
    <s v="Supplier"/>
    <m/>
    <x v="431"/>
    <s v="Fuxin supply agreement ind11 (new company name)-16May2013.pdf"/>
    <s v=".pdf"/>
    <d v="2014-04-0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s v="MOULD"/>
    <s v="FP SP MOULD "/>
    <x v="0"/>
    <x v="1"/>
    <m/>
    <x v="17"/>
  </r>
  <r>
    <n v="1597"/>
    <x v="81"/>
    <x v="81"/>
    <x v="74"/>
    <x v="3"/>
    <x v="4"/>
    <n v="1558"/>
    <x v="10"/>
    <m/>
    <m/>
    <s v="Supplier"/>
    <m/>
    <x v="261"/>
    <s v="Fuxin_General Agreement (ind.11) 2012-10-31.pdf"/>
    <s v=".pdf"/>
    <d v="2014-04-0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s v="MOULD"/>
    <s v="FP SP MOULD "/>
    <x v="0"/>
    <x v="1"/>
    <m/>
    <x v="17"/>
  </r>
  <r>
    <n v="1591"/>
    <x v="81"/>
    <x v="81"/>
    <x v="74"/>
    <x v="3"/>
    <x v="4"/>
    <n v="1552"/>
    <x v="7"/>
    <m/>
    <m/>
    <s v="Supplier"/>
    <m/>
    <x v="432"/>
    <s v="Fuxin_Env_Declaration_09Jun2010.xls"/>
    <s v=".xls"/>
    <d v="2014-04-04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s v="MOULD"/>
    <s v="FP SP MOULD "/>
    <x v="0"/>
    <x v="1"/>
    <m/>
    <x v="17"/>
  </r>
  <r>
    <n v="1594"/>
    <x v="81"/>
    <x v="81"/>
    <x v="74"/>
    <x v="3"/>
    <x v="4"/>
    <n v="1555"/>
    <x v="7"/>
    <m/>
    <m/>
    <s v="Supplier"/>
    <m/>
    <x v="255"/>
    <s v="Fuxin_General Agreement (ind.11) 2012-10-31.pdf"/>
    <s v=".pdf"/>
    <d v="2014-04-04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s v="MOULD"/>
    <s v="FP SP MOULD "/>
    <x v="0"/>
    <x v="1"/>
    <m/>
    <x v="17"/>
  </r>
  <r>
    <n v="1599"/>
    <x v="81"/>
    <x v="81"/>
    <x v="74"/>
    <x v="3"/>
    <x v="4"/>
    <n v="1560"/>
    <x v="7"/>
    <m/>
    <m/>
    <s v="Supplier"/>
    <m/>
    <x v="430"/>
    <s v="Fuxin supply agreement ind11 (new company name)-16May2013.pdf"/>
    <s v=".pdf"/>
    <d v="2014-04-04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s v="MOULD"/>
    <s v="FP SP MOULD "/>
    <x v="0"/>
    <x v="1"/>
    <m/>
    <x v="17"/>
  </r>
  <r>
    <n v="1603"/>
    <x v="81"/>
    <x v="81"/>
    <x v="74"/>
    <x v="3"/>
    <x v="4"/>
    <n v="1564"/>
    <x v="14"/>
    <m/>
    <m/>
    <s v="Supplier"/>
    <d v="2012-06-08T00:00:00"/>
    <x v="433"/>
    <s v="Fuxin ISO9001 8Jun2012.pdf"/>
    <s v=".pdf"/>
    <d v="2014-04-0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s v="MOULD"/>
    <s v="FP SP MOULD "/>
    <x v="0"/>
    <x v="1"/>
    <m/>
    <x v="17"/>
  </r>
  <r>
    <n v="1604"/>
    <x v="81"/>
    <x v="81"/>
    <x v="74"/>
    <x v="3"/>
    <x v="4"/>
    <n v="1565"/>
    <x v="8"/>
    <m/>
    <m/>
    <s v="Supplier"/>
    <m/>
    <x v="261"/>
    <s v="FUXIN - Responsible Purchasing Charter.pdf"/>
    <s v=".pdf"/>
    <d v="2014-04-0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n v="1"/>
    <m/>
    <s v="FP"/>
    <m/>
    <s v="SP"/>
    <s v="MOULD"/>
    <s v="FP SP MOULD "/>
    <x v="0"/>
    <x v="1"/>
    <m/>
    <x v="17"/>
  </r>
  <r>
    <n v="1588"/>
    <x v="81"/>
    <x v="81"/>
    <x v="74"/>
    <x v="3"/>
    <x v="4"/>
    <n v="1549"/>
    <x v="1"/>
    <m/>
    <m/>
    <s v="Supplier"/>
    <m/>
    <x v="72"/>
    <s v="SEF_Fuxin_ 201206.xlsx"/>
    <s v=".xlsx"/>
    <d v="2014-04-04T00:00:00"/>
    <s v="as\afok"/>
    <m/>
    <s v="2012"/>
    <m/>
    <m/>
    <m/>
    <m/>
    <m/>
    <x v="0"/>
    <x v="0"/>
    <x v="0"/>
    <x v="14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s v="MOULD"/>
    <s v="FP SP MOULD "/>
    <x v="0"/>
    <x v="1"/>
    <m/>
    <x v="17"/>
  </r>
  <r>
    <n v="1589"/>
    <x v="81"/>
    <x v="81"/>
    <x v="74"/>
    <x v="3"/>
    <x v="4"/>
    <n v="1550"/>
    <x v="1"/>
    <m/>
    <m/>
    <s v="Supplier"/>
    <m/>
    <x v="71"/>
    <s v="FUXIN__SEF_Dec 2012.xlsx"/>
    <s v=".xlsx"/>
    <d v="2014-04-04T00:00:00"/>
    <s v="as\afok"/>
    <m/>
    <s v="2012"/>
    <m/>
    <m/>
    <m/>
    <m/>
    <m/>
    <x v="0"/>
    <x v="0"/>
    <x v="0"/>
    <x v="23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s v="MOULD"/>
    <s v="FP SP MOULD "/>
    <x v="0"/>
    <x v="1"/>
    <m/>
    <x v="17"/>
  </r>
  <r>
    <n v="1592"/>
    <x v="81"/>
    <x v="81"/>
    <x v="74"/>
    <x v="3"/>
    <x v="4"/>
    <n v="1553"/>
    <x v="2"/>
    <m/>
    <m/>
    <s v="Supplier"/>
    <m/>
    <x v="434"/>
    <s v="Fuxin -SIF 2013.xls"/>
    <s v=".xls"/>
    <d v="2014-04-04T00:00:00"/>
    <s v="as\afok"/>
    <m/>
    <s v="2013"/>
    <m/>
    <m/>
    <m/>
    <m/>
    <m/>
    <x v="0"/>
    <x v="0"/>
    <x v="0"/>
    <x v="0"/>
    <x v="2"/>
    <x v="76"/>
    <x v="89"/>
    <x v="82"/>
    <x v="75"/>
    <x v="13"/>
    <x v="5"/>
    <x v="50"/>
    <x v="44"/>
    <x v="40"/>
    <x v="27"/>
    <s v="FP panel"/>
    <x v="1"/>
    <x v="3"/>
    <x v="0"/>
    <x v="0"/>
    <m/>
    <m/>
    <m/>
    <n v="1"/>
    <m/>
    <m/>
    <s v="FP"/>
    <m/>
    <s v="SP"/>
    <s v="MOULD"/>
    <s v="FP SP MOULD "/>
    <x v="3"/>
    <x v="1"/>
    <m/>
    <x v="17"/>
  </r>
  <r>
    <n v="1590"/>
    <x v="81"/>
    <x v="81"/>
    <x v="74"/>
    <x v="3"/>
    <x v="4"/>
    <n v="1551"/>
    <x v="2"/>
    <n v="1"/>
    <m/>
    <s v="Supplier"/>
    <m/>
    <x v="435"/>
    <s v="FUXIN_SIF 2012_8Mar12.xls"/>
    <s v=".xls"/>
    <d v="2014-04-04T00:00:00"/>
    <s v="as\afok"/>
    <m/>
    <s v="2012"/>
    <m/>
    <m/>
    <m/>
    <m/>
    <m/>
    <x v="0"/>
    <x v="0"/>
    <x v="0"/>
    <x v="0"/>
    <x v="1"/>
    <x v="0"/>
    <x v="0"/>
    <x v="82"/>
    <x v="75"/>
    <x v="13"/>
    <x v="0"/>
    <x v="0"/>
    <x v="44"/>
    <x v="40"/>
    <x v="27"/>
    <s v="FP panel"/>
    <x v="1"/>
    <x v="3"/>
    <x v="0"/>
    <x v="0"/>
    <m/>
    <m/>
    <m/>
    <n v="1"/>
    <m/>
    <m/>
    <s v="FP"/>
    <m/>
    <s v="SP"/>
    <s v="MOULD"/>
    <s v="FP SP MOULD "/>
    <x v="3"/>
    <x v="1"/>
    <m/>
    <x v="17"/>
  </r>
  <r>
    <n v="1587"/>
    <x v="81"/>
    <x v="81"/>
    <x v="74"/>
    <x v="3"/>
    <x v="4"/>
    <n v="1548"/>
    <x v="3"/>
    <m/>
    <m/>
    <s v="Supplier"/>
    <m/>
    <x v="436"/>
    <s v="Fuxin-SPR-Nov 2012.PPT"/>
    <s v=".ppt"/>
    <d v="2014-04-04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s v="MOULD"/>
    <s v="FP SP MOULD "/>
    <x v="0"/>
    <x v="1"/>
    <m/>
    <x v="17"/>
  </r>
  <r>
    <n v="1247"/>
    <x v="82"/>
    <x v="82"/>
    <x v="75"/>
    <x v="2"/>
    <x v="2"/>
    <n v="1220"/>
    <x v="4"/>
    <m/>
    <m/>
    <s v="Supplier"/>
    <m/>
    <x v="437"/>
    <s v="GALANZ_General Agreement_2012-02-06.pdf"/>
    <s v=".pdf"/>
    <d v="2014-03-28T00:00:00"/>
    <s v="as\afok"/>
    <m/>
    <s v="FHA 00 016 ind.10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m/>
    <s v="SP"/>
    <s v="MOULD"/>
    <s v="FP SP MOULD "/>
    <x v="0"/>
    <x v="1"/>
    <m/>
    <x v="26"/>
  </r>
  <r>
    <n v="1239"/>
    <x v="82"/>
    <x v="82"/>
    <x v="75"/>
    <x v="2"/>
    <x v="2"/>
    <n v="1213"/>
    <x v="4"/>
    <m/>
    <m/>
    <s v="Supplier"/>
    <m/>
    <x v="317"/>
    <s v="Guangdong Galanz (MWO)_General Agreement_2012-04-30.pdf"/>
    <s v=".pdf"/>
    <d v="2014-03-28T00:00:00"/>
    <s v="as\afok"/>
    <m/>
    <s v="FHA 00 016 ind.11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m/>
    <s v="SP"/>
    <s v="MOULD"/>
    <s v="FP SP MOULD "/>
    <x v="0"/>
    <x v="1"/>
    <m/>
    <x v="26"/>
  </r>
  <r>
    <n v="1238"/>
    <x v="82"/>
    <x v="82"/>
    <x v="75"/>
    <x v="2"/>
    <x v="2"/>
    <n v="1212"/>
    <x v="4"/>
    <m/>
    <m/>
    <s v="Supplier"/>
    <m/>
    <x v="438"/>
    <s v="GALANZ-DEVELOPMENT AND SUPPLY AGREEMENT-21052009 .pdf"/>
    <s v=".pdf"/>
    <d v="2014-03-28T00:00:00"/>
    <s v="as\afok"/>
    <m/>
    <s v="FHA 00 016 ind.0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m/>
    <s v="SP"/>
    <s v="MOULD"/>
    <s v="FP SP MOULD "/>
    <x v="0"/>
    <x v="1"/>
    <m/>
    <x v="26"/>
  </r>
  <r>
    <n v="1237"/>
    <x v="83"/>
    <x v="83"/>
    <x v="75"/>
    <x v="2"/>
    <x v="2"/>
    <n v="1212"/>
    <x v="4"/>
    <m/>
    <m/>
    <s v="Supplier"/>
    <m/>
    <x v="438"/>
    <s v="GALANZ-DEVELOPMENT AND SUPPLY AGREEMENT-21052009 .pdf"/>
    <s v=".pdf"/>
    <d v="2014-03-28T00:00:00"/>
    <s v="as\afok"/>
    <m/>
    <s v="FHA 00 016 ind.0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m/>
    <s v="SP"/>
    <s v="MOULD"/>
    <s v="FP SP MOULD "/>
    <x v="0"/>
    <x v="1"/>
    <m/>
    <x v="26"/>
  </r>
  <r>
    <n v="1246"/>
    <x v="83"/>
    <x v="83"/>
    <x v="75"/>
    <x v="2"/>
    <x v="2"/>
    <n v="1220"/>
    <x v="4"/>
    <m/>
    <m/>
    <s v="Supplier"/>
    <m/>
    <x v="437"/>
    <s v="GALANZ_General Agreement_2012-02-06.pdf"/>
    <s v=".pdf"/>
    <d v="2014-03-28T00:00:00"/>
    <s v="as\afok"/>
    <m/>
    <s v="FHA 00 016 ind.10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m/>
    <s v="SP"/>
    <s v="MOULD"/>
    <s v="FP SP MOULD "/>
    <x v="0"/>
    <x v="1"/>
    <m/>
    <x v="26"/>
  </r>
  <r>
    <n v="1243"/>
    <x v="83"/>
    <x v="83"/>
    <x v="75"/>
    <x v="2"/>
    <x v="2"/>
    <n v="1217"/>
    <x v="4"/>
    <m/>
    <m/>
    <s v="Supplier"/>
    <m/>
    <x v="48"/>
    <s v="GUANGDONG GALANZ_GENERAL AGREEMENT ind.11 2012-04-23.pdf"/>
    <s v=".pdf"/>
    <d v="2014-03-28T00:00:00"/>
    <s v="as\afok"/>
    <m/>
    <s v="FHA 00 016 ind.11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m/>
    <s v="SP"/>
    <s v="MOULD"/>
    <s v="FP SP MOULD "/>
    <x v="0"/>
    <x v="1"/>
    <m/>
    <x v="26"/>
  </r>
  <r>
    <n v="1245"/>
    <x v="83"/>
    <x v="83"/>
    <x v="75"/>
    <x v="2"/>
    <x v="2"/>
    <n v="1219"/>
    <x v="5"/>
    <m/>
    <m/>
    <s v="Supplier"/>
    <m/>
    <x v="48"/>
    <s v="GUANGDONG GALANZ_GENERAL AGREEMENT ind.11 2012-04-23.pdf"/>
    <s v=".pdf"/>
    <d v="2014-03-28T00:00:00"/>
    <s v="as\afok"/>
    <m/>
    <m/>
    <m/>
    <m/>
    <m/>
    <n v="20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m/>
    <s v="SP"/>
    <s v="MOULD"/>
    <s v="FP SP MOULD "/>
    <x v="0"/>
    <x v="1"/>
    <m/>
    <x v="26"/>
  </r>
  <r>
    <n v="1251"/>
    <x v="82"/>
    <x v="82"/>
    <x v="75"/>
    <x v="2"/>
    <x v="2"/>
    <n v="1222"/>
    <x v="5"/>
    <m/>
    <m/>
    <s v="Supplier"/>
    <m/>
    <x v="33"/>
    <s v="GALANZ_General Agreement_2012-02-06.pdf"/>
    <s v=".pdf"/>
    <d v="2014-03-28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m/>
    <s v="SP"/>
    <s v="MOULD"/>
    <s v="FP SP MOULD "/>
    <x v="0"/>
    <x v="1"/>
    <m/>
    <x v="26"/>
  </r>
  <r>
    <n v="1241"/>
    <x v="82"/>
    <x v="82"/>
    <x v="75"/>
    <x v="2"/>
    <x v="2"/>
    <n v="1215"/>
    <x v="5"/>
    <m/>
    <m/>
    <s v="Supplier"/>
    <m/>
    <x v="317"/>
    <s v="Guangdong Galanz (MWO)_General Agreement_2012-04-30.pdf"/>
    <s v=".pdf"/>
    <d v="2014-03-28T00:00:00"/>
    <s v="as\afok"/>
    <m/>
    <m/>
    <m/>
    <m/>
    <m/>
    <n v="20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m/>
    <s v="SP"/>
    <s v="MOULD"/>
    <s v="FP SP MOULD "/>
    <x v="0"/>
    <x v="1"/>
    <m/>
    <x v="26"/>
  </r>
  <r>
    <n v="1250"/>
    <x v="83"/>
    <x v="83"/>
    <x v="75"/>
    <x v="2"/>
    <x v="2"/>
    <n v="1222"/>
    <x v="5"/>
    <m/>
    <m/>
    <s v="Supplier"/>
    <m/>
    <x v="33"/>
    <s v="GALANZ_General Agreement_2012-02-06.pdf"/>
    <s v=".pdf"/>
    <d v="2014-03-28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m/>
    <s v="SP"/>
    <s v="MOULD"/>
    <s v="FP SP MOULD "/>
    <x v="0"/>
    <x v="1"/>
    <m/>
    <x v="26"/>
  </r>
  <r>
    <n v="1244"/>
    <x v="83"/>
    <x v="83"/>
    <x v="75"/>
    <x v="2"/>
    <x v="2"/>
    <n v="1218"/>
    <x v="6"/>
    <m/>
    <m/>
    <s v="Supplier"/>
    <m/>
    <x v="48"/>
    <s v="GUANGDONG GALANZ_GENERAL AGREEMENT ind.11 2012-04-23.pdf"/>
    <s v=".pdf"/>
    <d v="2014-03-28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m/>
    <s v="SP"/>
    <s v="MOULD"/>
    <s v="FP SP MOULD "/>
    <x v="0"/>
    <x v="1"/>
    <m/>
    <x v="26"/>
  </r>
  <r>
    <n v="1248"/>
    <x v="83"/>
    <x v="83"/>
    <x v="75"/>
    <x v="2"/>
    <x v="2"/>
    <n v="1221"/>
    <x v="6"/>
    <m/>
    <m/>
    <s v="Supplier"/>
    <m/>
    <x v="437"/>
    <s v="GALANZ_General Agreement_2012-02-06.pdf"/>
    <s v=".pdf"/>
    <d v="2014-03-28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m/>
    <s v="SP"/>
    <s v="MOULD"/>
    <s v="FP SP MOULD "/>
    <x v="0"/>
    <x v="1"/>
    <m/>
    <x v="26"/>
  </r>
  <r>
    <n v="1249"/>
    <x v="82"/>
    <x v="82"/>
    <x v="75"/>
    <x v="2"/>
    <x v="2"/>
    <n v="1221"/>
    <x v="6"/>
    <m/>
    <m/>
    <s v="Supplier"/>
    <m/>
    <x v="437"/>
    <s v="GALANZ_General Agreement_2012-02-06.pdf"/>
    <s v=".pdf"/>
    <d v="2014-03-28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m/>
    <s v="SP"/>
    <s v="MOULD"/>
    <s v="FP SP MOULD "/>
    <x v="0"/>
    <x v="1"/>
    <m/>
    <x v="26"/>
  </r>
  <r>
    <n v="1240"/>
    <x v="82"/>
    <x v="82"/>
    <x v="75"/>
    <x v="2"/>
    <x v="2"/>
    <n v="1214"/>
    <x v="6"/>
    <m/>
    <m/>
    <s v="Supplier"/>
    <m/>
    <x v="317"/>
    <s v="Guangdong Galanz (MWO)_General Agreement_2012-04-30.pdf"/>
    <s v=".pdf"/>
    <d v="2014-03-28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m/>
    <s v="SP"/>
    <s v="MOULD"/>
    <s v="FP SP MOULD "/>
    <x v="0"/>
    <x v="1"/>
    <m/>
    <x v="26"/>
  </r>
  <r>
    <n v="1252"/>
    <x v="83"/>
    <x v="83"/>
    <x v="75"/>
    <x v="2"/>
    <x v="2"/>
    <n v="1223"/>
    <x v="10"/>
    <m/>
    <m/>
    <s v="Supplier"/>
    <m/>
    <x v="171"/>
    <s v="GALANZ_General Agreement_2012-02-06.pdf"/>
    <s v=".pdf"/>
    <d v="2014-03-2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6"/>
  </r>
  <r>
    <n v="1242"/>
    <x v="82"/>
    <x v="82"/>
    <x v="75"/>
    <x v="2"/>
    <x v="2"/>
    <n v="1216"/>
    <x v="10"/>
    <m/>
    <m/>
    <s v="Supplier"/>
    <m/>
    <x v="48"/>
    <s v="Guangdong Galanz (MWO)_General Agreement_2012-04-30.pdf"/>
    <s v=".pdf"/>
    <d v="2014-03-2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6"/>
  </r>
  <r>
    <n v="1253"/>
    <x v="82"/>
    <x v="82"/>
    <x v="75"/>
    <x v="2"/>
    <x v="2"/>
    <n v="1223"/>
    <x v="10"/>
    <m/>
    <m/>
    <s v="Supplier"/>
    <m/>
    <x v="171"/>
    <s v="GALANZ_General Agreement_2012-02-06.pdf"/>
    <s v=".pdf"/>
    <d v="2014-03-2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6"/>
  </r>
  <r>
    <n v="1236"/>
    <x v="83"/>
    <x v="83"/>
    <x v="75"/>
    <x v="2"/>
    <x v="2"/>
    <n v="1211"/>
    <x v="11"/>
    <m/>
    <m/>
    <s v="Product / Project"/>
    <m/>
    <x v="260"/>
    <s v="GALANZ_EA_CABO 9L Oven_2012-11-22.pdf"/>
    <s v=".pdf"/>
    <d v="2014-03-28T00:00:00"/>
    <s v="as\afok"/>
    <m/>
    <m/>
    <m/>
    <m/>
    <m/>
    <m/>
    <s v="CABO 9L Oven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6"/>
  </r>
  <r>
    <n v="1254"/>
    <x v="83"/>
    <x v="83"/>
    <x v="75"/>
    <x v="2"/>
    <x v="2"/>
    <n v="1224"/>
    <x v="12"/>
    <m/>
    <m/>
    <s v="Product / Project"/>
    <m/>
    <x v="260"/>
    <s v="GALANZ_IP_CABO 9L Oven_2012-11-22.pdf"/>
    <s v=".pdf"/>
    <d v="2014-03-28T00:00:00"/>
    <s v="as\afok"/>
    <m/>
    <m/>
    <m/>
    <m/>
    <m/>
    <m/>
    <s v="CABO 9L Oven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6"/>
  </r>
  <r>
    <n v="1231"/>
    <x v="83"/>
    <x v="83"/>
    <x v="75"/>
    <x v="2"/>
    <x v="2"/>
    <n v="1207"/>
    <x v="13"/>
    <m/>
    <m/>
    <s v="Supplier"/>
    <d v="2010-06-04T00:00:00"/>
    <x v="439"/>
    <s v="Galanz_ISO14001_26Mar2010.pdf"/>
    <s v=".pdf"/>
    <d v="2014-03-2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6"/>
  </r>
  <r>
    <n v="1232"/>
    <x v="82"/>
    <x v="82"/>
    <x v="75"/>
    <x v="2"/>
    <x v="2"/>
    <n v="1207"/>
    <x v="13"/>
    <m/>
    <m/>
    <s v="Supplier"/>
    <d v="2010-06-04T00:00:00"/>
    <x v="439"/>
    <s v="Galanz_ISO14001_26Mar2010.pdf"/>
    <s v=".pdf"/>
    <d v="2014-03-2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6"/>
  </r>
  <r>
    <n v="1256"/>
    <x v="83"/>
    <x v="83"/>
    <x v="75"/>
    <x v="2"/>
    <x v="2"/>
    <n v="1226"/>
    <x v="8"/>
    <m/>
    <m/>
    <s v="Supplier"/>
    <m/>
    <x v="216"/>
    <s v="Galanz - Responsible Purchasing Charter.pdf"/>
    <s v=".pdf"/>
    <d v="2014-03-2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6"/>
  </r>
  <r>
    <n v="1255"/>
    <x v="82"/>
    <x v="82"/>
    <x v="75"/>
    <x v="2"/>
    <x v="2"/>
    <n v="1225"/>
    <x v="8"/>
    <m/>
    <m/>
    <s v="Supplier"/>
    <m/>
    <x v="440"/>
    <s v="Galanz (MWO) - Responsible Purchasing Charter (CHI).pdf"/>
    <s v=".pdf"/>
    <d v="2014-03-28T00:00:00"/>
    <s v="as\afok"/>
    <s v="Chinese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6"/>
  </r>
  <r>
    <n v="1257"/>
    <x v="82"/>
    <x v="82"/>
    <x v="75"/>
    <x v="2"/>
    <x v="2"/>
    <n v="1227"/>
    <x v="8"/>
    <m/>
    <m/>
    <s v="Supplier"/>
    <m/>
    <x v="440"/>
    <s v="Galanz (MWO) - Responsible Purchasing Charter (ENG).pdf"/>
    <s v=".pdf"/>
    <d v="2014-03-28T00:00:00"/>
    <s v="as\afok"/>
    <s v="English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6"/>
  </r>
  <r>
    <n v="1233"/>
    <x v="83"/>
    <x v="83"/>
    <x v="75"/>
    <x v="2"/>
    <x v="2"/>
    <n v="1208"/>
    <x v="1"/>
    <m/>
    <m/>
    <s v="Supplier"/>
    <m/>
    <x v="72"/>
    <s v="GALANZ SEF 2012.xlsx"/>
    <s v=".xlsx"/>
    <d v="2014-03-28T00:00:00"/>
    <s v="as\afok"/>
    <m/>
    <s v="2012"/>
    <m/>
    <m/>
    <m/>
    <m/>
    <m/>
    <x v="0"/>
    <x v="0"/>
    <x v="0"/>
    <x v="28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6"/>
  </r>
  <r>
    <n v="1259"/>
    <x v="83"/>
    <x v="83"/>
    <x v="75"/>
    <x v="2"/>
    <x v="2"/>
    <n v="1229"/>
    <x v="2"/>
    <m/>
    <m/>
    <s v="Supplier"/>
    <m/>
    <x v="441"/>
    <s v="Galanz (Oven) - SIF 2013.xlsx"/>
    <s v=".xlsx"/>
    <d v="2014-03-28T00:00:00"/>
    <s v="as\afok"/>
    <m/>
    <s v="2013"/>
    <m/>
    <m/>
    <m/>
    <m/>
    <m/>
    <x v="0"/>
    <x v="0"/>
    <x v="0"/>
    <x v="0"/>
    <x v="2"/>
    <x v="77"/>
    <x v="90"/>
    <x v="83"/>
    <x v="9"/>
    <x v="72"/>
    <x v="33"/>
    <x v="51"/>
    <x v="45"/>
    <x v="41"/>
    <x v="36"/>
    <m/>
    <x v="0"/>
    <x v="0"/>
    <x v="0"/>
    <x v="0"/>
    <m/>
    <m/>
    <m/>
    <n v="1"/>
    <n v="1"/>
    <m/>
    <s v="FP"/>
    <m/>
    <s v="SP"/>
    <s v="MOULD"/>
    <s v="FP SP MOULD "/>
    <x v="3"/>
    <x v="1"/>
    <m/>
    <x v="26"/>
  </r>
  <r>
    <n v="1235"/>
    <x v="83"/>
    <x v="83"/>
    <x v="75"/>
    <x v="2"/>
    <x v="2"/>
    <n v="1210"/>
    <x v="2"/>
    <m/>
    <m/>
    <s v="Supplier"/>
    <m/>
    <x v="442"/>
    <s v="Galanz (Oven) - SIF 2012.xlsx"/>
    <s v=".xlsx"/>
    <d v="2014-03-28T00:00:00"/>
    <s v="as\afok"/>
    <m/>
    <s v="2012"/>
    <m/>
    <m/>
    <m/>
    <m/>
    <m/>
    <x v="0"/>
    <x v="0"/>
    <x v="0"/>
    <x v="0"/>
    <x v="1"/>
    <x v="0"/>
    <x v="0"/>
    <x v="83"/>
    <x v="9"/>
    <x v="72"/>
    <x v="0"/>
    <x v="0"/>
    <x v="45"/>
    <x v="41"/>
    <x v="36"/>
    <m/>
    <x v="0"/>
    <x v="0"/>
    <x v="0"/>
    <x v="0"/>
    <m/>
    <m/>
    <m/>
    <n v="1"/>
    <m/>
    <m/>
    <s v="FP"/>
    <m/>
    <s v="SP"/>
    <s v="MOULD"/>
    <s v="FP SP MOULD "/>
    <x v="3"/>
    <x v="1"/>
    <m/>
    <x v="26"/>
  </r>
  <r>
    <n v="1258"/>
    <x v="82"/>
    <x v="82"/>
    <x v="75"/>
    <x v="2"/>
    <x v="2"/>
    <n v="1228"/>
    <x v="2"/>
    <n v="1"/>
    <m/>
    <s v="Supplier"/>
    <m/>
    <x v="443"/>
    <s v="Galanz (MWO) - SIF 2013.xls"/>
    <s v=".xls"/>
    <d v="2014-03-28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3"/>
    <x v="1"/>
    <m/>
    <x v="26"/>
  </r>
  <r>
    <n v="1234"/>
    <x v="82"/>
    <x v="82"/>
    <x v="75"/>
    <x v="2"/>
    <x v="2"/>
    <n v="1209"/>
    <x v="2"/>
    <m/>
    <m/>
    <s v="Supplier"/>
    <m/>
    <x v="444"/>
    <s v="Galanz (MWO) - SIF 2012.xlsx"/>
    <s v=".xlsx"/>
    <d v="2014-03-28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3"/>
    <x v="1"/>
    <m/>
    <x v="26"/>
  </r>
  <r>
    <n v="2028"/>
    <x v="84"/>
    <x v="84"/>
    <x v="76"/>
    <x v="4"/>
    <x v="14"/>
    <n v="1971"/>
    <x v="7"/>
    <m/>
    <m/>
    <s v="Supplier"/>
    <m/>
    <x v="295"/>
    <s v="Gearing_Env_Declaration_03Jun2010.xlsx"/>
    <s v=".xlsx"/>
    <d v="2014-04-11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30"/>
  </r>
  <r>
    <n v="2029"/>
    <x v="84"/>
    <x v="84"/>
    <x v="76"/>
    <x v="4"/>
    <x v="14"/>
    <n v="1972"/>
    <x v="2"/>
    <n v="1"/>
    <m/>
    <s v="Supplier"/>
    <m/>
    <x v="295"/>
    <s v="Gearing_SIF_07Jun2010.xls"/>
    <s v=".xls"/>
    <d v="2014-04-11T00:00:00"/>
    <s v="as\afok"/>
    <m/>
    <s v="2010"/>
    <m/>
    <m/>
    <m/>
    <m/>
    <m/>
    <x v="0"/>
    <x v="0"/>
    <x v="0"/>
    <x v="0"/>
    <x v="4"/>
    <x v="3"/>
    <x v="4"/>
    <x v="84"/>
    <x v="0"/>
    <x v="0"/>
    <x v="0"/>
    <x v="52"/>
    <x v="46"/>
    <x v="0"/>
    <x v="0"/>
    <m/>
    <x v="0"/>
    <x v="0"/>
    <x v="0"/>
    <x v="0"/>
    <m/>
    <m/>
    <m/>
    <n v="0"/>
    <m/>
    <n v="1"/>
    <m/>
    <s v="CP"/>
    <m/>
    <m/>
    <s v="CP "/>
    <x v="2"/>
    <x v="1"/>
    <m/>
    <x v="30"/>
  </r>
  <r>
    <n v="1617"/>
    <x v="85"/>
    <x v="85"/>
    <x v="77"/>
    <x v="3"/>
    <x v="4"/>
    <n v="1578"/>
    <x v="4"/>
    <m/>
    <m/>
    <s v="Supplier"/>
    <m/>
    <x v="445"/>
    <s v="GEW FHA00016 ind.07 20080218.pdf"/>
    <s v=".pdf"/>
    <d v="2014-04-04T00:00:00"/>
    <s v="as\afok"/>
    <m/>
    <s v="FHA 00 016 ind.0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n v="1"/>
    <m/>
    <m/>
    <n v="0"/>
    <m/>
    <n v="1"/>
    <s v="FP"/>
    <m/>
    <s v="SP"/>
    <s v="MOULD"/>
    <s v="FP SP MOULD "/>
    <x v="0"/>
    <x v="1"/>
    <m/>
    <x v="7"/>
  </r>
  <r>
    <n v="1610"/>
    <x v="85"/>
    <x v="85"/>
    <x v="77"/>
    <x v="3"/>
    <x v="4"/>
    <n v="1571"/>
    <x v="7"/>
    <m/>
    <m/>
    <s v="Supplier"/>
    <m/>
    <x v="446"/>
    <s v="GEW_Env_Declaration_18Jun2010.xls"/>
    <s v=".xls"/>
    <d v="2014-04-04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0"/>
    <m/>
    <m/>
    <s v="FP"/>
    <m/>
    <s v="SP"/>
    <s v="MOULD"/>
    <s v="FP SP MOULD "/>
    <x v="0"/>
    <x v="1"/>
    <m/>
    <x v="7"/>
  </r>
  <r>
    <n v="1606"/>
    <x v="85"/>
    <x v="85"/>
    <x v="77"/>
    <x v="3"/>
    <x v="4"/>
    <n v="1567"/>
    <x v="11"/>
    <m/>
    <m/>
    <s v="Supplier"/>
    <m/>
    <x v="67"/>
    <s v="GEW Exclusivity Summary.xlsx"/>
    <s v=".xlsx"/>
    <d v="2014-04-04T00:00:00"/>
    <s v="as\afok"/>
    <s v="Exclusivity Summary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0"/>
    <m/>
    <m/>
    <s v="FP"/>
    <m/>
    <s v="SP"/>
    <s v="MOULD"/>
    <s v="FP SP MOULD "/>
    <x v="0"/>
    <x v="1"/>
    <m/>
    <x v="7"/>
  </r>
  <r>
    <n v="1608"/>
    <x v="85"/>
    <x v="85"/>
    <x v="77"/>
    <x v="3"/>
    <x v="4"/>
    <n v="1569"/>
    <x v="11"/>
    <m/>
    <m/>
    <s v="Supplier"/>
    <m/>
    <x v="246"/>
    <s v="GEW Exclusivity Summary 2011-06-14.xlsx"/>
    <s v=".xlsx"/>
    <d v="2014-04-04T00:00:00"/>
    <s v="as\afok"/>
    <s v="Exclusivity Summary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0"/>
    <m/>
    <m/>
    <s v="FP"/>
    <m/>
    <s v="SP"/>
    <s v="MOULD"/>
    <s v="FP SP MOULD "/>
    <x v="0"/>
    <x v="1"/>
    <m/>
    <x v="7"/>
  </r>
  <r>
    <n v="1616"/>
    <x v="85"/>
    <x v="85"/>
    <x v="77"/>
    <x v="3"/>
    <x v="4"/>
    <n v="1577"/>
    <x v="0"/>
    <m/>
    <m/>
    <s v="Supplier"/>
    <m/>
    <x v="447"/>
    <s v="GEW FRD00069 ind.04 20090812.pdf"/>
    <s v=".pdf"/>
    <d v="2014-04-04T00:00:00"/>
    <s v="as\afok"/>
    <m/>
    <s v="FRD 00 069 ind.04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0"/>
    <m/>
    <m/>
    <s v="FP"/>
    <m/>
    <s v="SP"/>
    <s v="MOULD"/>
    <s v="FP SP MOULD "/>
    <x v="0"/>
    <x v="1"/>
    <m/>
    <x v="7"/>
  </r>
  <r>
    <n v="1614"/>
    <x v="85"/>
    <x v="85"/>
    <x v="77"/>
    <x v="3"/>
    <x v="4"/>
    <n v="1575"/>
    <x v="13"/>
    <m/>
    <m/>
    <s v="Supplier"/>
    <d v="2013-01-04T00:00:00"/>
    <x v="448"/>
    <s v="GEW ISO9001 and ISO14001 17Feb2012.pdf"/>
    <s v=".pdf"/>
    <d v="2014-04-0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0"/>
    <m/>
    <m/>
    <s v="FP"/>
    <m/>
    <s v="SP"/>
    <s v="MOULD"/>
    <s v="FP SP MOULD "/>
    <x v="0"/>
    <x v="1"/>
    <m/>
    <x v="7"/>
  </r>
  <r>
    <n v="1613"/>
    <x v="85"/>
    <x v="85"/>
    <x v="77"/>
    <x v="3"/>
    <x v="4"/>
    <n v="1574"/>
    <x v="14"/>
    <m/>
    <m/>
    <s v="Supplier"/>
    <d v="2012-02-17T00:00:00"/>
    <x v="57"/>
    <s v="GEW ISO9001 and ISO14001 17Feb2012.pdf"/>
    <s v=".pdf"/>
    <d v="2014-04-0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0"/>
    <m/>
    <m/>
    <s v="FP"/>
    <m/>
    <s v="SP"/>
    <s v="MOULD"/>
    <s v="FP SP MOULD "/>
    <x v="0"/>
    <x v="1"/>
    <m/>
    <x v="7"/>
  </r>
  <r>
    <n v="1607"/>
    <x v="85"/>
    <x v="85"/>
    <x v="77"/>
    <x v="3"/>
    <x v="4"/>
    <n v="1568"/>
    <x v="15"/>
    <m/>
    <m/>
    <s v="Product / Project"/>
    <m/>
    <x v="274"/>
    <s v="GEW_NDA (A154) 2012-01-09.pdf"/>
    <s v=".pdf"/>
    <d v="2014-04-04T00:00:00"/>
    <s v="as\afok"/>
    <m/>
    <m/>
    <m/>
    <m/>
    <m/>
    <m/>
    <s v="A154"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0"/>
    <m/>
    <m/>
    <s v="FP"/>
    <m/>
    <s v="SP"/>
    <s v="MOULD"/>
    <s v="FP SP MOULD "/>
    <x v="0"/>
    <x v="1"/>
    <m/>
    <x v="7"/>
  </r>
  <r>
    <n v="1611"/>
    <x v="85"/>
    <x v="85"/>
    <x v="77"/>
    <x v="3"/>
    <x v="4"/>
    <n v="1572"/>
    <x v="15"/>
    <m/>
    <m/>
    <s v="Supplier"/>
    <m/>
    <x v="449"/>
    <s v="GEW_NDA_20110407.pdf"/>
    <s v=".pdf"/>
    <d v="2014-04-0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0"/>
    <m/>
    <m/>
    <s v="FP"/>
    <m/>
    <s v="SP"/>
    <s v="MOULD"/>
    <s v="FP SP MOULD "/>
    <x v="0"/>
    <x v="1"/>
    <m/>
    <x v="7"/>
  </r>
  <r>
    <n v="1612"/>
    <x v="85"/>
    <x v="85"/>
    <x v="77"/>
    <x v="3"/>
    <x v="4"/>
    <n v="1573"/>
    <x v="8"/>
    <m/>
    <m/>
    <s v="Supplier"/>
    <m/>
    <x v="8"/>
    <s v="GEW - Responsible Purchasing Charter.pdf"/>
    <s v=".pdf"/>
    <d v="2014-04-0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0"/>
    <m/>
    <m/>
    <s v="FP"/>
    <m/>
    <s v="SP"/>
    <s v="MOULD"/>
    <s v="FP SP MOULD "/>
    <x v="0"/>
    <x v="1"/>
    <m/>
    <x v="7"/>
  </r>
  <r>
    <n v="1605"/>
    <x v="85"/>
    <x v="85"/>
    <x v="77"/>
    <x v="3"/>
    <x v="4"/>
    <n v="1566"/>
    <x v="1"/>
    <m/>
    <m/>
    <s v="Supplier"/>
    <m/>
    <x v="71"/>
    <s v="GEW_SEF_Dec 2012.XLSX"/>
    <s v=".xlsx"/>
    <d v="2014-04-04T00:00:00"/>
    <s v="as\afok"/>
    <m/>
    <s v="2012"/>
    <m/>
    <m/>
    <m/>
    <m/>
    <m/>
    <x v="0"/>
    <x v="0"/>
    <x v="0"/>
    <x v="34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0"/>
    <m/>
    <m/>
    <s v="FP"/>
    <m/>
    <s v="SP"/>
    <s v="MOULD"/>
    <s v="FP SP MOULD "/>
    <x v="0"/>
    <x v="1"/>
    <m/>
    <x v="7"/>
  </r>
  <r>
    <n v="1615"/>
    <x v="85"/>
    <x v="85"/>
    <x v="77"/>
    <x v="3"/>
    <x v="4"/>
    <n v="1576"/>
    <x v="2"/>
    <m/>
    <m/>
    <s v="Supplier"/>
    <m/>
    <x v="450"/>
    <s v="GEW_SIF_201212.xlsx"/>
    <s v=".xlsx"/>
    <d v="2014-04-04T00:00:00"/>
    <s v="as\afok"/>
    <m/>
    <s v="2012"/>
    <m/>
    <m/>
    <m/>
    <m/>
    <m/>
    <x v="0"/>
    <x v="0"/>
    <x v="0"/>
    <x v="0"/>
    <x v="1"/>
    <x v="75"/>
    <x v="68"/>
    <x v="85"/>
    <x v="61"/>
    <x v="73"/>
    <x v="30"/>
    <x v="53"/>
    <x v="17"/>
    <x v="42"/>
    <x v="37"/>
    <s v="FP panel"/>
    <x v="1"/>
    <x v="1"/>
    <x v="0"/>
    <x v="0"/>
    <m/>
    <m/>
    <m/>
    <n v="0"/>
    <m/>
    <m/>
    <s v="FP"/>
    <m/>
    <s v="SP"/>
    <s v="MOULD"/>
    <s v="FP SP MOULD "/>
    <x v="3"/>
    <x v="1"/>
    <m/>
    <x v="7"/>
  </r>
  <r>
    <n v="1609"/>
    <x v="85"/>
    <x v="85"/>
    <x v="77"/>
    <x v="3"/>
    <x v="4"/>
    <n v="1570"/>
    <x v="3"/>
    <m/>
    <m/>
    <s v="Supplier"/>
    <m/>
    <x v="222"/>
    <s v="GEW_SPR_201212.pptx"/>
    <s v=".pptx"/>
    <d v="2014-04-04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0"/>
    <m/>
    <m/>
    <s v="FP"/>
    <m/>
    <s v="SP"/>
    <s v="MOULD"/>
    <s v="FP SP MOULD "/>
    <x v="0"/>
    <x v="1"/>
    <m/>
    <x v="7"/>
  </r>
  <r>
    <n v="1021"/>
    <x v="86"/>
    <x v="86"/>
    <x v="78"/>
    <x v="1"/>
    <x v="11"/>
    <n v="998"/>
    <x v="13"/>
    <m/>
    <m/>
    <s v="Supplier"/>
    <d v="2011-02-15T00:00:00"/>
    <x v="451"/>
    <s v="GCB_ISO14001_29Mar2010.pdf"/>
    <s v=".pdf"/>
    <d v="2014-03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n v="1"/>
    <m/>
    <s v="CP"/>
    <m/>
    <m/>
    <s v="CP "/>
    <x v="0"/>
    <x v="1"/>
    <m/>
    <x v="12"/>
  </r>
  <r>
    <n v="1020"/>
    <x v="86"/>
    <x v="86"/>
    <x v="78"/>
    <x v="1"/>
    <x v="11"/>
    <n v="997"/>
    <x v="9"/>
    <m/>
    <m/>
    <s v="Supplier"/>
    <m/>
    <x v="410"/>
    <s v="LOC_Global_Circuit_2011.pdf"/>
    <s v=".pdf"/>
    <d v="2014-03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m/>
    <s v="CP"/>
    <m/>
    <m/>
    <s v="CP "/>
    <x v="0"/>
    <x v="1"/>
    <m/>
    <x v="12"/>
  </r>
  <r>
    <n v="1018"/>
    <x v="86"/>
    <x v="86"/>
    <x v="78"/>
    <x v="1"/>
    <x v="11"/>
    <n v="995"/>
    <x v="8"/>
    <m/>
    <m/>
    <s v="Supplier"/>
    <m/>
    <x v="254"/>
    <s v="GLOBAL_CIRCUITS_Responsible_Purchasing_Charter_02Aug12.pdf"/>
    <s v=".pdf"/>
    <d v="2014-03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m/>
    <s v="CP"/>
    <m/>
    <m/>
    <s v="CP "/>
    <x v="0"/>
    <x v="1"/>
    <m/>
    <x v="12"/>
  </r>
  <r>
    <n v="1016"/>
    <x v="86"/>
    <x v="86"/>
    <x v="78"/>
    <x v="1"/>
    <x v="11"/>
    <n v="993"/>
    <x v="1"/>
    <m/>
    <m/>
    <s v="Supplier"/>
    <m/>
    <x v="112"/>
    <s v="GCB_SEF_2012-2.xlsx"/>
    <s v=".xlsx"/>
    <d v="2014-03-24T00:00:00"/>
    <s v="as\afok"/>
    <m/>
    <s v="2012"/>
    <m/>
    <m/>
    <m/>
    <m/>
    <m/>
    <x v="0"/>
    <x v="0"/>
    <x v="0"/>
    <x v="27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m/>
    <s v="CP"/>
    <m/>
    <m/>
    <s v="CP "/>
    <x v="0"/>
    <x v="1"/>
    <m/>
    <x v="12"/>
  </r>
  <r>
    <n v="1014"/>
    <x v="86"/>
    <x v="86"/>
    <x v="78"/>
    <x v="1"/>
    <x v="11"/>
    <n v="991"/>
    <x v="1"/>
    <m/>
    <m/>
    <s v="Supplier"/>
    <m/>
    <x v="452"/>
    <s v="GCB_SEF_2013-1.xls"/>
    <s v=".xls"/>
    <d v="2014-03-24T00:00:00"/>
    <s v="as\afok"/>
    <m/>
    <s v="2013"/>
    <m/>
    <m/>
    <m/>
    <m/>
    <m/>
    <x v="0"/>
    <x v="0"/>
    <x v="0"/>
    <x v="8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m/>
    <s v="CP"/>
    <m/>
    <m/>
    <s v="CP "/>
    <x v="0"/>
    <x v="1"/>
    <m/>
    <x v="12"/>
  </r>
  <r>
    <n v="1019"/>
    <x v="86"/>
    <x v="86"/>
    <x v="78"/>
    <x v="1"/>
    <x v="11"/>
    <n v="996"/>
    <x v="1"/>
    <m/>
    <m/>
    <s v="Supplier"/>
    <m/>
    <x v="30"/>
    <s v="GCB_SEF_2012.xlsx"/>
    <s v=".xlsx"/>
    <d v="2014-03-24T00:00:00"/>
    <s v="as\afok"/>
    <m/>
    <s v="2012"/>
    <m/>
    <m/>
    <m/>
    <m/>
    <m/>
    <x v="0"/>
    <x v="0"/>
    <x v="0"/>
    <x v="5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m/>
    <s v="CP"/>
    <m/>
    <m/>
    <s v="CP "/>
    <x v="0"/>
    <x v="1"/>
    <m/>
    <x v="12"/>
  </r>
  <r>
    <n v="1015"/>
    <x v="86"/>
    <x v="86"/>
    <x v="78"/>
    <x v="1"/>
    <x v="11"/>
    <n v="992"/>
    <x v="2"/>
    <n v="1"/>
    <m/>
    <s v="Supplier"/>
    <m/>
    <x v="305"/>
    <s v="GCB_SIF 2013.xls"/>
    <s v=".xls"/>
    <d v="2014-03-24T00:00:00"/>
    <s v="as\afok"/>
    <m/>
    <s v="2013"/>
    <m/>
    <m/>
    <m/>
    <m/>
    <m/>
    <x v="0"/>
    <x v="0"/>
    <x v="0"/>
    <x v="0"/>
    <x v="2"/>
    <x v="78"/>
    <x v="91"/>
    <x v="86"/>
    <x v="76"/>
    <x v="30"/>
    <x v="0"/>
    <x v="0"/>
    <x v="0"/>
    <x v="0"/>
    <x v="0"/>
    <s v="CP Panel"/>
    <x v="0"/>
    <x v="0"/>
    <x v="1"/>
    <x v="1"/>
    <m/>
    <m/>
    <m/>
    <n v="0"/>
    <m/>
    <m/>
    <m/>
    <s v="CP"/>
    <m/>
    <m/>
    <s v="CP "/>
    <x v="2"/>
    <x v="1"/>
    <m/>
    <x v="12"/>
  </r>
  <r>
    <n v="1017"/>
    <x v="86"/>
    <x v="86"/>
    <x v="78"/>
    <x v="1"/>
    <x v="11"/>
    <n v="994"/>
    <x v="3"/>
    <m/>
    <m/>
    <s v="Supplier"/>
    <m/>
    <x v="222"/>
    <s v="GCB-SPR- Dec 2012.pptx"/>
    <s v=".pptx"/>
    <d v="2014-03-24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m/>
    <s v="CP"/>
    <m/>
    <m/>
    <s v="CP "/>
    <x v="0"/>
    <x v="1"/>
    <m/>
    <x v="12"/>
  </r>
  <r>
    <n v="2030"/>
    <x v="87"/>
    <x v="87"/>
    <x v="79"/>
    <x v="4"/>
    <x v="14"/>
    <n v="1973"/>
    <x v="7"/>
    <m/>
    <m/>
    <s v="Supplier"/>
    <m/>
    <x v="60"/>
    <s v="Global_Tat_Env_Declaration_30Mar2010.xls"/>
    <s v=".xls"/>
    <d v="2014-04-11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34"/>
  </r>
  <r>
    <n v="2031"/>
    <x v="87"/>
    <x v="87"/>
    <x v="79"/>
    <x v="4"/>
    <x v="14"/>
    <n v="1974"/>
    <x v="8"/>
    <m/>
    <m/>
    <s v="Supplier"/>
    <m/>
    <x v="264"/>
    <s v="Global_tat_Responsible_Purchasing_Charter_10Aug12.pdf"/>
    <s v=".pdf"/>
    <d v="2014-04-1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34"/>
  </r>
  <r>
    <n v="2032"/>
    <x v="87"/>
    <x v="87"/>
    <x v="79"/>
    <x v="4"/>
    <x v="14"/>
    <n v="1975"/>
    <x v="2"/>
    <m/>
    <m/>
    <s v="Supplier"/>
    <m/>
    <x v="453"/>
    <s v="Global Tat_SIF2013.xls"/>
    <s v=".xls"/>
    <d v="2014-04-11T00:00:00"/>
    <s v="as\afok"/>
    <m/>
    <s v="2013"/>
    <m/>
    <m/>
    <m/>
    <m/>
    <m/>
    <x v="0"/>
    <x v="0"/>
    <x v="0"/>
    <x v="0"/>
    <x v="2"/>
    <x v="79"/>
    <x v="92"/>
    <x v="68"/>
    <x v="77"/>
    <x v="74"/>
    <x v="9"/>
    <x v="15"/>
    <x v="6"/>
    <x v="31"/>
    <x v="29"/>
    <m/>
    <x v="0"/>
    <x v="0"/>
    <x v="0"/>
    <x v="0"/>
    <m/>
    <m/>
    <m/>
    <n v="0"/>
    <m/>
    <n v="1"/>
    <m/>
    <s v="CP"/>
    <m/>
    <m/>
    <s v="CP "/>
    <x v="2"/>
    <x v="1"/>
    <m/>
    <x v="34"/>
  </r>
  <r>
    <n v="833"/>
    <x v="88"/>
    <x v="88"/>
    <x v="80"/>
    <x v="1"/>
    <x v="1"/>
    <n v="811"/>
    <x v="8"/>
    <m/>
    <m/>
    <s v="Supplier"/>
    <m/>
    <x v="454"/>
    <s v="Gold_Tuning_Responsible Purchasing Charter_17sept2012.pdf"/>
    <s v=".pdf"/>
    <d v="2014-03-2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m/>
    <s v="CP"/>
    <m/>
    <m/>
    <s v="CP "/>
    <x v="0"/>
    <x v="1"/>
    <m/>
    <x v="9"/>
  </r>
  <r>
    <n v="831"/>
    <x v="88"/>
    <x v="88"/>
    <x v="80"/>
    <x v="1"/>
    <x v="1"/>
    <n v="809"/>
    <x v="1"/>
    <m/>
    <m/>
    <s v="Supplier"/>
    <m/>
    <x v="9"/>
    <s v="Gold Tuning SEF 2013 -Manufacturer-20130601-83.xlsx"/>
    <s v=".xlsx"/>
    <d v="2014-03-21T00:00:00"/>
    <s v="as\afok"/>
    <m/>
    <s v="2013"/>
    <m/>
    <m/>
    <m/>
    <m/>
    <m/>
    <x v="0"/>
    <x v="0"/>
    <x v="0"/>
    <x v="6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m/>
    <s v="CP"/>
    <m/>
    <m/>
    <s v="CP "/>
    <x v="0"/>
    <x v="1"/>
    <m/>
    <x v="9"/>
  </r>
  <r>
    <n v="832"/>
    <x v="88"/>
    <x v="88"/>
    <x v="80"/>
    <x v="1"/>
    <x v="1"/>
    <n v="810"/>
    <x v="1"/>
    <m/>
    <m/>
    <s v="Supplier"/>
    <m/>
    <x v="10"/>
    <s v="Gold Tuning_SEF_2012.xlsx"/>
    <s v=".xlsx"/>
    <d v="2014-03-21T00:00:00"/>
    <s v="as\afok"/>
    <m/>
    <s v="2012"/>
    <m/>
    <m/>
    <m/>
    <m/>
    <m/>
    <x v="0"/>
    <x v="0"/>
    <x v="0"/>
    <x v="17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m/>
    <s v="CP"/>
    <m/>
    <m/>
    <s v="CP "/>
    <x v="0"/>
    <x v="1"/>
    <m/>
    <x v="9"/>
  </r>
  <r>
    <n v="834"/>
    <x v="88"/>
    <x v="88"/>
    <x v="80"/>
    <x v="1"/>
    <x v="1"/>
    <n v="812"/>
    <x v="2"/>
    <n v="1"/>
    <m/>
    <s v="Supplier"/>
    <m/>
    <x v="455"/>
    <s v="Gold_Tuning_SIF_2009.pdf"/>
    <s v=".pdf"/>
    <d v="2014-03-21T00:00:00"/>
    <s v="as\afok"/>
    <m/>
    <s v="2009"/>
    <m/>
    <m/>
    <m/>
    <m/>
    <m/>
    <x v="0"/>
    <x v="0"/>
    <x v="0"/>
    <x v="0"/>
    <x v="4"/>
    <x v="39"/>
    <x v="93"/>
    <x v="87"/>
    <x v="0"/>
    <x v="0"/>
    <x v="34"/>
    <x v="54"/>
    <x v="47"/>
    <x v="0"/>
    <x v="0"/>
    <s v="CP Panel"/>
    <x v="0"/>
    <x v="0"/>
    <x v="1"/>
    <x v="1"/>
    <m/>
    <m/>
    <m/>
    <n v="0"/>
    <m/>
    <n v="1"/>
    <m/>
    <s v="CP"/>
    <m/>
    <m/>
    <s v="CP "/>
    <x v="2"/>
    <x v="1"/>
    <m/>
    <x v="9"/>
  </r>
  <r>
    <n v="829"/>
    <x v="88"/>
    <x v="88"/>
    <x v="80"/>
    <x v="1"/>
    <x v="1"/>
    <n v="807"/>
    <x v="3"/>
    <m/>
    <m/>
    <s v="Supplier"/>
    <m/>
    <x v="456"/>
    <s v="ECM SPR 2010.pptx"/>
    <s v=".pptx"/>
    <d v="2014-03-21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m/>
    <s v="CP"/>
    <m/>
    <m/>
    <s v="CP "/>
    <x v="0"/>
    <x v="1"/>
    <m/>
    <x v="9"/>
  </r>
  <r>
    <n v="830"/>
    <x v="88"/>
    <x v="88"/>
    <x v="80"/>
    <x v="1"/>
    <x v="1"/>
    <n v="808"/>
    <x v="18"/>
    <m/>
    <m/>
    <s v="Supplier"/>
    <m/>
    <x v="139"/>
    <s v="ECM_SSR_20130710.pptx"/>
    <s v=".pptx"/>
    <d v="2014-03-21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m/>
    <s v="CP"/>
    <m/>
    <m/>
    <s v="CP "/>
    <x v="0"/>
    <x v="1"/>
    <m/>
    <x v="9"/>
  </r>
  <r>
    <n v="2199"/>
    <x v="89"/>
    <x v="89"/>
    <x v="81"/>
    <x v="4"/>
    <x v="8"/>
    <n v="2142"/>
    <x v="4"/>
    <m/>
    <m/>
    <s v="Supplier"/>
    <m/>
    <x v="153"/>
    <s v="Sanwo_agreement_Revised_Sep2012.pdf"/>
    <s v=".pdf"/>
    <d v="2014-04-14T00:00:00"/>
    <s v="as\afok"/>
    <m/>
    <s v="V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m/>
    <m/>
    <m/>
    <s v="CP"/>
    <m/>
    <m/>
    <s v="CP "/>
    <x v="0"/>
    <x v="1"/>
    <m/>
    <x v="0"/>
  </r>
  <r>
    <n v="2204"/>
    <x v="89"/>
    <x v="89"/>
    <x v="81"/>
    <x v="4"/>
    <x v="8"/>
    <n v="2147"/>
    <x v="4"/>
    <m/>
    <m/>
    <s v="Supplier"/>
    <m/>
    <x v="398"/>
    <s v="Sanwo_agreement_Aug12.pdf"/>
    <s v=".pdf"/>
    <d v="2014-04-14T00:00:00"/>
    <s v="as\afok"/>
    <m/>
    <m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m/>
    <m/>
    <m/>
    <s v="CP"/>
    <m/>
    <m/>
    <s v="CP "/>
    <x v="0"/>
    <x v="1"/>
    <m/>
    <x v="0"/>
  </r>
  <r>
    <n v="2201"/>
    <x v="89"/>
    <x v="89"/>
    <x v="81"/>
    <x v="4"/>
    <x v="8"/>
    <n v="2144"/>
    <x v="5"/>
    <m/>
    <m/>
    <s v="Supplier"/>
    <m/>
    <x v="29"/>
    <s v="Sanwo_agreement_Revised_Sep2012.pdf"/>
    <s v=".pdf"/>
    <d v="2014-04-14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n v="1"/>
    <m/>
    <n v="1"/>
    <m/>
    <m/>
    <m/>
    <s v="CP"/>
    <m/>
    <m/>
    <s v="CP "/>
    <x v="0"/>
    <x v="1"/>
    <m/>
    <x v="0"/>
  </r>
  <r>
    <n v="2202"/>
    <x v="89"/>
    <x v="89"/>
    <x v="81"/>
    <x v="4"/>
    <x v="8"/>
    <n v="2145"/>
    <x v="6"/>
    <m/>
    <m/>
    <s v="Supplier"/>
    <m/>
    <x v="247"/>
    <s v="Sanwo_agreement_Revised_Sep2012.pdf"/>
    <s v=".pdf"/>
    <d v="2014-04-14T00:00:00"/>
    <s v="as\afok"/>
    <m/>
    <m/>
    <m/>
    <n v="4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n v="1"/>
    <n v="1"/>
    <m/>
    <m/>
    <m/>
    <s v="CP"/>
    <m/>
    <m/>
    <s v="CP "/>
    <x v="0"/>
    <x v="1"/>
    <m/>
    <x v="0"/>
  </r>
  <r>
    <n v="2203"/>
    <x v="89"/>
    <x v="89"/>
    <x v="81"/>
    <x v="4"/>
    <x v="8"/>
    <n v="2146"/>
    <x v="10"/>
    <m/>
    <m/>
    <s v="Supplier"/>
    <m/>
    <x v="457"/>
    <s v="Sanwo_agreement_Revised_Sep2012.pdf"/>
    <s v=".pdf"/>
    <d v="2014-04-1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0"/>
  </r>
  <r>
    <n v="2200"/>
    <x v="89"/>
    <x v="89"/>
    <x v="81"/>
    <x v="4"/>
    <x v="8"/>
    <n v="2143"/>
    <x v="7"/>
    <m/>
    <m/>
    <s v="Supplier"/>
    <m/>
    <x v="29"/>
    <s v="Sanwo_agreement_Revised_Sep2012.pdf"/>
    <s v=".pdf"/>
    <d v="2014-04-14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0"/>
  </r>
  <r>
    <n v="2195"/>
    <x v="89"/>
    <x v="89"/>
    <x v="81"/>
    <x v="4"/>
    <x v="8"/>
    <n v="2138"/>
    <x v="14"/>
    <m/>
    <m/>
    <s v="Supplier"/>
    <d v="2010-11-15T00:00:00"/>
    <x v="458"/>
    <s v="Goldric_ISO9001_ 16Jan2009.jpg"/>
    <s v=".jpg"/>
    <d v="2014-04-1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0"/>
  </r>
  <r>
    <n v="2196"/>
    <x v="89"/>
    <x v="89"/>
    <x v="81"/>
    <x v="4"/>
    <x v="8"/>
    <n v="2139"/>
    <x v="8"/>
    <m/>
    <m/>
    <s v="Supplier"/>
    <m/>
    <x v="247"/>
    <s v="Sanwo_Responsible_Purchasing_Charter_13Aug12.pdf"/>
    <s v=".pdf"/>
    <d v="2014-04-1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0"/>
  </r>
  <r>
    <n v="2198"/>
    <x v="89"/>
    <x v="89"/>
    <x v="81"/>
    <x v="4"/>
    <x v="8"/>
    <n v="2141"/>
    <x v="1"/>
    <m/>
    <m/>
    <s v="Supplier"/>
    <m/>
    <x v="202"/>
    <s v="SANWO_Supplier_Evaluation_Apr_2012.xlsx"/>
    <s v=".xlsx"/>
    <d v="2014-04-14T00:00:00"/>
    <s v="as\afok"/>
    <m/>
    <m/>
    <m/>
    <m/>
    <m/>
    <m/>
    <m/>
    <x v="0"/>
    <x v="0"/>
    <x v="0"/>
    <x v="17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0"/>
  </r>
  <r>
    <n v="2194"/>
    <x v="89"/>
    <x v="89"/>
    <x v="81"/>
    <x v="4"/>
    <x v="8"/>
    <n v="2137"/>
    <x v="2"/>
    <m/>
    <m/>
    <s v="Supplier"/>
    <m/>
    <x v="169"/>
    <s v="SANWO_SIF2013.xlsx"/>
    <s v=".xlsx"/>
    <d v="2014-04-14T00:00:00"/>
    <s v="as\afok"/>
    <m/>
    <s v="2013"/>
    <m/>
    <m/>
    <m/>
    <m/>
    <m/>
    <x v="0"/>
    <x v="0"/>
    <x v="0"/>
    <x v="0"/>
    <x v="2"/>
    <x v="80"/>
    <x v="94"/>
    <x v="88"/>
    <x v="78"/>
    <x v="75"/>
    <x v="5"/>
    <x v="55"/>
    <x v="48"/>
    <x v="10"/>
    <x v="38"/>
    <s v="CP Panel"/>
    <x v="0"/>
    <x v="0"/>
    <x v="1"/>
    <x v="3"/>
    <m/>
    <m/>
    <m/>
    <n v="1"/>
    <m/>
    <m/>
    <m/>
    <s v="CP"/>
    <m/>
    <m/>
    <s v="CP "/>
    <x v="2"/>
    <x v="1"/>
    <m/>
    <x v="0"/>
  </r>
  <r>
    <n v="2205"/>
    <x v="89"/>
    <x v="89"/>
    <x v="81"/>
    <x v="4"/>
    <x v="8"/>
    <n v="2148"/>
    <x v="2"/>
    <n v="1"/>
    <m/>
    <s v="Supplier"/>
    <m/>
    <x v="48"/>
    <s v="SANWO_SIF2012_20Apr12.xlsx"/>
    <s v=".xlsx"/>
    <d v="2014-04-14T00:00:00"/>
    <s v="as\afok"/>
    <m/>
    <s v="2012"/>
    <m/>
    <m/>
    <m/>
    <m/>
    <m/>
    <x v="0"/>
    <x v="0"/>
    <x v="0"/>
    <x v="0"/>
    <x v="1"/>
    <x v="81"/>
    <x v="95"/>
    <x v="89"/>
    <x v="79"/>
    <x v="4"/>
    <x v="5"/>
    <x v="56"/>
    <x v="49"/>
    <x v="9"/>
    <x v="7"/>
    <s v="CP Panel"/>
    <x v="0"/>
    <x v="0"/>
    <x v="1"/>
    <x v="3"/>
    <m/>
    <m/>
    <m/>
    <n v="1"/>
    <n v="1"/>
    <m/>
    <m/>
    <s v="CP"/>
    <m/>
    <m/>
    <s v="CP "/>
    <x v="2"/>
    <x v="1"/>
    <m/>
    <x v="0"/>
  </r>
  <r>
    <n v="2197"/>
    <x v="89"/>
    <x v="89"/>
    <x v="81"/>
    <x v="4"/>
    <x v="8"/>
    <n v="2140"/>
    <x v="3"/>
    <m/>
    <m/>
    <s v="Supplier"/>
    <m/>
    <x v="390"/>
    <s v="SANWO_SPR_11May12.pptx"/>
    <s v=".pptx"/>
    <d v="2014-04-14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0"/>
  </r>
  <r>
    <n v="2193"/>
    <x v="89"/>
    <x v="89"/>
    <x v="81"/>
    <x v="4"/>
    <x v="8"/>
    <n v="2136"/>
    <x v="3"/>
    <m/>
    <m/>
    <s v="Supplier"/>
    <m/>
    <x v="459"/>
    <s v="SPR_Sanwo_20131023.ppt"/>
    <s v=".ppt"/>
    <d v="2014-04-14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0"/>
  </r>
  <r>
    <n v="1265"/>
    <x v="90"/>
    <x v="90"/>
    <x v="82"/>
    <x v="2"/>
    <x v="2"/>
    <n v="1235"/>
    <x v="4"/>
    <m/>
    <m/>
    <s v="Supplier"/>
    <m/>
    <x v="460"/>
    <s v="GUANGLONG_General_agreement_FHA00016_Ind10 5Jan2012.pdf"/>
    <s v=".pdf"/>
    <d v="2014-03-28T00:00:00"/>
    <s v="as\afok"/>
    <m/>
    <s v="FHA 00 016 ind.10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m/>
    <s v="SP"/>
    <m/>
    <s v="FP SP "/>
    <x v="0"/>
    <x v="1"/>
    <m/>
    <x v="11"/>
  </r>
  <r>
    <n v="1268"/>
    <x v="90"/>
    <x v="90"/>
    <x v="82"/>
    <x v="2"/>
    <x v="2"/>
    <n v="1238"/>
    <x v="5"/>
    <m/>
    <m/>
    <s v="Supplier"/>
    <m/>
    <x v="176"/>
    <s v="GUANGLONG_General_agreement_FHA00016_Ind10 5Jan2012.pdf"/>
    <s v=".pdf"/>
    <d v="2014-03-28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m/>
    <s v="SP"/>
    <m/>
    <s v="FP SP "/>
    <x v="0"/>
    <x v="1"/>
    <m/>
    <x v="11"/>
  </r>
  <r>
    <n v="1267"/>
    <x v="90"/>
    <x v="90"/>
    <x v="82"/>
    <x v="2"/>
    <x v="2"/>
    <n v="1237"/>
    <x v="6"/>
    <m/>
    <m/>
    <s v="Supplier"/>
    <m/>
    <x v="176"/>
    <s v="GUANGLONG_General_agreement_FHA00016_Ind10 5Jan2012.pdf"/>
    <s v=".pdf"/>
    <d v="2014-03-28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m/>
    <s v="SP"/>
    <m/>
    <s v="FP SP "/>
    <x v="0"/>
    <x v="1"/>
    <m/>
    <x v="11"/>
  </r>
  <r>
    <n v="1269"/>
    <x v="90"/>
    <x v="90"/>
    <x v="82"/>
    <x v="2"/>
    <x v="2"/>
    <n v="1239"/>
    <x v="10"/>
    <m/>
    <m/>
    <s v="Supplier"/>
    <m/>
    <x v="461"/>
    <s v="GUANGLONG_General_agreement_FHA00016_Ind10 5Jan2012.pdf"/>
    <s v=".pdf"/>
    <d v="2014-03-2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11"/>
  </r>
  <r>
    <n v="1266"/>
    <x v="90"/>
    <x v="90"/>
    <x v="82"/>
    <x v="2"/>
    <x v="2"/>
    <n v="1236"/>
    <x v="7"/>
    <m/>
    <m/>
    <s v="Supplier"/>
    <m/>
    <x v="176"/>
    <s v="GUANGLONG_General_agreement_FHA00016_Ind10 5Jan2012.pdf"/>
    <s v=".pdf"/>
    <d v="2014-03-28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11"/>
  </r>
  <r>
    <n v="1262"/>
    <x v="90"/>
    <x v="90"/>
    <x v="82"/>
    <x v="2"/>
    <x v="2"/>
    <n v="1232"/>
    <x v="11"/>
    <m/>
    <m/>
    <s v="Supplier"/>
    <m/>
    <x v="462"/>
    <s v="Guanglong Exclusivity Summary 2011-12-12.xlsx"/>
    <s v=".xlsx"/>
    <d v="2014-03-28T00:00:00"/>
    <s v="as\afok"/>
    <s v="Exclusivity Summary 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11"/>
  </r>
  <r>
    <n v="1270"/>
    <x v="90"/>
    <x v="90"/>
    <x v="82"/>
    <x v="2"/>
    <x v="2"/>
    <n v="1240"/>
    <x v="11"/>
    <m/>
    <m/>
    <s v="Supplier"/>
    <m/>
    <x v="463"/>
    <s v="Guang Long_Exclusivity Agreement 20120103.pdf"/>
    <s v=".pdf"/>
    <d v="2014-03-28T00:00:00"/>
    <s v="as\afok"/>
    <m/>
    <s v="FRD 6E 030 ind.0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n v="1"/>
    <m/>
    <s v="FP"/>
    <m/>
    <s v="SP"/>
    <m/>
    <s v="FP SP "/>
    <x v="0"/>
    <x v="1"/>
    <m/>
    <x v="11"/>
  </r>
  <r>
    <n v="1264"/>
    <x v="90"/>
    <x v="90"/>
    <x v="82"/>
    <x v="2"/>
    <x v="2"/>
    <n v="1234"/>
    <x v="8"/>
    <m/>
    <m/>
    <s v="Supplier"/>
    <m/>
    <x v="176"/>
    <s v="Guanglong - Responsible Purchasing Charter (CH).pdf"/>
    <s v=".pdf"/>
    <d v="2014-03-28T00:00:00"/>
    <s v="as\afok"/>
    <s v="Chinese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11"/>
  </r>
  <r>
    <n v="1263"/>
    <x v="90"/>
    <x v="90"/>
    <x v="82"/>
    <x v="2"/>
    <x v="2"/>
    <n v="1233"/>
    <x v="8"/>
    <m/>
    <m/>
    <s v="Supplier"/>
    <m/>
    <x v="464"/>
    <s v="Guanglong - Responsible Purchasing Charter (ENG).pdf"/>
    <s v=".pdf"/>
    <d v="2014-03-28T00:00:00"/>
    <s v="as\afok"/>
    <s v="English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11"/>
  </r>
  <r>
    <n v="1261"/>
    <x v="90"/>
    <x v="90"/>
    <x v="82"/>
    <x v="2"/>
    <x v="2"/>
    <n v="1231"/>
    <x v="2"/>
    <m/>
    <m/>
    <s v="Supplier"/>
    <m/>
    <x v="465"/>
    <s v="Guanglong - SIF 2013.XLSX"/>
    <s v=".xlsx"/>
    <d v="2014-03-28T00:00:00"/>
    <s v="as\afok"/>
    <m/>
    <s v="2013"/>
    <m/>
    <m/>
    <m/>
    <m/>
    <m/>
    <x v="0"/>
    <x v="0"/>
    <x v="0"/>
    <x v="0"/>
    <x v="2"/>
    <x v="82"/>
    <x v="61"/>
    <x v="90"/>
    <x v="80"/>
    <x v="76"/>
    <x v="9"/>
    <x v="15"/>
    <x v="22"/>
    <x v="6"/>
    <x v="9"/>
    <m/>
    <x v="0"/>
    <x v="0"/>
    <x v="0"/>
    <x v="0"/>
    <m/>
    <m/>
    <m/>
    <n v="1"/>
    <m/>
    <m/>
    <s v="FP"/>
    <m/>
    <s v="SP"/>
    <m/>
    <s v="FP SP "/>
    <x v="3"/>
    <x v="1"/>
    <m/>
    <x v="11"/>
  </r>
  <r>
    <n v="1675"/>
    <x v="91"/>
    <x v="91"/>
    <x v="83"/>
    <x v="5"/>
    <x v="7"/>
    <n v="1634"/>
    <x v="7"/>
    <m/>
    <m/>
    <s v="Supplier"/>
    <m/>
    <x v="399"/>
    <s v="Guang_Yong_Env_Declaration_26Mar2010.xls"/>
    <s v=".xls"/>
    <d v="2014-04-07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s v="CP"/>
    <m/>
    <m/>
    <s v="CP "/>
    <x v="0"/>
    <x v="1"/>
    <m/>
    <x v="8"/>
  </r>
  <r>
    <n v="1672"/>
    <x v="91"/>
    <x v="91"/>
    <x v="83"/>
    <x v="5"/>
    <x v="7"/>
    <n v="1631"/>
    <x v="8"/>
    <m/>
    <m/>
    <s v="Supplier"/>
    <m/>
    <x v="77"/>
    <s v="Guangyong_Responsible Purchaser Charter_3Aug2012.pdf"/>
    <s v=".pdf"/>
    <d v="2014-04-0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1673"/>
    <x v="91"/>
    <x v="91"/>
    <x v="83"/>
    <x v="5"/>
    <x v="7"/>
    <n v="1632"/>
    <x v="1"/>
    <m/>
    <m/>
    <s v="Supplier"/>
    <m/>
    <x v="420"/>
    <s v="Guangyong_SEF_201206.xlsx"/>
    <s v=".xlsx"/>
    <d v="2014-04-07T00:00:00"/>
    <s v="as\afok"/>
    <m/>
    <s v="2012"/>
    <m/>
    <m/>
    <m/>
    <m/>
    <m/>
    <x v="0"/>
    <x v="0"/>
    <x v="0"/>
    <x v="9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1674"/>
    <x v="91"/>
    <x v="91"/>
    <x v="83"/>
    <x v="5"/>
    <x v="7"/>
    <n v="1633"/>
    <x v="2"/>
    <m/>
    <m/>
    <s v="Supplier"/>
    <m/>
    <x v="466"/>
    <s v="GUANG_YONG_SIF_2010.xls"/>
    <s v=".xls"/>
    <d v="2014-04-07T00:00:00"/>
    <s v="as\afok"/>
    <m/>
    <s v="2010"/>
    <m/>
    <m/>
    <m/>
    <m/>
    <m/>
    <x v="0"/>
    <x v="0"/>
    <x v="0"/>
    <x v="0"/>
    <x v="4"/>
    <x v="12"/>
    <x v="96"/>
    <x v="30"/>
    <x v="0"/>
    <x v="0"/>
    <x v="0"/>
    <x v="57"/>
    <x v="0"/>
    <x v="0"/>
    <x v="0"/>
    <m/>
    <x v="0"/>
    <x v="0"/>
    <x v="0"/>
    <x v="0"/>
    <m/>
    <m/>
    <m/>
    <n v="0"/>
    <m/>
    <m/>
    <m/>
    <s v="CP"/>
    <m/>
    <m/>
    <s v="CP "/>
    <x v="2"/>
    <x v="1"/>
    <m/>
    <x v="8"/>
  </r>
  <r>
    <n v="1431"/>
    <x v="92"/>
    <x v="92"/>
    <x v="84"/>
    <x v="5"/>
    <x v="12"/>
    <n v="1396"/>
    <x v="4"/>
    <m/>
    <m/>
    <s v="Supplier"/>
    <m/>
    <x v="406"/>
    <s v="Ningbo Gul Tz_Supply Agreement_25Jan2013.PDF"/>
    <s v=".pdf"/>
    <d v="2014-04-01T00:00:00"/>
    <s v="as\afok"/>
    <m/>
    <s v="V8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8"/>
    <n v="1"/>
    <m/>
    <m/>
    <n v="1"/>
    <m/>
    <m/>
    <m/>
    <s v="CP"/>
    <m/>
    <m/>
    <s v="CP "/>
    <x v="0"/>
    <x v="1"/>
    <m/>
    <x v="6"/>
  </r>
  <r>
    <n v="1430"/>
    <x v="92"/>
    <x v="92"/>
    <x v="84"/>
    <x v="5"/>
    <x v="12"/>
    <n v="1395"/>
    <x v="5"/>
    <m/>
    <m/>
    <s v="Supplier"/>
    <m/>
    <x v="406"/>
    <s v="Ningbo Gul Tz_Quality Appendix_25Jan2013.pdf"/>
    <s v=".pdf"/>
    <d v="2014-04-01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8"/>
    <m/>
    <n v="1"/>
    <m/>
    <n v="1"/>
    <m/>
    <m/>
    <m/>
    <s v="CP"/>
    <m/>
    <m/>
    <s v="CP "/>
    <x v="0"/>
    <x v="1"/>
    <m/>
    <x v="6"/>
  </r>
  <r>
    <n v="1434"/>
    <x v="92"/>
    <x v="92"/>
    <x v="84"/>
    <x v="5"/>
    <x v="12"/>
    <n v="1399"/>
    <x v="5"/>
    <m/>
    <m/>
    <s v="Supplier"/>
    <m/>
    <x v="467"/>
    <s v="Ningbo Gul Tz_Supply Agreement_25Jan2013.PDF"/>
    <s v=".pdf"/>
    <d v="2014-04-01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8"/>
    <m/>
    <n v="1"/>
    <m/>
    <n v="1"/>
    <m/>
    <m/>
    <m/>
    <s v="CP"/>
    <m/>
    <m/>
    <s v="CP "/>
    <x v="0"/>
    <x v="1"/>
    <m/>
    <x v="6"/>
  </r>
  <r>
    <n v="1437"/>
    <x v="92"/>
    <x v="92"/>
    <x v="84"/>
    <x v="5"/>
    <x v="12"/>
    <n v="1402"/>
    <x v="6"/>
    <m/>
    <m/>
    <s v="Supplier"/>
    <m/>
    <x v="468"/>
    <s v="Ningbo Gul Tz_Supply Chain Appendix V8_23Jul2013_(30d LT,3 percent).pdf"/>
    <s v=".pdf"/>
    <d v="2014-04-01T00:00:00"/>
    <s v="as\afok"/>
    <m/>
    <m/>
    <m/>
    <n v="30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8"/>
    <m/>
    <m/>
    <n v="1"/>
    <n v="1"/>
    <n v="1"/>
    <m/>
    <m/>
    <s v="CP"/>
    <m/>
    <m/>
    <s v="CP "/>
    <x v="0"/>
    <x v="1"/>
    <m/>
    <x v="6"/>
  </r>
  <r>
    <n v="1435"/>
    <x v="92"/>
    <x v="92"/>
    <x v="84"/>
    <x v="5"/>
    <x v="12"/>
    <n v="1400"/>
    <x v="6"/>
    <m/>
    <m/>
    <s v="Supplier"/>
    <m/>
    <x v="467"/>
    <s v="Ningbo Gul Tz_Supply Agreement_25Jan2013.PDF"/>
    <s v=".pdf"/>
    <d v="2014-04-01T00:00:00"/>
    <s v="as\afok"/>
    <m/>
    <m/>
    <m/>
    <n v="0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8"/>
    <m/>
    <m/>
    <n v="1"/>
    <n v="1"/>
    <m/>
    <m/>
    <m/>
    <s v="CP"/>
    <m/>
    <m/>
    <s v="CP "/>
    <x v="0"/>
    <x v="1"/>
    <m/>
    <x v="6"/>
  </r>
  <r>
    <n v="1429"/>
    <x v="92"/>
    <x v="92"/>
    <x v="84"/>
    <x v="5"/>
    <x v="12"/>
    <n v="1394"/>
    <x v="7"/>
    <m/>
    <m/>
    <s v="Supplier"/>
    <m/>
    <x v="469"/>
    <s v="Ningbo-Gul_Env_Declaration_19Jul2010.xls"/>
    <s v=".xls"/>
    <d v="2014-04-01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8"/>
    <m/>
    <m/>
    <m/>
    <n v="1"/>
    <m/>
    <m/>
    <m/>
    <s v="CP"/>
    <m/>
    <m/>
    <s v="CP "/>
    <x v="0"/>
    <x v="1"/>
    <m/>
    <x v="6"/>
  </r>
  <r>
    <n v="1433"/>
    <x v="92"/>
    <x v="92"/>
    <x v="84"/>
    <x v="5"/>
    <x v="12"/>
    <n v="1398"/>
    <x v="7"/>
    <m/>
    <m/>
    <s v="Supplier"/>
    <m/>
    <x v="406"/>
    <s v="Ningbo Gul Tz_Supply Agreement_25Jan2013.PDF"/>
    <s v=".pdf"/>
    <d v="2014-04-01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8"/>
    <m/>
    <m/>
    <m/>
    <n v="1"/>
    <m/>
    <m/>
    <m/>
    <s v="CP"/>
    <m/>
    <m/>
    <s v="CP "/>
    <x v="0"/>
    <x v="1"/>
    <m/>
    <x v="6"/>
  </r>
  <r>
    <n v="1426"/>
    <x v="92"/>
    <x v="92"/>
    <x v="84"/>
    <x v="5"/>
    <x v="12"/>
    <n v="1392"/>
    <x v="13"/>
    <m/>
    <m/>
    <s v="Supplier"/>
    <d v="2011-11-24T00:00:00"/>
    <x v="470"/>
    <s v="Ningbo-Gul_ISO14001_2011.pdf"/>
    <s v=".pdf"/>
    <d v="2014-04-0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8"/>
    <m/>
    <m/>
    <m/>
    <n v="1"/>
    <m/>
    <m/>
    <m/>
    <s v="CP"/>
    <m/>
    <m/>
    <s v="CP "/>
    <x v="0"/>
    <x v="1"/>
    <m/>
    <x v="6"/>
  </r>
  <r>
    <n v="1427"/>
    <x v="92"/>
    <x v="92"/>
    <x v="84"/>
    <x v="5"/>
    <x v="12"/>
    <n v="1393"/>
    <x v="14"/>
    <m/>
    <m/>
    <s v="Supplier"/>
    <d v="2010-11-15T00:00:00"/>
    <x v="471"/>
    <s v="Ningbo-Gul_ISO9001_2010.pdf"/>
    <s v=".pdf"/>
    <d v="2014-04-0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8"/>
    <m/>
    <m/>
    <m/>
    <n v="1"/>
    <m/>
    <m/>
    <m/>
    <s v="CP"/>
    <m/>
    <m/>
    <s v="CP "/>
    <x v="0"/>
    <x v="1"/>
    <m/>
    <x v="6"/>
  </r>
  <r>
    <n v="1425"/>
    <x v="92"/>
    <x v="92"/>
    <x v="84"/>
    <x v="5"/>
    <x v="12"/>
    <n v="1391"/>
    <x v="9"/>
    <m/>
    <m/>
    <s v="Supplier"/>
    <m/>
    <x v="424"/>
    <s v="LOC_Ningbo_Gul.pdf"/>
    <s v=".pdf"/>
    <d v="2014-04-0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8"/>
    <m/>
    <m/>
    <m/>
    <n v="1"/>
    <m/>
    <m/>
    <m/>
    <s v="CP"/>
    <m/>
    <m/>
    <s v="CP "/>
    <x v="0"/>
    <x v="1"/>
    <m/>
    <x v="6"/>
  </r>
  <r>
    <n v="1432"/>
    <x v="92"/>
    <x v="92"/>
    <x v="84"/>
    <x v="5"/>
    <x v="12"/>
    <n v="1397"/>
    <x v="8"/>
    <m/>
    <m/>
    <s v="Supplier"/>
    <m/>
    <x v="406"/>
    <s v="Ningbo Gul Tz_Supply Agreement_25Jan2013.PDF"/>
    <s v=".pdf"/>
    <d v="2014-04-0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8"/>
    <m/>
    <m/>
    <m/>
    <n v="1"/>
    <m/>
    <m/>
    <m/>
    <s v="CP"/>
    <m/>
    <m/>
    <s v="CP "/>
    <x v="0"/>
    <x v="1"/>
    <m/>
    <x v="6"/>
  </r>
  <r>
    <n v="1424"/>
    <x v="92"/>
    <x v="92"/>
    <x v="84"/>
    <x v="5"/>
    <x v="12"/>
    <n v="1390"/>
    <x v="8"/>
    <m/>
    <m/>
    <s v="Supplier"/>
    <m/>
    <x v="242"/>
    <s v="Ningbo-Gul_Responsible Purchaser Charter_14Sep2012.pdf"/>
    <s v=".pdf"/>
    <d v="2014-04-0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8"/>
    <m/>
    <m/>
    <m/>
    <n v="1"/>
    <m/>
    <m/>
    <m/>
    <s v="CP"/>
    <m/>
    <m/>
    <s v="CP "/>
    <x v="0"/>
    <x v="1"/>
    <m/>
    <x v="6"/>
  </r>
  <r>
    <n v="1423"/>
    <x v="92"/>
    <x v="92"/>
    <x v="84"/>
    <x v="5"/>
    <x v="12"/>
    <n v="1389"/>
    <x v="1"/>
    <m/>
    <m/>
    <s v="Supplier"/>
    <m/>
    <x v="135"/>
    <s v="GUL TZ_SEF_201207.xlsx"/>
    <s v=".xlsx"/>
    <d v="2014-04-01T00:00:00"/>
    <s v="as\afok"/>
    <m/>
    <s v="2012"/>
    <m/>
    <m/>
    <m/>
    <m/>
    <m/>
    <x v="0"/>
    <x v="0"/>
    <x v="0"/>
    <x v="17"/>
    <x v="0"/>
    <x v="0"/>
    <x v="0"/>
    <x v="0"/>
    <x v="0"/>
    <x v="0"/>
    <x v="0"/>
    <x v="0"/>
    <x v="0"/>
    <x v="0"/>
    <x v="0"/>
    <s v="CP Panel"/>
    <x v="0"/>
    <x v="0"/>
    <x v="1"/>
    <x v="8"/>
    <m/>
    <m/>
    <m/>
    <n v="1"/>
    <m/>
    <m/>
    <m/>
    <s v="CP"/>
    <m/>
    <m/>
    <s v="CP "/>
    <x v="0"/>
    <x v="1"/>
    <m/>
    <x v="6"/>
  </r>
  <r>
    <n v="1422"/>
    <x v="92"/>
    <x v="92"/>
    <x v="84"/>
    <x v="5"/>
    <x v="12"/>
    <n v="1388"/>
    <x v="2"/>
    <n v="1"/>
    <m/>
    <s v="Supplier"/>
    <m/>
    <x v="472"/>
    <s v="Ningbo_Gul_SIF_2010.xls"/>
    <s v=".xls"/>
    <d v="2014-04-01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8"/>
    <m/>
    <m/>
    <m/>
    <n v="1"/>
    <m/>
    <m/>
    <m/>
    <s v="CP"/>
    <m/>
    <m/>
    <s v="CP "/>
    <x v="2"/>
    <x v="1"/>
    <m/>
    <x v="6"/>
  </r>
  <r>
    <n v="1436"/>
    <x v="92"/>
    <x v="92"/>
    <x v="84"/>
    <x v="5"/>
    <x v="12"/>
    <n v="1401"/>
    <x v="3"/>
    <m/>
    <m/>
    <s v="Supplier"/>
    <m/>
    <x v="9"/>
    <s v="SPR 2013 Gul.pptx"/>
    <s v=".pptx"/>
    <d v="2014-04-01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8"/>
    <m/>
    <m/>
    <m/>
    <n v="1"/>
    <m/>
    <m/>
    <m/>
    <s v="CP"/>
    <m/>
    <m/>
    <s v="CP "/>
    <x v="0"/>
    <x v="1"/>
    <m/>
    <x v="6"/>
  </r>
  <r>
    <n v="1682"/>
    <x v="93"/>
    <x v="93"/>
    <x v="85"/>
    <x v="5"/>
    <x v="7"/>
    <n v="1641"/>
    <x v="4"/>
    <m/>
    <m/>
    <s v="Supplier"/>
    <m/>
    <x v="140"/>
    <s v="Donghai_General Agreement_23Apr12.pdf"/>
    <s v=".pdf"/>
    <d v="2014-04-07T00:00:00"/>
    <s v="as\afok"/>
    <m/>
    <s v="V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n v="1"/>
    <m/>
    <m/>
    <n v="1"/>
    <m/>
    <m/>
    <m/>
    <s v="CP"/>
    <m/>
    <m/>
    <s v="CP "/>
    <x v="0"/>
    <x v="1"/>
    <m/>
    <x v="26"/>
  </r>
  <r>
    <n v="1678"/>
    <x v="93"/>
    <x v="93"/>
    <x v="85"/>
    <x v="5"/>
    <x v="7"/>
    <n v="1637"/>
    <x v="5"/>
    <m/>
    <m/>
    <s v="Supplier"/>
    <m/>
    <x v="217"/>
    <s v="Donghai_Quality Appendix_23Apr2012.pdf"/>
    <s v=".pdf"/>
    <d v="2014-04-07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n v="1"/>
    <m/>
    <n v="1"/>
    <m/>
    <m/>
    <m/>
    <s v="CP"/>
    <m/>
    <m/>
    <s v="CP "/>
    <x v="0"/>
    <x v="1"/>
    <m/>
    <x v="26"/>
  </r>
  <r>
    <n v="1684"/>
    <x v="93"/>
    <x v="93"/>
    <x v="85"/>
    <x v="5"/>
    <x v="7"/>
    <n v="1643"/>
    <x v="5"/>
    <m/>
    <m/>
    <s v="Supplier"/>
    <m/>
    <x v="217"/>
    <s v="Donghai_General Agreement_23Apr12.pdf"/>
    <s v=".pdf"/>
    <d v="2014-04-07T00:00:00"/>
    <s v="as\afok"/>
    <m/>
    <s v="V4"/>
    <m/>
    <m/>
    <m/>
    <n v="10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n v="1"/>
    <m/>
    <n v="1"/>
    <m/>
    <m/>
    <m/>
    <s v="CP"/>
    <m/>
    <m/>
    <s v="CP "/>
    <x v="0"/>
    <x v="1"/>
    <m/>
    <x v="26"/>
  </r>
  <r>
    <n v="1683"/>
    <x v="93"/>
    <x v="93"/>
    <x v="85"/>
    <x v="5"/>
    <x v="7"/>
    <n v="1642"/>
    <x v="7"/>
    <m/>
    <m/>
    <s v="Supplier"/>
    <m/>
    <x v="140"/>
    <s v="Donghai_General Agreement_23Apr12.pdf"/>
    <s v=".pdf"/>
    <d v="2014-04-07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1"/>
    <m/>
    <m/>
    <m/>
    <s v="CP"/>
    <m/>
    <m/>
    <s v="CP "/>
    <x v="0"/>
    <x v="1"/>
    <m/>
    <x v="26"/>
  </r>
  <r>
    <n v="1679"/>
    <x v="93"/>
    <x v="93"/>
    <x v="85"/>
    <x v="5"/>
    <x v="7"/>
    <n v="1638"/>
    <x v="7"/>
    <m/>
    <m/>
    <s v="Supplier"/>
    <m/>
    <x v="140"/>
    <s v="Donghai_Env Declaration_23Apr2012.pdf"/>
    <s v=".pdf"/>
    <d v="2014-04-07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1"/>
    <m/>
    <m/>
    <m/>
    <s v="CP"/>
    <m/>
    <m/>
    <s v="CP "/>
    <x v="0"/>
    <x v="1"/>
    <m/>
    <x v="26"/>
  </r>
  <r>
    <n v="1686"/>
    <x v="93"/>
    <x v="93"/>
    <x v="85"/>
    <x v="5"/>
    <x v="7"/>
    <n v="1645"/>
    <x v="9"/>
    <m/>
    <m/>
    <s v="Supplier"/>
    <m/>
    <x v="473"/>
    <s v="LOC_Haiyan_Donghai_2011.pdf"/>
    <s v=".pdf"/>
    <d v="2014-04-0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1"/>
    <n v="1"/>
    <m/>
    <m/>
    <s v="CP"/>
    <m/>
    <m/>
    <s v="CP "/>
    <x v="0"/>
    <x v="1"/>
    <m/>
    <x v="26"/>
  </r>
  <r>
    <n v="1681"/>
    <x v="93"/>
    <x v="93"/>
    <x v="85"/>
    <x v="5"/>
    <x v="7"/>
    <n v="1640"/>
    <x v="8"/>
    <m/>
    <m/>
    <s v="Supplier"/>
    <m/>
    <x v="207"/>
    <s v="Donghai_Responsible Purchasing Charter_2Aug2012.pdf"/>
    <s v=".pdf"/>
    <d v="2014-04-0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1"/>
    <m/>
    <m/>
    <m/>
    <s v="CP"/>
    <m/>
    <m/>
    <s v="CP "/>
    <x v="0"/>
    <x v="1"/>
    <m/>
    <x v="26"/>
  </r>
  <r>
    <n v="1680"/>
    <x v="93"/>
    <x v="93"/>
    <x v="85"/>
    <x v="5"/>
    <x v="7"/>
    <n v="1639"/>
    <x v="1"/>
    <m/>
    <m/>
    <s v="Supplier"/>
    <m/>
    <x v="474"/>
    <s v="Donghai_SEF_2012Jun.xlsx"/>
    <s v=".xlsx"/>
    <d v="2014-04-07T00:00:00"/>
    <s v="as\afok"/>
    <m/>
    <s v="2012"/>
    <m/>
    <m/>
    <m/>
    <m/>
    <m/>
    <x v="0"/>
    <x v="0"/>
    <x v="0"/>
    <x v="28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1"/>
    <m/>
    <m/>
    <m/>
    <s v="CP"/>
    <m/>
    <m/>
    <s v="CP "/>
    <x v="0"/>
    <x v="1"/>
    <m/>
    <x v="26"/>
  </r>
  <r>
    <n v="1685"/>
    <x v="93"/>
    <x v="93"/>
    <x v="85"/>
    <x v="5"/>
    <x v="7"/>
    <n v="1644"/>
    <x v="2"/>
    <m/>
    <m/>
    <s v="Supplier"/>
    <m/>
    <x v="475"/>
    <s v="DONGHAI_SIF_8May2012.xls"/>
    <s v=".xls"/>
    <d v="2014-04-07T00:00:00"/>
    <s v="as\afok"/>
    <m/>
    <s v="2012"/>
    <m/>
    <m/>
    <m/>
    <m/>
    <m/>
    <x v="0"/>
    <x v="0"/>
    <x v="0"/>
    <x v="0"/>
    <x v="1"/>
    <x v="83"/>
    <x v="94"/>
    <x v="91"/>
    <x v="81"/>
    <x v="71"/>
    <x v="0"/>
    <x v="58"/>
    <x v="50"/>
    <x v="43"/>
    <x v="39"/>
    <s v="CP Panel"/>
    <x v="0"/>
    <x v="0"/>
    <x v="1"/>
    <x v="6"/>
    <m/>
    <m/>
    <m/>
    <n v="1"/>
    <m/>
    <m/>
    <m/>
    <s v="CP"/>
    <m/>
    <m/>
    <s v="CP "/>
    <x v="2"/>
    <x v="1"/>
    <m/>
    <x v="26"/>
  </r>
  <r>
    <n v="1676"/>
    <x v="93"/>
    <x v="93"/>
    <x v="85"/>
    <x v="5"/>
    <x v="7"/>
    <n v="1635"/>
    <x v="2"/>
    <n v="1"/>
    <m/>
    <s v="Supplier"/>
    <m/>
    <x v="215"/>
    <s v="Donghai_SIF_20140213.xlsx"/>
    <s v=".xlsx"/>
    <d v="2014-04-07T00:00:00"/>
    <s v="as\afok"/>
    <m/>
    <s v="2014"/>
    <m/>
    <m/>
    <m/>
    <m/>
    <m/>
    <x v="0"/>
    <x v="0"/>
    <x v="0"/>
    <x v="0"/>
    <x v="3"/>
    <x v="39"/>
    <x v="97"/>
    <x v="92"/>
    <x v="82"/>
    <x v="35"/>
    <x v="35"/>
    <x v="59"/>
    <x v="51"/>
    <x v="44"/>
    <x v="40"/>
    <s v="CP Panel"/>
    <x v="0"/>
    <x v="0"/>
    <x v="1"/>
    <x v="6"/>
    <m/>
    <m/>
    <m/>
    <n v="1"/>
    <m/>
    <m/>
    <m/>
    <s v="CP"/>
    <m/>
    <m/>
    <s v="CP "/>
    <x v="2"/>
    <x v="1"/>
    <m/>
    <x v="26"/>
  </r>
  <r>
    <n v="1677"/>
    <x v="93"/>
    <x v="93"/>
    <x v="85"/>
    <x v="5"/>
    <x v="7"/>
    <n v="1636"/>
    <x v="3"/>
    <m/>
    <m/>
    <s v="Supplier"/>
    <m/>
    <x v="138"/>
    <s v="Donghai_SPR_2013.ppt"/>
    <s v=".ppt"/>
    <d v="2014-04-07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1"/>
    <m/>
    <m/>
    <m/>
    <s v="CP"/>
    <m/>
    <m/>
    <s v="CP "/>
    <x v="0"/>
    <x v="1"/>
    <m/>
    <x v="26"/>
  </r>
  <r>
    <n v="1447"/>
    <x v="94"/>
    <x v="94"/>
    <x v="86"/>
    <x v="2"/>
    <x v="2"/>
    <n v="1244"/>
    <x v="11"/>
    <m/>
    <m/>
    <s v="Supplier"/>
    <m/>
    <x v="476"/>
    <s v="Hallsmart Exclusivity 2011-06-28.xlsx"/>
    <s v=".xlsx"/>
    <d v="2014-03-28T00:00:00"/>
    <s v="as\afok"/>
    <s v="Exclusivity Summary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s v="FP"/>
    <m/>
    <s v="SP"/>
    <s v="MOULD"/>
    <s v="FP SP MOULD "/>
    <x v="0"/>
    <x v="1"/>
    <m/>
    <x v="26"/>
  </r>
  <r>
    <n v="1275"/>
    <x v="94"/>
    <x v="94"/>
    <x v="86"/>
    <x v="2"/>
    <x v="2"/>
    <n v="1245"/>
    <x v="11"/>
    <m/>
    <m/>
    <s v="Product / Project"/>
    <m/>
    <x v="437"/>
    <s v="Hallsmart Lima Rice Cooker_EA_2012-02-06.pdf"/>
    <s v=".pdf"/>
    <d v="2014-03-28T00:00:00"/>
    <s v="as\afok"/>
    <m/>
    <m/>
    <m/>
    <m/>
    <m/>
    <m/>
    <s v="Lima Rice Cooker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6"/>
  </r>
  <r>
    <n v="1282"/>
    <x v="94"/>
    <x v="94"/>
    <x v="86"/>
    <x v="2"/>
    <x v="2"/>
    <n v="1252"/>
    <x v="0"/>
    <m/>
    <m/>
    <s v="Supplier"/>
    <m/>
    <x v="477"/>
    <s v="Hallsmart FRD00069 ind.04 20090427.pdf"/>
    <s v=".pdf"/>
    <d v="2014-03-28T00:00:00"/>
    <s v="as\afok"/>
    <m/>
    <s v="FRD 00 069 ind.04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6"/>
  </r>
  <r>
    <n v="1276"/>
    <x v="94"/>
    <x v="94"/>
    <x v="86"/>
    <x v="2"/>
    <x v="2"/>
    <n v="1246"/>
    <x v="12"/>
    <m/>
    <m/>
    <s v="Product / Project"/>
    <m/>
    <x v="437"/>
    <s v="Hallsmart Lima Rice Cooker_IP_2012-02-06.pdf"/>
    <s v=".pdf"/>
    <d v="2014-03-28T00:00:00"/>
    <s v="as\afok"/>
    <m/>
    <m/>
    <m/>
    <m/>
    <m/>
    <m/>
    <s v="Lima Rice Cooker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6"/>
  </r>
  <r>
    <n v="1279"/>
    <x v="94"/>
    <x v="94"/>
    <x v="86"/>
    <x v="2"/>
    <x v="2"/>
    <n v="1249"/>
    <x v="13"/>
    <m/>
    <m/>
    <s v="Supplier"/>
    <d v="2013-03-31T00:00:00"/>
    <x v="334"/>
    <s v="Hallsmart_ISO14001_27May2010_English.JPG"/>
    <s v=".jpg"/>
    <d v="2014-03-2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6"/>
  </r>
  <r>
    <n v="1278"/>
    <x v="94"/>
    <x v="94"/>
    <x v="86"/>
    <x v="2"/>
    <x v="2"/>
    <n v="1248"/>
    <x v="13"/>
    <m/>
    <m/>
    <s v="Supplier"/>
    <d v="2013-03-31T00:00:00"/>
    <x v="334"/>
    <s v="Hallsmart_ISO14001_27May2010_Chinese.JPG"/>
    <s v=".jpg"/>
    <d v="2014-03-28T00:00:00"/>
    <s v="as\afok"/>
    <s v="Chinese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6"/>
  </r>
  <r>
    <n v="1280"/>
    <x v="94"/>
    <x v="94"/>
    <x v="86"/>
    <x v="2"/>
    <x v="2"/>
    <n v="1250"/>
    <x v="8"/>
    <m/>
    <m/>
    <s v="Supplier"/>
    <m/>
    <x v="299"/>
    <s v="Hallsmart - Responsible Purchasing Charter.pdf"/>
    <s v=".pdf"/>
    <d v="2014-03-2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6"/>
  </r>
  <r>
    <n v="1281"/>
    <x v="94"/>
    <x v="94"/>
    <x v="86"/>
    <x v="2"/>
    <x v="2"/>
    <n v="1251"/>
    <x v="1"/>
    <m/>
    <m/>
    <s v="Supplier"/>
    <m/>
    <x v="72"/>
    <s v="SEF_Hallsmart_201206.xlsx"/>
    <s v=".xlsx"/>
    <d v="2014-03-28T00:00:00"/>
    <s v="as\afok"/>
    <m/>
    <s v="2012"/>
    <m/>
    <m/>
    <m/>
    <m/>
    <m/>
    <x v="0"/>
    <x v="0"/>
    <x v="0"/>
    <x v="11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6"/>
  </r>
  <r>
    <n v="1271"/>
    <x v="94"/>
    <x v="94"/>
    <x v="86"/>
    <x v="2"/>
    <x v="2"/>
    <n v="1241"/>
    <x v="1"/>
    <m/>
    <m/>
    <s v="Supplier"/>
    <m/>
    <x v="102"/>
    <s v="SEF 2013 - Hallsmart.xlsx"/>
    <s v=".xlsx"/>
    <d v="2014-03-28T00:00:00"/>
    <s v="as\afok"/>
    <m/>
    <s v="2013"/>
    <m/>
    <m/>
    <m/>
    <m/>
    <m/>
    <x v="0"/>
    <x v="0"/>
    <x v="0"/>
    <x v="3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6"/>
  </r>
  <r>
    <n v="1273"/>
    <x v="94"/>
    <x v="94"/>
    <x v="86"/>
    <x v="2"/>
    <x v="2"/>
    <n v="1243"/>
    <x v="2"/>
    <m/>
    <m/>
    <s v="Supplier"/>
    <m/>
    <x v="478"/>
    <s v="Hallsmart - SIF 2012.xls"/>
    <s v=".xls"/>
    <d v="2014-03-28T00:00:00"/>
    <s v="as\afok"/>
    <m/>
    <s v="2012"/>
    <m/>
    <m/>
    <m/>
    <m/>
    <m/>
    <x v="0"/>
    <x v="0"/>
    <x v="0"/>
    <x v="0"/>
    <x v="1"/>
    <x v="84"/>
    <x v="98"/>
    <x v="93"/>
    <x v="48"/>
    <x v="77"/>
    <x v="11"/>
    <x v="35"/>
    <x v="6"/>
    <x v="11"/>
    <x v="37"/>
    <m/>
    <x v="0"/>
    <x v="0"/>
    <x v="0"/>
    <x v="0"/>
    <m/>
    <m/>
    <m/>
    <n v="0"/>
    <m/>
    <m/>
    <s v="FP"/>
    <m/>
    <s v="SP"/>
    <s v="MOULD"/>
    <s v="FP SP MOULD "/>
    <x v="3"/>
    <x v="1"/>
    <m/>
    <x v="26"/>
  </r>
  <r>
    <n v="1272"/>
    <x v="94"/>
    <x v="94"/>
    <x v="86"/>
    <x v="2"/>
    <x v="2"/>
    <n v="1242"/>
    <x v="2"/>
    <m/>
    <m/>
    <s v="Supplier"/>
    <m/>
    <x v="479"/>
    <s v="Hallsmart - SIF 2013.xls"/>
    <s v=".xls"/>
    <d v="2014-03-28T00:00:00"/>
    <s v="as\afok"/>
    <m/>
    <s v="2013"/>
    <m/>
    <m/>
    <m/>
    <m/>
    <m/>
    <x v="0"/>
    <x v="0"/>
    <x v="0"/>
    <x v="0"/>
    <x v="2"/>
    <x v="84"/>
    <x v="99"/>
    <x v="94"/>
    <x v="83"/>
    <x v="13"/>
    <x v="0"/>
    <x v="19"/>
    <x v="52"/>
    <x v="31"/>
    <x v="41"/>
    <m/>
    <x v="0"/>
    <x v="0"/>
    <x v="0"/>
    <x v="0"/>
    <m/>
    <m/>
    <m/>
    <n v="0"/>
    <m/>
    <m/>
    <s v="FP"/>
    <m/>
    <s v="SP"/>
    <s v="MOULD"/>
    <s v="FP SP MOULD "/>
    <x v="3"/>
    <x v="1"/>
    <m/>
    <x v="26"/>
  </r>
  <r>
    <n v="1277"/>
    <x v="94"/>
    <x v="94"/>
    <x v="86"/>
    <x v="2"/>
    <x v="2"/>
    <n v="1247"/>
    <x v="3"/>
    <m/>
    <m/>
    <s v="Supplier"/>
    <m/>
    <x v="369"/>
    <s v="Hallsmart_SPR_201011.PPT"/>
    <s v=".ppt"/>
    <d v="2014-03-28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6"/>
  </r>
  <r>
    <n v="1786"/>
    <x v="95"/>
    <x v="95"/>
    <x v="87"/>
    <x v="0"/>
    <x v="18"/>
    <n v="1743"/>
    <x v="4"/>
    <m/>
    <m/>
    <s v="Supplier"/>
    <m/>
    <x v="186"/>
    <s v="HSH_General Agreement_16Feb2012.pdf"/>
    <s v=".pdf"/>
    <d v="2014-04-08T00:00:00"/>
    <s v="as\afok"/>
    <m/>
    <s v="FHA 00 016 ind.11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n v="1"/>
    <m/>
    <m/>
    <n v="1"/>
    <m/>
    <m/>
    <s v="FP"/>
    <m/>
    <s v="SP"/>
    <s v="MOULD"/>
    <s v="FP SP MOULD "/>
    <x v="0"/>
    <x v="1"/>
    <m/>
    <x v="10"/>
  </r>
  <r>
    <n v="1790"/>
    <x v="95"/>
    <x v="95"/>
    <x v="87"/>
    <x v="0"/>
    <x v="18"/>
    <n v="1747"/>
    <x v="5"/>
    <m/>
    <m/>
    <s v="Supplier"/>
    <m/>
    <x v="186"/>
    <s v="HSH_General Agreement_16Feb2012.pdf"/>
    <s v=".pdf"/>
    <d v="2014-04-08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n v="1"/>
    <m/>
    <n v="1"/>
    <m/>
    <m/>
    <s v="FP"/>
    <m/>
    <s v="SP"/>
    <s v="MOULD"/>
    <s v="FP SP MOULD "/>
    <x v="0"/>
    <x v="1"/>
    <m/>
    <x v="10"/>
  </r>
  <r>
    <n v="1789"/>
    <x v="95"/>
    <x v="95"/>
    <x v="87"/>
    <x v="0"/>
    <x v="18"/>
    <n v="1746"/>
    <x v="6"/>
    <m/>
    <m/>
    <s v="Supplier"/>
    <m/>
    <x v="186"/>
    <s v="HSH_General Agreement_16Feb2012.pdf"/>
    <s v=".pdf"/>
    <d v="2014-04-08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n v="1"/>
    <n v="1"/>
    <m/>
    <m/>
    <s v="FP"/>
    <m/>
    <s v="SP"/>
    <s v="MOULD"/>
    <s v="FP SP MOULD "/>
    <x v="0"/>
    <x v="1"/>
    <m/>
    <x v="10"/>
  </r>
  <r>
    <n v="1788"/>
    <x v="95"/>
    <x v="95"/>
    <x v="87"/>
    <x v="0"/>
    <x v="18"/>
    <n v="1745"/>
    <x v="10"/>
    <m/>
    <m/>
    <s v="Supplier"/>
    <m/>
    <x v="480"/>
    <s v="HSH_General Agreement_16Feb2012.pdf"/>
    <s v=".pdf"/>
    <d v="2014-04-0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1"/>
    <m/>
    <m/>
    <s v="FP"/>
    <m/>
    <s v="SP"/>
    <s v="MOULD"/>
    <s v="FP SP MOULD "/>
    <x v="0"/>
    <x v="1"/>
    <m/>
    <x v="10"/>
  </r>
  <r>
    <n v="1787"/>
    <x v="95"/>
    <x v="95"/>
    <x v="87"/>
    <x v="0"/>
    <x v="18"/>
    <n v="1744"/>
    <x v="7"/>
    <m/>
    <m/>
    <s v="Supplier"/>
    <m/>
    <x v="186"/>
    <s v="HSH_General Agreement_16Feb2012.pdf"/>
    <s v=".pdf"/>
    <d v="2014-04-08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1"/>
    <m/>
    <m/>
    <s v="FP"/>
    <m/>
    <s v="SP"/>
    <s v="MOULD"/>
    <s v="FP SP MOULD "/>
    <x v="0"/>
    <x v="1"/>
    <m/>
    <x v="10"/>
  </r>
  <r>
    <n v="1785"/>
    <x v="95"/>
    <x v="95"/>
    <x v="87"/>
    <x v="0"/>
    <x v="18"/>
    <n v="1742"/>
    <x v="8"/>
    <m/>
    <m/>
    <s v="Supplier"/>
    <m/>
    <x v="97"/>
    <s v="HSH_Responsible Purchasing Charter_24Sep12.pdf"/>
    <s v=".pdf"/>
    <d v="2014-04-0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1"/>
    <m/>
    <m/>
    <s v="FP"/>
    <m/>
    <s v="SP"/>
    <s v="MOULD"/>
    <s v="FP SP MOULD "/>
    <x v="0"/>
    <x v="1"/>
    <m/>
    <x v="10"/>
  </r>
  <r>
    <n v="1783"/>
    <x v="95"/>
    <x v="95"/>
    <x v="87"/>
    <x v="0"/>
    <x v="18"/>
    <n v="1740"/>
    <x v="1"/>
    <m/>
    <m/>
    <s v="Supplier"/>
    <m/>
    <x v="397"/>
    <s v="SEF HSH 2013.XLSX"/>
    <s v=".xlsx"/>
    <d v="2014-04-08T00:00:00"/>
    <s v="as\afok"/>
    <m/>
    <s v="2013"/>
    <m/>
    <m/>
    <m/>
    <m/>
    <m/>
    <x v="0"/>
    <x v="0"/>
    <x v="0"/>
    <x v="15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1"/>
    <m/>
    <m/>
    <s v="FP"/>
    <m/>
    <s v="SP"/>
    <s v="MOULD"/>
    <s v="FP SP MOULD "/>
    <x v="0"/>
    <x v="1"/>
    <m/>
    <x v="10"/>
  </r>
  <r>
    <n v="1784"/>
    <x v="95"/>
    <x v="95"/>
    <x v="87"/>
    <x v="0"/>
    <x v="18"/>
    <n v="1741"/>
    <x v="1"/>
    <m/>
    <m/>
    <s v="Supplier"/>
    <m/>
    <x v="112"/>
    <s v="SEF - HSH 2012 (update).XLSX"/>
    <s v=".xlsx"/>
    <d v="2014-04-08T00:00:00"/>
    <s v="as\afok"/>
    <m/>
    <s v="2012"/>
    <m/>
    <m/>
    <m/>
    <m/>
    <m/>
    <x v="0"/>
    <x v="0"/>
    <x v="0"/>
    <x v="28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1"/>
    <m/>
    <m/>
    <s v="FP"/>
    <m/>
    <s v="SP"/>
    <s v="MOULD"/>
    <s v="FP SP MOULD "/>
    <x v="0"/>
    <x v="1"/>
    <m/>
    <x v="10"/>
  </r>
  <r>
    <n v="1792"/>
    <x v="95"/>
    <x v="95"/>
    <x v="87"/>
    <x v="0"/>
    <x v="18"/>
    <n v="1749"/>
    <x v="2"/>
    <n v="1"/>
    <m/>
    <s v="Supplier"/>
    <m/>
    <x v="289"/>
    <s v="HSH_SIF 2013.xls"/>
    <s v=".xls"/>
    <d v="2014-04-08T00:00:00"/>
    <s v="as\afok"/>
    <m/>
    <s v="2013"/>
    <m/>
    <m/>
    <m/>
    <m/>
    <m/>
    <x v="0"/>
    <x v="0"/>
    <x v="0"/>
    <x v="0"/>
    <x v="2"/>
    <x v="85"/>
    <x v="100"/>
    <x v="67"/>
    <x v="84"/>
    <x v="13"/>
    <x v="0"/>
    <x v="0"/>
    <x v="0"/>
    <x v="0"/>
    <x v="0"/>
    <s v="FP panel"/>
    <x v="1"/>
    <x v="1"/>
    <x v="0"/>
    <x v="0"/>
    <m/>
    <m/>
    <m/>
    <n v="1"/>
    <n v="1"/>
    <m/>
    <s v="FP"/>
    <m/>
    <s v="SP"/>
    <s v="MOULD"/>
    <s v="FP SP MOULD "/>
    <x v="3"/>
    <x v="1"/>
    <m/>
    <x v="10"/>
  </r>
  <r>
    <n v="1791"/>
    <x v="95"/>
    <x v="95"/>
    <x v="87"/>
    <x v="0"/>
    <x v="18"/>
    <n v="1748"/>
    <x v="2"/>
    <m/>
    <m/>
    <s v="Supplier"/>
    <m/>
    <x v="106"/>
    <s v="HSH_SIF2011_27Feb12.xlsx"/>
    <s v=".xlsx"/>
    <d v="2014-04-08T00:00:00"/>
    <s v="as\afok"/>
    <m/>
    <s v="2011"/>
    <m/>
    <m/>
    <m/>
    <m/>
    <m/>
    <x v="0"/>
    <x v="0"/>
    <x v="0"/>
    <x v="0"/>
    <x v="1"/>
    <x v="86"/>
    <x v="101"/>
    <x v="82"/>
    <x v="48"/>
    <x v="46"/>
    <x v="9"/>
    <x v="0"/>
    <x v="0"/>
    <x v="0"/>
    <x v="0"/>
    <s v="FP panel"/>
    <x v="1"/>
    <x v="1"/>
    <x v="0"/>
    <x v="0"/>
    <m/>
    <m/>
    <m/>
    <n v="1"/>
    <m/>
    <m/>
    <s v="FP"/>
    <m/>
    <s v="SP"/>
    <s v="MOULD"/>
    <s v="FP SP MOULD "/>
    <x v="3"/>
    <x v="1"/>
    <m/>
    <x v="10"/>
  </r>
  <r>
    <n v="19"/>
    <x v="96"/>
    <x v="96"/>
    <x v="88"/>
    <x v="5"/>
    <x v="16"/>
    <n v="15"/>
    <x v="4"/>
    <m/>
    <m/>
    <s v="Supplier"/>
    <d v="2015-12-31T00:00:00"/>
    <x v="136"/>
    <s v="Hanool_General Agreement_17Dec12.pdf"/>
    <s v=".pdf"/>
    <d v="2014-03-04T00:00:00"/>
    <s v="as\afok"/>
    <m/>
    <m/>
    <s v="37D3 - Within 30 days Due net on Posting date 37D3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m/>
    <s v="SP"/>
    <m/>
    <s v="FP SP "/>
    <x v="0"/>
    <x v="1"/>
    <m/>
    <x v="5"/>
  </r>
  <r>
    <n v="317"/>
    <x v="96"/>
    <x v="96"/>
    <x v="88"/>
    <x v="5"/>
    <x v="16"/>
    <n v="304"/>
    <x v="5"/>
    <m/>
    <m/>
    <s v="Supplier"/>
    <m/>
    <x v="136"/>
    <s v="Hanool_Quality Agreement_17Dec12.pdf"/>
    <s v=".pdf"/>
    <d v="2014-03-14T00:00:00"/>
    <s v="as\afok"/>
    <m/>
    <m/>
    <m/>
    <m/>
    <m/>
    <n v="20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m/>
    <s v="SP"/>
    <m/>
    <s v="FP SP "/>
    <x v="0"/>
    <x v="1"/>
    <m/>
    <x v="5"/>
  </r>
  <r>
    <n v="316"/>
    <x v="96"/>
    <x v="96"/>
    <x v="88"/>
    <x v="5"/>
    <x v="16"/>
    <n v="303"/>
    <x v="6"/>
    <m/>
    <m/>
    <s v="Supplier"/>
    <m/>
    <x v="136"/>
    <s v="Hanool_Supplier Chain Agreement_17Dec12.pdf"/>
    <s v=".pdf"/>
    <d v="2014-03-14T00:00:00"/>
    <s v="as\afok"/>
    <m/>
    <m/>
    <m/>
    <n v="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m/>
    <s v="SP"/>
    <m/>
    <s v="FP SP "/>
    <x v="0"/>
    <x v="1"/>
    <m/>
    <x v="5"/>
  </r>
  <r>
    <n v="591"/>
    <x v="96"/>
    <x v="96"/>
    <x v="88"/>
    <x v="5"/>
    <x v="16"/>
    <n v="574"/>
    <x v="10"/>
    <m/>
    <m/>
    <s v="Supplier"/>
    <m/>
    <x v="136"/>
    <s v="Hanool_General Agreement_17Dec12.pdf"/>
    <s v=".pdf"/>
    <d v="2014-03-1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n v="1"/>
    <m/>
    <s v="FP"/>
    <m/>
    <s v="SP"/>
    <m/>
    <s v="FP SP "/>
    <x v="0"/>
    <x v="1"/>
    <m/>
    <x v="5"/>
  </r>
  <r>
    <n v="318"/>
    <x v="96"/>
    <x v="96"/>
    <x v="88"/>
    <x v="5"/>
    <x v="16"/>
    <n v="305"/>
    <x v="7"/>
    <m/>
    <m/>
    <s v="Supplier"/>
    <m/>
    <x v="136"/>
    <s v="Hanool_Env Declaration_17Dec12.pdf"/>
    <s v=".pdf"/>
    <d v="2014-03-14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5"/>
  </r>
  <r>
    <n v="319"/>
    <x v="96"/>
    <x v="96"/>
    <x v="88"/>
    <x v="5"/>
    <x v="16"/>
    <n v="306"/>
    <x v="11"/>
    <m/>
    <m/>
    <s v="Supplier"/>
    <m/>
    <x v="136"/>
    <s v="Hanool_Exclusivity Agreement_17Dec12.pdf"/>
    <s v=".pdf"/>
    <d v="2014-03-1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5"/>
  </r>
  <r>
    <n v="320"/>
    <x v="96"/>
    <x v="96"/>
    <x v="88"/>
    <x v="5"/>
    <x v="16"/>
    <n v="307"/>
    <x v="11"/>
    <m/>
    <m/>
    <s v="Supplier"/>
    <m/>
    <x v="481"/>
    <s v="Hanool_Exclusivity Summary 2012-12-28.xlsx"/>
    <s v=".xlsx"/>
    <d v="2014-03-14T00:00:00"/>
    <s v="as\afok"/>
    <s v="Exclusivity Summary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5"/>
  </r>
  <r>
    <n v="321"/>
    <x v="96"/>
    <x v="96"/>
    <x v="88"/>
    <x v="5"/>
    <x v="16"/>
    <n v="308"/>
    <x v="2"/>
    <m/>
    <m/>
    <s v="Supplier"/>
    <m/>
    <x v="285"/>
    <s v="Hanool_SIF_21Nov2012.pdf"/>
    <s v=".pdf"/>
    <d v="2014-03-14T00:00:00"/>
    <s v="as\afok"/>
    <m/>
    <s v="2012"/>
    <m/>
    <m/>
    <m/>
    <m/>
    <m/>
    <x v="0"/>
    <x v="0"/>
    <x v="0"/>
    <x v="0"/>
    <x v="1"/>
    <x v="0"/>
    <x v="102"/>
    <x v="95"/>
    <x v="85"/>
    <x v="78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3"/>
    <x v="1"/>
    <m/>
    <x v="5"/>
  </r>
  <r>
    <n v="2407"/>
    <x v="97"/>
    <x v="97"/>
    <x v="89"/>
    <x v="5"/>
    <x v="16"/>
    <n v="2348"/>
    <x v="8"/>
    <m/>
    <m/>
    <s v="Supplier"/>
    <m/>
    <x v="264"/>
    <s v="Heiger_Responsible Purchaser Charter_10Aug2012.pdf"/>
    <s v=".pdf"/>
    <d v="2014-04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s v="CP"/>
    <s v="SP"/>
    <m/>
    <s v="FP CP SP Both"/>
    <x v="0"/>
    <x v="1"/>
    <m/>
    <x v="30"/>
  </r>
  <r>
    <n v="2408"/>
    <x v="97"/>
    <x v="97"/>
    <x v="89"/>
    <x v="5"/>
    <x v="16"/>
    <n v="2349"/>
    <x v="1"/>
    <m/>
    <m/>
    <s v="Supplier"/>
    <m/>
    <x v="248"/>
    <s v="HEIGER_SEF_ 2012APR.xlsx"/>
    <s v=".xlsx"/>
    <d v="2014-04-17T00:00:00"/>
    <s v="as\afok"/>
    <m/>
    <s v="2012"/>
    <m/>
    <m/>
    <m/>
    <m/>
    <m/>
    <x v="0"/>
    <x v="0"/>
    <x v="0"/>
    <x v="37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s v="CP"/>
    <s v="SP"/>
    <m/>
    <s v="FP CP SP Both"/>
    <x v="0"/>
    <x v="1"/>
    <m/>
    <x v="30"/>
  </r>
  <r>
    <n v="2406"/>
    <x v="97"/>
    <x v="97"/>
    <x v="89"/>
    <x v="5"/>
    <x v="16"/>
    <n v="2347"/>
    <x v="2"/>
    <m/>
    <m/>
    <s v="Supplier"/>
    <m/>
    <x v="482"/>
    <s v="Heiger_SIF_5May2012.xlsx"/>
    <s v=".xlsx"/>
    <d v="2014-04-17T00:00:00"/>
    <s v="as\afok"/>
    <m/>
    <s v="2012"/>
    <m/>
    <m/>
    <m/>
    <m/>
    <m/>
    <x v="0"/>
    <x v="0"/>
    <x v="0"/>
    <x v="0"/>
    <x v="1"/>
    <x v="0"/>
    <x v="103"/>
    <x v="96"/>
    <x v="86"/>
    <x v="79"/>
    <x v="0"/>
    <x v="10"/>
    <x v="49"/>
    <x v="26"/>
    <x v="38"/>
    <m/>
    <x v="0"/>
    <x v="0"/>
    <x v="0"/>
    <x v="0"/>
    <m/>
    <m/>
    <m/>
    <n v="0"/>
    <m/>
    <m/>
    <s v="FP"/>
    <s v="CP"/>
    <s v="SP"/>
    <m/>
    <s v="FP CP SP Both"/>
    <x v="1"/>
    <x v="1"/>
    <m/>
    <x v="30"/>
  </r>
  <r>
    <n v="2409"/>
    <x v="97"/>
    <x v="97"/>
    <x v="89"/>
    <x v="5"/>
    <x v="16"/>
    <n v="2350"/>
    <x v="3"/>
    <m/>
    <m/>
    <s v="Supplier"/>
    <m/>
    <x v="91"/>
    <s v="SPR 2011 VPI visit HEIGER.pptx"/>
    <s v=".pptx"/>
    <d v="2014-04-17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s v="FP"/>
    <s v="CP"/>
    <s v="SP"/>
    <m/>
    <s v="FP CP SP Both"/>
    <x v="0"/>
    <x v="1"/>
    <m/>
    <x v="30"/>
  </r>
  <r>
    <n v="1687"/>
    <x v="98"/>
    <x v="98"/>
    <x v="90"/>
    <x v="5"/>
    <x v="7"/>
    <n v="1646"/>
    <x v="8"/>
    <m/>
    <m/>
    <s v="Supplier"/>
    <m/>
    <x v="134"/>
    <s v="Heishan_Responsible Purchasing Charter_20140228.pdf"/>
    <s v=".pdf"/>
    <d v="2014-04-0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1688"/>
    <x v="98"/>
    <x v="98"/>
    <x v="90"/>
    <x v="5"/>
    <x v="7"/>
    <n v="1647"/>
    <x v="1"/>
    <m/>
    <m/>
    <s v="Supplier"/>
    <m/>
    <x v="95"/>
    <s v="Heishan Supplier Evaluation 201112.xlsx"/>
    <s v=".xlsx"/>
    <d v="2014-04-07T00:00:00"/>
    <s v="as\afok"/>
    <m/>
    <s v="2011"/>
    <m/>
    <m/>
    <m/>
    <m/>
    <m/>
    <x v="0"/>
    <x v="0"/>
    <x v="0"/>
    <x v="1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1689"/>
    <x v="98"/>
    <x v="98"/>
    <x v="90"/>
    <x v="5"/>
    <x v="7"/>
    <n v="1648"/>
    <x v="2"/>
    <n v="1"/>
    <m/>
    <s v="Supplier"/>
    <m/>
    <x v="483"/>
    <s v="SIF_2010_ZIBO_HEISHAN_GLASS.xls"/>
    <s v=".xls"/>
    <d v="2014-04-07T00:00:00"/>
    <s v="as\afok"/>
    <m/>
    <s v="2010"/>
    <m/>
    <m/>
    <m/>
    <m/>
    <m/>
    <x v="0"/>
    <x v="0"/>
    <x v="0"/>
    <x v="0"/>
    <x v="4"/>
    <x v="87"/>
    <x v="104"/>
    <x v="30"/>
    <x v="0"/>
    <x v="0"/>
    <x v="0"/>
    <x v="24"/>
    <x v="0"/>
    <x v="0"/>
    <x v="0"/>
    <m/>
    <x v="0"/>
    <x v="0"/>
    <x v="0"/>
    <x v="0"/>
    <m/>
    <m/>
    <m/>
    <n v="0"/>
    <m/>
    <n v="1"/>
    <m/>
    <s v="CP"/>
    <m/>
    <m/>
    <s v="CP "/>
    <x v="2"/>
    <x v="1"/>
    <m/>
    <x v="8"/>
  </r>
  <r>
    <n v="2323"/>
    <x v="99"/>
    <x v="99"/>
    <x v="91"/>
    <x v="1"/>
    <x v="5"/>
    <n v="2264"/>
    <x v="7"/>
    <m/>
    <m/>
    <s v="Supplier"/>
    <m/>
    <x v="484"/>
    <s v="Hengda_Env_Declaration_26Feb2010.xlsx"/>
    <s v=".xlsx"/>
    <d v="2014-04-16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s v="CP"/>
    <m/>
    <m/>
    <s v="CP "/>
    <x v="0"/>
    <x v="1"/>
    <m/>
    <x v="11"/>
  </r>
  <r>
    <n v="2320"/>
    <x v="99"/>
    <x v="99"/>
    <x v="91"/>
    <x v="1"/>
    <x v="5"/>
    <n v="2261"/>
    <x v="8"/>
    <m/>
    <m/>
    <s v="Supplier"/>
    <m/>
    <x v="77"/>
    <s v="Hengda_Responsible_Purchasing_Charter_03Aug12.pdf"/>
    <s v=".pdf"/>
    <d v="2014-04-1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11"/>
  </r>
  <r>
    <n v="2319"/>
    <x v="99"/>
    <x v="99"/>
    <x v="91"/>
    <x v="1"/>
    <x v="5"/>
    <n v="2260"/>
    <x v="1"/>
    <m/>
    <m/>
    <s v="Supplier"/>
    <m/>
    <x v="78"/>
    <s v="Hengda_SEF_2012-2.xlsx"/>
    <s v=".xlsx"/>
    <d v="2014-04-16T00:00:00"/>
    <s v="as\afok"/>
    <m/>
    <s v="2012"/>
    <m/>
    <m/>
    <m/>
    <m/>
    <m/>
    <x v="0"/>
    <x v="0"/>
    <x v="0"/>
    <x v="1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11"/>
  </r>
  <r>
    <n v="2321"/>
    <x v="99"/>
    <x v="99"/>
    <x v="91"/>
    <x v="1"/>
    <x v="5"/>
    <n v="2262"/>
    <x v="1"/>
    <m/>
    <m/>
    <s v="Supplier"/>
    <m/>
    <x v="74"/>
    <s v="Hengda_SEF_2012-1.xlsx"/>
    <s v=".xlsx"/>
    <d v="2014-04-16T00:00:00"/>
    <s v="as\afok"/>
    <m/>
    <s v="2012"/>
    <m/>
    <m/>
    <m/>
    <m/>
    <m/>
    <x v="0"/>
    <x v="0"/>
    <x v="0"/>
    <x v="1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11"/>
  </r>
  <r>
    <n v="2322"/>
    <x v="99"/>
    <x v="99"/>
    <x v="91"/>
    <x v="1"/>
    <x v="5"/>
    <n v="2263"/>
    <x v="2"/>
    <m/>
    <m/>
    <s v="Supplier"/>
    <m/>
    <x v="485"/>
    <s v="HENGDA_SIF_2010.xls"/>
    <s v=".xls"/>
    <d v="2014-04-16T00:00:00"/>
    <s v="as\afok"/>
    <m/>
    <s v="2010"/>
    <m/>
    <m/>
    <m/>
    <m/>
    <m/>
    <x v="0"/>
    <x v="0"/>
    <x v="0"/>
    <x v="0"/>
    <x v="4"/>
    <x v="9"/>
    <x v="105"/>
    <x v="36"/>
    <x v="0"/>
    <x v="0"/>
    <x v="0"/>
    <x v="6"/>
    <x v="0"/>
    <x v="0"/>
    <x v="0"/>
    <m/>
    <x v="0"/>
    <x v="0"/>
    <x v="0"/>
    <x v="0"/>
    <m/>
    <m/>
    <m/>
    <n v="0"/>
    <m/>
    <m/>
    <m/>
    <s v="CP"/>
    <m/>
    <m/>
    <s v="CP "/>
    <x v="2"/>
    <x v="1"/>
    <m/>
    <x v="11"/>
  </r>
  <r>
    <n v="1454"/>
    <x v="100"/>
    <x v="100"/>
    <x v="92"/>
    <x v="5"/>
    <x v="12"/>
    <n v="1418"/>
    <x v="4"/>
    <m/>
    <m/>
    <s v="Supplier"/>
    <m/>
    <x v="486"/>
    <s v="Ningbo_Henghe_Purchase_Agreement_2009.pdf"/>
    <s v=".pdf"/>
    <d v="2014-04-02T00:00:00"/>
    <s v="as\afok"/>
    <m/>
    <s v="V5"/>
    <s v="37D6 - Within 60 days Due net on posting date 37D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m/>
    <m/>
    <m/>
    <s v="CP"/>
    <m/>
    <m/>
    <s v="CP "/>
    <x v="0"/>
    <x v="1"/>
    <m/>
    <x v="33"/>
  </r>
  <r>
    <n v="1448"/>
    <x v="100"/>
    <x v="100"/>
    <x v="92"/>
    <x v="5"/>
    <x v="12"/>
    <n v="1412"/>
    <x v="4"/>
    <m/>
    <m/>
    <s v="Supplier"/>
    <m/>
    <x v="8"/>
    <s v="Henghe_Supply Agreement_8Aug12.pdf"/>
    <s v=".pdf"/>
    <d v="2014-04-02T00:00:00"/>
    <s v="as\afok"/>
    <m/>
    <s v="V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m/>
    <m/>
    <m/>
    <s v="CP"/>
    <m/>
    <m/>
    <s v="CP "/>
    <x v="0"/>
    <x v="1"/>
    <m/>
    <x v="33"/>
  </r>
  <r>
    <n v="1442"/>
    <x v="100"/>
    <x v="100"/>
    <x v="92"/>
    <x v="5"/>
    <x v="12"/>
    <n v="1407"/>
    <x v="5"/>
    <m/>
    <m/>
    <s v="Supplier"/>
    <m/>
    <x v="299"/>
    <s v="Henghe_Quality Appendix_8Aug2012.pdf"/>
    <s v=".pdf"/>
    <d v="2014-04-02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n v="1"/>
    <m/>
    <n v="1"/>
    <m/>
    <m/>
    <m/>
    <s v="CP"/>
    <m/>
    <m/>
    <s v="CP "/>
    <x v="0"/>
    <x v="1"/>
    <m/>
    <x v="33"/>
  </r>
  <r>
    <n v="1455"/>
    <x v="100"/>
    <x v="100"/>
    <x v="92"/>
    <x v="5"/>
    <x v="12"/>
    <n v="1419"/>
    <x v="5"/>
    <m/>
    <m/>
    <s v="Supplier"/>
    <m/>
    <x v="487"/>
    <s v="Ningbo_Henghe_Purchase_Agreement_2009.pdf"/>
    <s v=".pdf"/>
    <d v="2014-04-02T00:00:00"/>
    <s v="as\afok"/>
    <m/>
    <s v="FHA 00 014 ind.07"/>
    <m/>
    <m/>
    <m/>
    <n v="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n v="1"/>
    <m/>
    <n v="1"/>
    <n v="1"/>
    <m/>
    <m/>
    <s v="CP"/>
    <m/>
    <m/>
    <s v="CP "/>
    <x v="0"/>
    <x v="1"/>
    <m/>
    <x v="33"/>
  </r>
  <r>
    <n v="1449"/>
    <x v="100"/>
    <x v="100"/>
    <x v="92"/>
    <x v="5"/>
    <x v="12"/>
    <n v="1413"/>
    <x v="5"/>
    <m/>
    <m/>
    <s v="Supplier"/>
    <m/>
    <x v="488"/>
    <s v="Henghe_Supply Agreement_8Aug12.pdf"/>
    <s v=".pdf"/>
    <d v="2014-04-02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n v="1"/>
    <m/>
    <n v="1"/>
    <m/>
    <m/>
    <m/>
    <s v="CP"/>
    <m/>
    <m/>
    <s v="CP "/>
    <x v="0"/>
    <x v="1"/>
    <m/>
    <x v="33"/>
  </r>
  <r>
    <n v="1439"/>
    <x v="100"/>
    <x v="100"/>
    <x v="92"/>
    <x v="5"/>
    <x v="12"/>
    <n v="1404"/>
    <x v="6"/>
    <m/>
    <m/>
    <s v="Supplier"/>
    <m/>
    <x v="489"/>
    <s v="Henghe_Supply Chain Appendix V10_27Sep2013 (35D LT 3percent).pdf"/>
    <s v=".pdf"/>
    <d v="2014-04-02T00:00:00"/>
    <s v="as\afok"/>
    <m/>
    <s v="V10"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n v="1"/>
    <n v="1"/>
    <m/>
    <m/>
    <m/>
    <s v="CP"/>
    <m/>
    <m/>
    <s v="CP "/>
    <x v="0"/>
    <x v="1"/>
    <m/>
    <x v="33"/>
  </r>
  <r>
    <n v="1443"/>
    <x v="100"/>
    <x v="100"/>
    <x v="92"/>
    <x v="5"/>
    <x v="12"/>
    <n v="1408"/>
    <x v="13"/>
    <m/>
    <m/>
    <s v="Supplier"/>
    <d v="2011-03-05T00:00:00"/>
    <x v="490"/>
    <s v="Ningbo_Henghe_ISO14001_30Mar2010.pdf"/>
    <s v=".pdf"/>
    <d v="2014-04-02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33"/>
  </r>
  <r>
    <n v="1441"/>
    <x v="100"/>
    <x v="100"/>
    <x v="92"/>
    <x v="5"/>
    <x v="12"/>
    <n v="1406"/>
    <x v="13"/>
    <m/>
    <m/>
    <s v="Supplier"/>
    <d v="2014-03-03T00:00:00"/>
    <x v="491"/>
    <s v="Henghe_ISO14001_3Mar2014.pdf"/>
    <s v=".pdf"/>
    <d v="2014-04-02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33"/>
  </r>
  <r>
    <n v="1446"/>
    <x v="100"/>
    <x v="100"/>
    <x v="92"/>
    <x v="5"/>
    <x v="12"/>
    <n v="1411"/>
    <x v="9"/>
    <m/>
    <m/>
    <s v="Product / Project"/>
    <m/>
    <x v="425"/>
    <s v="LOC_Henghe_Fresh2_Project.pdf"/>
    <s v=".pdf"/>
    <d v="2014-04-02T00:00:00"/>
    <s v="as\afok"/>
    <m/>
    <m/>
    <m/>
    <m/>
    <m/>
    <m/>
    <s v="Fresh2"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33"/>
  </r>
  <r>
    <n v="1444"/>
    <x v="100"/>
    <x v="100"/>
    <x v="92"/>
    <x v="5"/>
    <x v="12"/>
    <n v="1409"/>
    <x v="9"/>
    <m/>
    <m/>
    <s v="Supplier"/>
    <m/>
    <x v="424"/>
    <s v="LOC_Henghe.pdf"/>
    <s v=".pdf"/>
    <d v="2014-04-02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33"/>
  </r>
  <r>
    <n v="1453"/>
    <x v="100"/>
    <x v="100"/>
    <x v="92"/>
    <x v="5"/>
    <x v="12"/>
    <n v="1417"/>
    <x v="9"/>
    <m/>
    <m/>
    <s v="Product / Project"/>
    <m/>
    <x v="425"/>
    <s v="LOC_Henghe_Rome Tokyo_Project.pdf"/>
    <s v=".pdf"/>
    <d v="2014-04-02T00:00:00"/>
    <s v="as\afok"/>
    <m/>
    <m/>
    <m/>
    <m/>
    <m/>
    <m/>
    <s v="Rome Tokyo"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33"/>
  </r>
  <r>
    <n v="1445"/>
    <x v="100"/>
    <x v="100"/>
    <x v="92"/>
    <x v="5"/>
    <x v="12"/>
    <n v="1410"/>
    <x v="9"/>
    <m/>
    <m/>
    <s v="Product / Project"/>
    <m/>
    <x v="426"/>
    <s v="LOC_Henghe_(Nara_project).pdf"/>
    <s v=".pdf"/>
    <d v="2014-04-02T00:00:00"/>
    <s v="as\afok"/>
    <m/>
    <m/>
    <m/>
    <m/>
    <m/>
    <m/>
    <s v="Nara project"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33"/>
  </r>
  <r>
    <n v="1451"/>
    <x v="100"/>
    <x v="100"/>
    <x v="92"/>
    <x v="5"/>
    <x v="12"/>
    <n v="1415"/>
    <x v="8"/>
    <m/>
    <m/>
    <s v="Supplier"/>
    <m/>
    <x v="93"/>
    <s v="Henghe_Responsible Purchasing Charter_9Aug2012.pdf"/>
    <s v=".pdf"/>
    <d v="2014-04-02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33"/>
  </r>
  <r>
    <n v="1450"/>
    <x v="100"/>
    <x v="100"/>
    <x v="92"/>
    <x v="5"/>
    <x v="12"/>
    <n v="1414"/>
    <x v="1"/>
    <m/>
    <m/>
    <s v="Supplier"/>
    <m/>
    <x v="135"/>
    <s v="Henghe_SEF_2012Jun.xlsx"/>
    <s v=".xlsx"/>
    <d v="2014-04-02T00:00:00"/>
    <s v="as\afok"/>
    <m/>
    <s v="2012"/>
    <m/>
    <m/>
    <m/>
    <m/>
    <m/>
    <x v="0"/>
    <x v="0"/>
    <x v="0"/>
    <x v="27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33"/>
  </r>
  <r>
    <n v="1440"/>
    <x v="100"/>
    <x v="100"/>
    <x v="92"/>
    <x v="5"/>
    <x v="12"/>
    <n v="1405"/>
    <x v="2"/>
    <m/>
    <m/>
    <s v="Supplier"/>
    <m/>
    <x v="492"/>
    <s v="Henghe_SIF_20130614.XLSX"/>
    <s v=".xlsx"/>
    <d v="2014-04-02T00:00:00"/>
    <s v="as\afok"/>
    <m/>
    <s v="2013"/>
    <m/>
    <m/>
    <m/>
    <m/>
    <m/>
    <x v="0"/>
    <x v="0"/>
    <x v="0"/>
    <x v="0"/>
    <x v="2"/>
    <x v="88"/>
    <x v="106"/>
    <x v="97"/>
    <x v="87"/>
    <x v="80"/>
    <x v="0"/>
    <x v="60"/>
    <x v="53"/>
    <x v="45"/>
    <x v="42"/>
    <s v="CP Panel"/>
    <x v="0"/>
    <x v="0"/>
    <x v="1"/>
    <x v="3"/>
    <m/>
    <m/>
    <m/>
    <n v="1"/>
    <m/>
    <m/>
    <m/>
    <s v="CP"/>
    <m/>
    <m/>
    <s v="CP "/>
    <x v="2"/>
    <x v="1"/>
    <m/>
    <x v="33"/>
  </r>
  <r>
    <n v="1452"/>
    <x v="100"/>
    <x v="100"/>
    <x v="92"/>
    <x v="5"/>
    <x v="12"/>
    <n v="1416"/>
    <x v="3"/>
    <m/>
    <m/>
    <s v="Supplier"/>
    <m/>
    <x v="47"/>
    <s v="SPR 2012 Henghe.pptx"/>
    <s v=".pptx"/>
    <d v="2014-04-02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33"/>
  </r>
  <r>
    <n v="1438"/>
    <x v="100"/>
    <x v="100"/>
    <x v="92"/>
    <x v="5"/>
    <x v="12"/>
    <n v="1403"/>
    <x v="3"/>
    <m/>
    <m/>
    <s v="Supplier"/>
    <m/>
    <x v="493"/>
    <s v="SPR 2013 Henghe.pptx"/>
    <s v=".pptx"/>
    <d v="2014-04-02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33"/>
  </r>
  <r>
    <n v="1844"/>
    <x v="101"/>
    <x v="101"/>
    <x v="93"/>
    <x v="4"/>
    <x v="17"/>
    <n v="1801"/>
    <x v="4"/>
    <m/>
    <m/>
    <s v="Supplier"/>
    <m/>
    <x v="248"/>
    <s v="Agreement_Hensen_APR12.pdf"/>
    <s v=".pdf"/>
    <d v="2014-04-09T00:00:00"/>
    <s v="as\afok"/>
    <m/>
    <s v="V7"/>
    <s v="37E7 - 75 days end of month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s v="CP"/>
    <m/>
    <m/>
    <s v="FP CP Both"/>
    <x v="0"/>
    <x v="1"/>
    <m/>
    <x v="35"/>
  </r>
  <r>
    <n v="1852"/>
    <x v="101"/>
    <x v="101"/>
    <x v="93"/>
    <x v="4"/>
    <x v="17"/>
    <n v="1808"/>
    <x v="4"/>
    <m/>
    <m/>
    <s v="Supplier"/>
    <m/>
    <x v="494"/>
    <s v="Henda_Purchase_Agreement_2008.pdf"/>
    <s v=".pdf"/>
    <d v="2014-04-09T00:00:00"/>
    <s v="as\afok"/>
    <m/>
    <s v="V5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s v="CP"/>
    <m/>
    <m/>
    <s v="FP CP Both"/>
    <x v="0"/>
    <x v="1"/>
    <m/>
    <x v="35"/>
  </r>
  <r>
    <n v="1853"/>
    <x v="101"/>
    <x v="101"/>
    <x v="93"/>
    <x v="4"/>
    <x v="17"/>
    <n v="1809"/>
    <x v="5"/>
    <m/>
    <m/>
    <s v="Supplier"/>
    <m/>
    <x v="262"/>
    <s v="Henda_Purchase_Agreement_2008.pdf"/>
    <s v=".pdf"/>
    <d v="2014-04-09T00:00:00"/>
    <s v="as\afok"/>
    <m/>
    <s v="FHA 00 014 ind.07"/>
    <m/>
    <m/>
    <m/>
    <n v="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n v="1"/>
    <m/>
    <s v="FP"/>
    <s v="CP"/>
    <m/>
    <m/>
    <s v="FP CP Both"/>
    <x v="0"/>
    <x v="1"/>
    <m/>
    <x v="35"/>
  </r>
  <r>
    <n v="1846"/>
    <x v="101"/>
    <x v="101"/>
    <x v="93"/>
    <x v="4"/>
    <x v="17"/>
    <n v="1803"/>
    <x v="5"/>
    <m/>
    <m/>
    <s v="Supplier"/>
    <m/>
    <x v="495"/>
    <s v="Agreement_Hensen_APR12.pdf"/>
    <s v=".pdf"/>
    <d v="2014-04-09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s v="CP"/>
    <m/>
    <m/>
    <s v="FP CP Both"/>
    <x v="0"/>
    <x v="1"/>
    <m/>
    <x v="35"/>
  </r>
  <r>
    <n v="1847"/>
    <x v="101"/>
    <x v="101"/>
    <x v="93"/>
    <x v="4"/>
    <x v="17"/>
    <n v="1804"/>
    <x v="6"/>
    <m/>
    <m/>
    <s v="Supplier"/>
    <m/>
    <x v="495"/>
    <s v="Agreement_Hensen_APR12.pdf"/>
    <s v=".pdf"/>
    <d v="2014-04-09T00:00:00"/>
    <s v="as\afok"/>
    <m/>
    <m/>
    <m/>
    <n v="45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s v="CP"/>
    <m/>
    <m/>
    <s v="FP CP Both"/>
    <x v="0"/>
    <x v="1"/>
    <m/>
    <x v="35"/>
  </r>
  <r>
    <n v="1848"/>
    <x v="101"/>
    <x v="101"/>
    <x v="93"/>
    <x v="4"/>
    <x v="17"/>
    <n v="1805"/>
    <x v="10"/>
    <m/>
    <m/>
    <s v="Supplier"/>
    <m/>
    <x v="496"/>
    <s v="Agreement_Hensen_APR12.pdf"/>
    <s v=".pdf"/>
    <d v="2014-04-0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m/>
    <m/>
    <s v="FP CP Both"/>
    <x v="0"/>
    <x v="1"/>
    <m/>
    <x v="35"/>
  </r>
  <r>
    <n v="1845"/>
    <x v="101"/>
    <x v="101"/>
    <x v="93"/>
    <x v="4"/>
    <x v="17"/>
    <n v="1802"/>
    <x v="7"/>
    <m/>
    <m/>
    <s v="Supplier"/>
    <m/>
    <x v="248"/>
    <s v="Agreement_Hensen_APR12.pdf"/>
    <s v=".pdf"/>
    <d v="2014-04-09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m/>
    <m/>
    <s v="FP CP Both"/>
    <x v="0"/>
    <x v="1"/>
    <m/>
    <x v="35"/>
  </r>
  <r>
    <n v="1849"/>
    <x v="101"/>
    <x v="101"/>
    <x v="93"/>
    <x v="4"/>
    <x v="17"/>
    <n v="1799"/>
    <x v="7"/>
    <m/>
    <m/>
    <s v="Supplier"/>
    <m/>
    <x v="90"/>
    <s v="SUQIAN HENSEN_Env_Declaration_201106.xlsx"/>
    <s v=".xlsx"/>
    <d v="2014-04-09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m/>
    <m/>
    <s v="FP CP Both"/>
    <x v="0"/>
    <x v="1"/>
    <m/>
    <x v="35"/>
  </r>
  <r>
    <n v="1843"/>
    <x v="101"/>
    <x v="101"/>
    <x v="93"/>
    <x v="4"/>
    <x v="17"/>
    <n v="1800"/>
    <x v="8"/>
    <m/>
    <m/>
    <s v="Supplier"/>
    <m/>
    <x v="19"/>
    <s v="HENSEN_Responsible_Purchasing_Charter_07Aug12.pdf"/>
    <s v=".pdf"/>
    <d v="2014-04-0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m/>
    <m/>
    <s v="FP CP Both"/>
    <x v="0"/>
    <x v="1"/>
    <m/>
    <x v="35"/>
  </r>
  <r>
    <n v="1841"/>
    <x v="101"/>
    <x v="101"/>
    <x v="93"/>
    <x v="4"/>
    <x v="17"/>
    <n v="1798"/>
    <x v="1"/>
    <m/>
    <m/>
    <s v="Supplier"/>
    <m/>
    <x v="497"/>
    <s v="SEF-Hensen-20121119-74.xls"/>
    <s v=".xls"/>
    <d v="2014-04-09T00:00:00"/>
    <s v="as\afok"/>
    <m/>
    <s v="2012"/>
    <m/>
    <m/>
    <m/>
    <m/>
    <m/>
    <x v="0"/>
    <x v="0"/>
    <x v="0"/>
    <x v="27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m/>
    <m/>
    <s v="FP CP Both"/>
    <x v="0"/>
    <x v="1"/>
    <m/>
    <x v="35"/>
  </r>
  <r>
    <n v="1850"/>
    <x v="101"/>
    <x v="101"/>
    <x v="93"/>
    <x v="4"/>
    <x v="17"/>
    <n v="1806"/>
    <x v="1"/>
    <m/>
    <m/>
    <s v="Supplier"/>
    <m/>
    <x v="428"/>
    <s v="SEF-Hensen-28JUN2012-77.xls"/>
    <s v=".xls"/>
    <d v="2014-04-09T00:00:00"/>
    <s v="as\afok"/>
    <m/>
    <s v="2012"/>
    <m/>
    <m/>
    <m/>
    <m/>
    <m/>
    <x v="0"/>
    <x v="0"/>
    <x v="0"/>
    <x v="19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m/>
    <m/>
    <s v="FP CP Both"/>
    <x v="0"/>
    <x v="1"/>
    <m/>
    <x v="35"/>
  </r>
  <r>
    <n v="1840"/>
    <x v="101"/>
    <x v="101"/>
    <x v="93"/>
    <x v="4"/>
    <x v="17"/>
    <n v="1797"/>
    <x v="2"/>
    <n v="1"/>
    <m/>
    <s v="Supplier"/>
    <m/>
    <x v="21"/>
    <s v="Hensen_SIF2013.xls"/>
    <s v=".xls"/>
    <d v="2014-04-09T00:00:00"/>
    <s v="as\afok"/>
    <m/>
    <s v="2013"/>
    <m/>
    <m/>
    <m/>
    <m/>
    <m/>
    <x v="0"/>
    <x v="0"/>
    <x v="0"/>
    <x v="0"/>
    <x v="2"/>
    <x v="0"/>
    <x v="107"/>
    <x v="98"/>
    <x v="64"/>
    <x v="81"/>
    <x v="0"/>
    <x v="61"/>
    <x v="54"/>
    <x v="46"/>
    <x v="43"/>
    <m/>
    <x v="0"/>
    <x v="0"/>
    <x v="0"/>
    <x v="0"/>
    <m/>
    <m/>
    <m/>
    <n v="1"/>
    <m/>
    <m/>
    <s v="FP"/>
    <s v="CP"/>
    <m/>
    <m/>
    <s v="FP CP Both"/>
    <x v="1"/>
    <x v="1"/>
    <m/>
    <x v="35"/>
  </r>
  <r>
    <n v="1851"/>
    <x v="101"/>
    <x v="101"/>
    <x v="93"/>
    <x v="4"/>
    <x v="17"/>
    <n v="1807"/>
    <x v="3"/>
    <m/>
    <m/>
    <s v="Supplier"/>
    <m/>
    <x v="367"/>
    <s v="SPR-Hensen-03JUL2012.pdf"/>
    <s v=".pdf"/>
    <d v="2014-04-09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m/>
    <m/>
    <s v="FP CP Both"/>
    <x v="0"/>
    <x v="1"/>
    <m/>
    <x v="35"/>
  </r>
  <r>
    <n v="2331"/>
    <x v="102"/>
    <x v="102"/>
    <x v="94"/>
    <x v="1"/>
    <x v="5"/>
    <n v="2272"/>
    <x v="5"/>
    <m/>
    <m/>
    <s v="Supplier"/>
    <m/>
    <x v="498"/>
    <s v="Hi-Tech_Precision_Quality Appendix_06mar2013.pdf"/>
    <s v=".pdf"/>
    <d v="2014-04-16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0"/>
    <m/>
    <n v="1"/>
    <m/>
    <s v="CP"/>
    <m/>
    <m/>
    <s v="CP "/>
    <x v="0"/>
    <x v="1"/>
    <m/>
    <x v="36"/>
  </r>
  <r>
    <n v="2326"/>
    <x v="102"/>
    <x v="102"/>
    <x v="94"/>
    <x v="1"/>
    <x v="5"/>
    <n v="2267"/>
    <x v="13"/>
    <m/>
    <m/>
    <s v="Supplier"/>
    <d v="2012-03-22T00:00:00"/>
    <x v="499"/>
    <s v="HI-TECH_ISO14001_18May2010.jpg"/>
    <s v=".jpg"/>
    <d v="2014-04-1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36"/>
  </r>
  <r>
    <n v="2325"/>
    <x v="102"/>
    <x v="102"/>
    <x v="94"/>
    <x v="1"/>
    <x v="5"/>
    <n v="2266"/>
    <x v="14"/>
    <m/>
    <m/>
    <s v="Supplier"/>
    <d v="2010-04-19T00:00:00"/>
    <x v="500"/>
    <s v="HI-TECH_ISO9001_18May2010.jpg"/>
    <s v=".jpg"/>
    <d v="2014-04-1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36"/>
  </r>
  <r>
    <n v="2329"/>
    <x v="102"/>
    <x v="102"/>
    <x v="94"/>
    <x v="1"/>
    <x v="5"/>
    <n v="2270"/>
    <x v="8"/>
    <m/>
    <m/>
    <s v="Supplier"/>
    <m/>
    <x v="176"/>
    <s v="Hi-tech_Responsible Purchasing Charter_17Aug12.pdf"/>
    <s v=".pdf"/>
    <d v="2014-04-1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36"/>
  </r>
  <r>
    <n v="2328"/>
    <x v="102"/>
    <x v="102"/>
    <x v="94"/>
    <x v="1"/>
    <x v="5"/>
    <n v="2269"/>
    <x v="1"/>
    <m/>
    <m/>
    <s v="Supplier"/>
    <m/>
    <x v="501"/>
    <s v="Hi-Tech_SEF_2012-1.xlsx"/>
    <s v=".xlsx"/>
    <d v="2014-04-16T00:00:00"/>
    <s v="as\afok"/>
    <m/>
    <s v="2012"/>
    <m/>
    <m/>
    <m/>
    <m/>
    <m/>
    <x v="0"/>
    <x v="0"/>
    <x v="0"/>
    <x v="19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36"/>
  </r>
  <r>
    <n v="2327"/>
    <x v="102"/>
    <x v="102"/>
    <x v="94"/>
    <x v="1"/>
    <x v="5"/>
    <n v="2268"/>
    <x v="1"/>
    <m/>
    <m/>
    <s v="Supplier"/>
    <m/>
    <x v="502"/>
    <s v="Hitech_SEF_Apr2011.xls"/>
    <s v=".xls"/>
    <d v="2014-04-16T00:00:00"/>
    <s v="as\afok"/>
    <m/>
    <s v="2011"/>
    <m/>
    <m/>
    <m/>
    <m/>
    <m/>
    <x v="0"/>
    <x v="0"/>
    <x v="0"/>
    <x v="3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36"/>
  </r>
  <r>
    <n v="2330"/>
    <x v="102"/>
    <x v="102"/>
    <x v="94"/>
    <x v="1"/>
    <x v="5"/>
    <n v="2271"/>
    <x v="1"/>
    <m/>
    <m/>
    <s v="Supplier"/>
    <m/>
    <x v="78"/>
    <s v="Hi-Tech_SEF_2012-2.xlsx"/>
    <s v=".xlsx"/>
    <d v="2014-04-16T00:00:00"/>
    <s v="as\afok"/>
    <m/>
    <s v="2012"/>
    <m/>
    <m/>
    <m/>
    <m/>
    <m/>
    <x v="0"/>
    <x v="0"/>
    <x v="0"/>
    <x v="19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36"/>
  </r>
  <r>
    <n v="2324"/>
    <x v="102"/>
    <x v="102"/>
    <x v="94"/>
    <x v="1"/>
    <x v="5"/>
    <n v="2265"/>
    <x v="2"/>
    <m/>
    <m/>
    <s v="Supplier"/>
    <m/>
    <x v="2"/>
    <s v="Hi-Tech_SIF_ 2010.xls"/>
    <s v=".xls"/>
    <d v="2014-04-16T00:00:00"/>
    <s v="as\afok"/>
    <m/>
    <s v="2010"/>
    <m/>
    <m/>
    <m/>
    <m/>
    <m/>
    <x v="0"/>
    <x v="0"/>
    <x v="0"/>
    <x v="0"/>
    <x v="4"/>
    <x v="9"/>
    <x v="108"/>
    <x v="11"/>
    <x v="77"/>
    <x v="0"/>
    <x v="0"/>
    <x v="10"/>
    <x v="55"/>
    <x v="47"/>
    <x v="0"/>
    <m/>
    <x v="0"/>
    <x v="0"/>
    <x v="0"/>
    <x v="0"/>
    <m/>
    <m/>
    <m/>
    <n v="0"/>
    <m/>
    <m/>
    <m/>
    <s v="CP"/>
    <m/>
    <m/>
    <s v="CP "/>
    <x v="2"/>
    <x v="1"/>
    <m/>
    <x v="36"/>
  </r>
  <r>
    <n v="20"/>
    <x v="103"/>
    <x v="103"/>
    <x v="95"/>
    <x v="0"/>
    <x v="9"/>
    <n v="16"/>
    <x v="4"/>
    <m/>
    <m/>
    <s v="Supplier"/>
    <d v="2015-12-04T00:00:00"/>
    <x v="503"/>
    <s v="Hifacer_General Agreement_2012.pdf"/>
    <s v=".pdf"/>
    <d v="2014-03-04T00:00:00"/>
    <s v="as\afok"/>
    <m/>
    <s v="FHA00016 ind.10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n v="1"/>
    <m/>
    <m/>
    <n v="1"/>
    <m/>
    <m/>
    <s v="FP"/>
    <m/>
    <m/>
    <s v="MOULD"/>
    <s v="FP MOULD "/>
    <x v="0"/>
    <x v="1"/>
    <m/>
    <x v="0"/>
  </r>
  <r>
    <n v="102"/>
    <x v="103"/>
    <x v="103"/>
    <x v="95"/>
    <x v="0"/>
    <x v="9"/>
    <n v="94"/>
    <x v="5"/>
    <m/>
    <m/>
    <s v="Supplier"/>
    <m/>
    <x v="480"/>
    <s v="Hifacer_General Agreement_2012.pdf"/>
    <s v=".pdf"/>
    <d v="2014-03-07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n v="1"/>
    <m/>
    <n v="1"/>
    <m/>
    <m/>
    <s v="FP"/>
    <m/>
    <m/>
    <s v="MOULD"/>
    <s v="FP MOULD "/>
    <x v="0"/>
    <x v="1"/>
    <m/>
    <x v="0"/>
  </r>
  <r>
    <n v="101"/>
    <x v="103"/>
    <x v="103"/>
    <x v="95"/>
    <x v="0"/>
    <x v="9"/>
    <n v="93"/>
    <x v="6"/>
    <m/>
    <m/>
    <s v="Supplier"/>
    <m/>
    <x v="480"/>
    <s v="Hifacer_General Agreement_2012.pdf"/>
    <s v=".pdf"/>
    <d v="2014-03-07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n v="1"/>
    <n v="1"/>
    <m/>
    <m/>
    <s v="FP"/>
    <m/>
    <m/>
    <s v="MOULD"/>
    <s v="FP MOULD "/>
    <x v="0"/>
    <x v="1"/>
    <m/>
    <x v="0"/>
  </r>
  <r>
    <n v="584"/>
    <x v="103"/>
    <x v="103"/>
    <x v="95"/>
    <x v="0"/>
    <x v="9"/>
    <n v="567"/>
    <x v="10"/>
    <m/>
    <m/>
    <s v="Supplier"/>
    <m/>
    <x v="480"/>
    <s v="Hifacer_General Agreement_Jan2012.pdf"/>
    <s v=".pdf"/>
    <d v="2014-03-1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n v="1"/>
    <m/>
    <s v="FP"/>
    <m/>
    <m/>
    <s v="MOULD"/>
    <s v="FP MOULD "/>
    <x v="0"/>
    <x v="1"/>
    <m/>
    <x v="0"/>
  </r>
  <r>
    <n v="103"/>
    <x v="103"/>
    <x v="103"/>
    <x v="95"/>
    <x v="0"/>
    <x v="9"/>
    <n v="95"/>
    <x v="7"/>
    <m/>
    <m/>
    <s v="Supplier"/>
    <m/>
    <x v="480"/>
    <s v="Hifacer_General Agreement_2012.pdf"/>
    <s v=".pdf"/>
    <d v="2014-03-07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m/>
    <s v="MOULD"/>
    <s v="FP MOULD "/>
    <x v="0"/>
    <x v="1"/>
    <m/>
    <x v="0"/>
  </r>
  <r>
    <n v="100"/>
    <x v="103"/>
    <x v="103"/>
    <x v="95"/>
    <x v="0"/>
    <x v="9"/>
    <n v="92"/>
    <x v="0"/>
    <m/>
    <m/>
    <s v="Supplier"/>
    <m/>
    <x v="360"/>
    <s v="Hifacer Foodstuffs FRD00069 ind.04 200904.pdf"/>
    <s v=".pdf"/>
    <d v="2014-03-07T00:00:00"/>
    <s v="as\afok"/>
    <m/>
    <s v="FRD00069 ind.04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m/>
    <s v="MOULD"/>
    <s v="FP MOULD "/>
    <x v="0"/>
    <x v="1"/>
    <m/>
    <x v="0"/>
  </r>
  <r>
    <n v="104"/>
    <x v="103"/>
    <x v="103"/>
    <x v="95"/>
    <x v="0"/>
    <x v="9"/>
    <n v="96"/>
    <x v="13"/>
    <m/>
    <m/>
    <s v="Supplier"/>
    <d v="2010-11-11T00:00:00"/>
    <x v="504"/>
    <s v="Hifacer_ISO14001_2010.pdf"/>
    <s v=".pdf"/>
    <d v="2014-03-0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m/>
    <s v="MOULD"/>
    <s v="FP MOULD "/>
    <x v="0"/>
    <x v="1"/>
    <m/>
    <x v="0"/>
  </r>
  <r>
    <n v="105"/>
    <x v="103"/>
    <x v="103"/>
    <x v="95"/>
    <x v="0"/>
    <x v="9"/>
    <n v="97"/>
    <x v="8"/>
    <m/>
    <m/>
    <s v="Supplier"/>
    <m/>
    <x v="97"/>
    <s v="Hifacer_Responsible Purchasing Charter_24Sep12.pdf"/>
    <s v=".pdf"/>
    <d v="2014-03-0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m/>
    <s v="MOULD"/>
    <s v="FP MOULD "/>
    <x v="0"/>
    <x v="1"/>
    <m/>
    <x v="0"/>
  </r>
  <r>
    <n v="108"/>
    <x v="103"/>
    <x v="103"/>
    <x v="95"/>
    <x v="0"/>
    <x v="9"/>
    <n v="100"/>
    <x v="1"/>
    <m/>
    <m/>
    <s v="Supplier"/>
    <m/>
    <x v="264"/>
    <s v="SEF 2012 - Hifacer 20120810.xlsx"/>
    <s v=".xlsx"/>
    <d v="2014-03-07T00:00:00"/>
    <s v="as\afok"/>
    <m/>
    <s v="2012"/>
    <m/>
    <m/>
    <m/>
    <m/>
    <m/>
    <x v="0"/>
    <x v="0"/>
    <x v="0"/>
    <x v="19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m/>
    <s v="MOULD"/>
    <s v="FP MOULD "/>
    <x v="0"/>
    <x v="1"/>
    <m/>
    <x v="0"/>
  </r>
  <r>
    <n v="107"/>
    <x v="103"/>
    <x v="103"/>
    <x v="95"/>
    <x v="0"/>
    <x v="9"/>
    <n v="99"/>
    <x v="2"/>
    <n v="1"/>
    <m/>
    <s v="Supplier"/>
    <m/>
    <x v="505"/>
    <s v="Hifacer_SIF 2013.xls"/>
    <s v=".xls"/>
    <d v="2014-03-07T00:00:00"/>
    <s v="as\afok"/>
    <m/>
    <s v="2013"/>
    <m/>
    <m/>
    <m/>
    <m/>
    <m/>
    <x v="0"/>
    <x v="0"/>
    <x v="0"/>
    <x v="0"/>
    <x v="2"/>
    <x v="89"/>
    <x v="109"/>
    <x v="99"/>
    <x v="26"/>
    <x v="24"/>
    <x v="6"/>
    <x v="12"/>
    <x v="49"/>
    <x v="10"/>
    <x v="38"/>
    <s v="FP panel"/>
    <x v="1"/>
    <x v="3"/>
    <x v="0"/>
    <x v="0"/>
    <m/>
    <m/>
    <m/>
    <n v="1"/>
    <m/>
    <m/>
    <s v="FP"/>
    <m/>
    <m/>
    <s v="MOULD"/>
    <s v="FP MOULD "/>
    <x v="3"/>
    <x v="1"/>
    <m/>
    <x v="0"/>
  </r>
  <r>
    <n v="106"/>
    <x v="103"/>
    <x v="103"/>
    <x v="95"/>
    <x v="0"/>
    <x v="9"/>
    <n v="98"/>
    <x v="2"/>
    <m/>
    <m/>
    <s v="Supplier"/>
    <m/>
    <x v="506"/>
    <s v="Hifacer_SIF2012_15Feb12.xls"/>
    <s v=".xls"/>
    <d v="2014-03-07T00:00:00"/>
    <s v="as\afok"/>
    <m/>
    <s v="2012"/>
    <m/>
    <m/>
    <m/>
    <m/>
    <m/>
    <x v="0"/>
    <x v="0"/>
    <x v="0"/>
    <x v="0"/>
    <x v="1"/>
    <x v="25"/>
    <x v="55"/>
    <x v="100"/>
    <x v="80"/>
    <x v="13"/>
    <x v="19"/>
    <x v="34"/>
    <x v="49"/>
    <x v="9"/>
    <x v="27"/>
    <s v="FP panel"/>
    <x v="1"/>
    <x v="3"/>
    <x v="0"/>
    <x v="0"/>
    <m/>
    <m/>
    <m/>
    <n v="1"/>
    <m/>
    <m/>
    <s v="FP"/>
    <m/>
    <m/>
    <s v="MOULD"/>
    <s v="FP MOULD "/>
    <x v="3"/>
    <x v="1"/>
    <m/>
    <x v="0"/>
  </r>
  <r>
    <n v="109"/>
    <x v="103"/>
    <x v="103"/>
    <x v="95"/>
    <x v="0"/>
    <x v="9"/>
    <n v="101"/>
    <x v="3"/>
    <m/>
    <m/>
    <s v="Supplier"/>
    <m/>
    <x v="75"/>
    <s v="SPR - Hifacer_ Oct12.ppt"/>
    <s v=".ppt"/>
    <d v="2014-03-07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m/>
    <s v="MOULD"/>
    <s v="FP MOULD "/>
    <x v="0"/>
    <x v="1"/>
    <m/>
    <x v="0"/>
  </r>
  <r>
    <n v="1024"/>
    <x v="104"/>
    <x v="104"/>
    <x v="96"/>
    <x v="1"/>
    <x v="11"/>
    <n v="1001"/>
    <x v="4"/>
    <m/>
    <m/>
    <s v="Supplier"/>
    <m/>
    <x v="146"/>
    <s v="Hollyland_General Agreement_V7.pdf"/>
    <s v=".pdf"/>
    <d v="2014-03-24T00:00:00"/>
    <s v="as\afok"/>
    <m/>
    <s v="V7"/>
    <s v="37D6 - Within 60 days Due net on posting date 37D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m/>
    <s v="CP"/>
    <m/>
    <m/>
    <s v="CP "/>
    <x v="0"/>
    <x v="1"/>
    <m/>
    <x v="30"/>
  </r>
  <r>
    <n v="1026"/>
    <x v="104"/>
    <x v="104"/>
    <x v="96"/>
    <x v="1"/>
    <x v="11"/>
    <n v="1003"/>
    <x v="5"/>
    <m/>
    <m/>
    <s v="Supplier"/>
    <m/>
    <x v="189"/>
    <s v="Hollyland_General Agreement_V7.pdf"/>
    <s v=".pdf"/>
    <d v="2014-03-24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m/>
    <s v="CP"/>
    <m/>
    <m/>
    <s v="CP "/>
    <x v="0"/>
    <x v="1"/>
    <m/>
    <x v="30"/>
  </r>
  <r>
    <n v="1027"/>
    <x v="104"/>
    <x v="104"/>
    <x v="96"/>
    <x v="1"/>
    <x v="11"/>
    <n v="1004"/>
    <x v="6"/>
    <m/>
    <m/>
    <s v="Supplier"/>
    <m/>
    <x v="146"/>
    <s v="Hollyland_General Agreement_V7.pdf"/>
    <s v=".pdf"/>
    <d v="2014-03-24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m/>
    <s v="CP"/>
    <m/>
    <m/>
    <s v="CP "/>
    <x v="0"/>
    <x v="1"/>
    <m/>
    <x v="30"/>
  </r>
  <r>
    <n v="1028"/>
    <x v="104"/>
    <x v="104"/>
    <x v="96"/>
    <x v="1"/>
    <x v="11"/>
    <n v="1005"/>
    <x v="10"/>
    <m/>
    <m/>
    <s v="Supplier"/>
    <m/>
    <x v="146"/>
    <s v="Hollyland_General Agreement_V7.pdf"/>
    <s v=".pdf"/>
    <d v="2014-03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30"/>
  </r>
  <r>
    <n v="1025"/>
    <x v="104"/>
    <x v="104"/>
    <x v="96"/>
    <x v="1"/>
    <x v="11"/>
    <n v="1002"/>
    <x v="7"/>
    <m/>
    <m/>
    <s v="Supplier"/>
    <m/>
    <x v="188"/>
    <s v="Hollyland_General Agreement_V7.pdf"/>
    <s v=".pdf"/>
    <d v="2014-03-24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30"/>
  </r>
  <r>
    <n v="1029"/>
    <x v="104"/>
    <x v="104"/>
    <x v="96"/>
    <x v="1"/>
    <x v="11"/>
    <n v="1006"/>
    <x v="8"/>
    <m/>
    <m/>
    <s v="Supplier"/>
    <m/>
    <x v="261"/>
    <s v="Hollyland_Responsible_Purchasing_Charter_06Aug12.pdf"/>
    <s v=".pdf"/>
    <d v="2014-03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n v="1"/>
    <m/>
    <m/>
    <s v="CP"/>
    <m/>
    <m/>
    <s v="CP "/>
    <x v="0"/>
    <x v="1"/>
    <m/>
    <x v="30"/>
  </r>
  <r>
    <n v="1023"/>
    <x v="104"/>
    <x v="104"/>
    <x v="96"/>
    <x v="1"/>
    <x v="11"/>
    <n v="1000"/>
    <x v="1"/>
    <m/>
    <m/>
    <s v="Supplier"/>
    <m/>
    <x v="112"/>
    <s v="Hollyland_SEF_2012.xlsx"/>
    <s v=".xlsx"/>
    <d v="2014-03-24T00:00:00"/>
    <s v="as\afok"/>
    <m/>
    <s v="2012"/>
    <m/>
    <m/>
    <m/>
    <m/>
    <m/>
    <x v="0"/>
    <x v="0"/>
    <x v="0"/>
    <x v="16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30"/>
  </r>
  <r>
    <n v="1022"/>
    <x v="104"/>
    <x v="104"/>
    <x v="96"/>
    <x v="1"/>
    <x v="11"/>
    <n v="999"/>
    <x v="2"/>
    <n v="1"/>
    <m/>
    <s v="Supplier"/>
    <m/>
    <x v="507"/>
    <s v="Hollyland_SIF 2013.xlsx"/>
    <s v=".xlsx"/>
    <d v="2014-03-24T00:00:00"/>
    <s v="as\afok"/>
    <m/>
    <s v="2013"/>
    <m/>
    <m/>
    <m/>
    <m/>
    <m/>
    <x v="0"/>
    <x v="0"/>
    <x v="0"/>
    <x v="0"/>
    <x v="2"/>
    <x v="12"/>
    <x v="95"/>
    <x v="59"/>
    <x v="88"/>
    <x v="70"/>
    <x v="0"/>
    <x v="0"/>
    <x v="0"/>
    <x v="0"/>
    <x v="0"/>
    <m/>
    <x v="0"/>
    <x v="0"/>
    <x v="0"/>
    <x v="0"/>
    <m/>
    <m/>
    <m/>
    <n v="1"/>
    <m/>
    <m/>
    <m/>
    <s v="CP"/>
    <m/>
    <m/>
    <s v="CP "/>
    <x v="2"/>
    <x v="1"/>
    <m/>
    <x v="30"/>
  </r>
  <r>
    <n v="2594"/>
    <x v="105"/>
    <x v="105"/>
    <x v="97"/>
    <x v="0"/>
    <x v="0"/>
    <n v="2443"/>
    <x v="4"/>
    <m/>
    <m/>
    <s v="Supplier"/>
    <m/>
    <x v="508"/>
    <s v="Homewell_General Agreement_28Nov2011.pdf"/>
    <s v=".pdf"/>
    <d v="2014-04-23T00:00:00"/>
    <s v="as\afok"/>
    <m/>
    <s v="FHA 00 016 ind.10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n v="1"/>
    <m/>
    <m/>
    <n v="1"/>
    <m/>
    <m/>
    <s v="FP"/>
    <s v="CP"/>
    <m/>
    <s v="MOULD"/>
    <s v="FP CP MOULD Both"/>
    <x v="0"/>
    <x v="1"/>
    <m/>
    <x v="15"/>
  </r>
  <r>
    <n v="2597"/>
    <x v="105"/>
    <x v="105"/>
    <x v="97"/>
    <x v="0"/>
    <x v="0"/>
    <n v="2446"/>
    <x v="5"/>
    <m/>
    <m/>
    <s v="Supplier"/>
    <m/>
    <x v="509"/>
    <s v="Homewell_General Agreement_28Nov2011.pdf"/>
    <s v=".pdf"/>
    <d v="2014-04-23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n v="1"/>
    <m/>
    <n v="1"/>
    <m/>
    <m/>
    <s v="FP"/>
    <s v="CP"/>
    <m/>
    <s v="MOULD"/>
    <s v="FP CP MOULD Both"/>
    <x v="0"/>
    <x v="1"/>
    <m/>
    <x v="15"/>
  </r>
  <r>
    <n v="2596"/>
    <x v="105"/>
    <x v="105"/>
    <x v="97"/>
    <x v="0"/>
    <x v="0"/>
    <n v="2445"/>
    <x v="6"/>
    <m/>
    <m/>
    <s v="Supplier"/>
    <m/>
    <x v="510"/>
    <s v="Homewell_General Agreement_28Nov2011.pdf"/>
    <s v=".pdf"/>
    <d v="2014-04-23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n v="1"/>
    <n v="1"/>
    <m/>
    <m/>
    <s v="FP"/>
    <s v="CP"/>
    <m/>
    <s v="MOULD"/>
    <s v="FP CP MOULD Both"/>
    <x v="0"/>
    <x v="1"/>
    <m/>
    <x v="15"/>
  </r>
  <r>
    <n v="2598"/>
    <x v="105"/>
    <x v="105"/>
    <x v="97"/>
    <x v="0"/>
    <x v="0"/>
    <n v="2447"/>
    <x v="10"/>
    <m/>
    <m/>
    <s v="Supplier"/>
    <m/>
    <x v="510"/>
    <s v="Homewell_General Agreement_28Nov2011.pdf"/>
    <s v=".pdf"/>
    <d v="2014-04-2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s v="CP"/>
    <m/>
    <s v="MOULD"/>
    <s v="FP CP MOULD Both"/>
    <x v="0"/>
    <x v="1"/>
    <m/>
    <x v="15"/>
  </r>
  <r>
    <n v="2595"/>
    <x v="105"/>
    <x v="105"/>
    <x v="97"/>
    <x v="0"/>
    <x v="0"/>
    <n v="2444"/>
    <x v="7"/>
    <m/>
    <m/>
    <s v="Supplier"/>
    <m/>
    <x v="510"/>
    <s v="Homewell_General Agreement_28Nov2011.pdf"/>
    <s v=".pdf"/>
    <d v="2014-04-23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s v="CP"/>
    <m/>
    <s v="MOULD"/>
    <s v="FP CP MOULD Both"/>
    <x v="0"/>
    <x v="1"/>
    <m/>
    <x v="15"/>
  </r>
  <r>
    <n v="2600"/>
    <x v="105"/>
    <x v="105"/>
    <x v="97"/>
    <x v="0"/>
    <x v="0"/>
    <n v="2449"/>
    <x v="8"/>
    <m/>
    <m/>
    <s v="Supplier"/>
    <m/>
    <x v="511"/>
    <s v="Homewell_Responsible Purchasing Charter_9Oct12.pdf"/>
    <s v=".pdf"/>
    <d v="2014-04-2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s v="CP"/>
    <m/>
    <s v="MOULD"/>
    <s v="FP CP MOULD Both"/>
    <x v="0"/>
    <x v="1"/>
    <m/>
    <x v="15"/>
  </r>
  <r>
    <n v="2603"/>
    <x v="105"/>
    <x v="105"/>
    <x v="97"/>
    <x v="0"/>
    <x v="0"/>
    <n v="2452"/>
    <x v="1"/>
    <m/>
    <m/>
    <s v="Supplier"/>
    <m/>
    <x v="354"/>
    <s v="SEF 2012 - Homewell.xlsx"/>
    <s v=".xlsx"/>
    <d v="2014-04-23T00:00:00"/>
    <s v="as\afok"/>
    <m/>
    <s v="2012"/>
    <m/>
    <m/>
    <m/>
    <m/>
    <m/>
    <x v="0"/>
    <x v="0"/>
    <x v="0"/>
    <x v="25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s v="CP"/>
    <m/>
    <s v="MOULD"/>
    <s v="FP CP MOULD Both"/>
    <x v="0"/>
    <x v="1"/>
    <m/>
    <x v="15"/>
  </r>
  <r>
    <n v="2593"/>
    <x v="105"/>
    <x v="105"/>
    <x v="97"/>
    <x v="0"/>
    <x v="0"/>
    <n v="2442"/>
    <x v="1"/>
    <m/>
    <m/>
    <s v="Supplier"/>
    <m/>
    <x v="267"/>
    <s v="SEF - Homewell 2013.xlsx"/>
    <s v=".xlsx"/>
    <d v="2014-04-23T00:00:00"/>
    <s v="as\afok"/>
    <m/>
    <s v="2013"/>
    <m/>
    <m/>
    <m/>
    <m/>
    <m/>
    <x v="0"/>
    <x v="0"/>
    <x v="0"/>
    <x v="15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s v="CP"/>
    <m/>
    <s v="MOULD"/>
    <s v="FP CP MOULD Both"/>
    <x v="0"/>
    <x v="1"/>
    <m/>
    <x v="15"/>
  </r>
  <r>
    <n v="2599"/>
    <x v="105"/>
    <x v="105"/>
    <x v="97"/>
    <x v="0"/>
    <x v="0"/>
    <n v="2448"/>
    <x v="2"/>
    <m/>
    <m/>
    <s v="Supplier"/>
    <m/>
    <x v="172"/>
    <s v="HOMEWELL_SIF2012_10Apr12.xls"/>
    <s v=".xls"/>
    <d v="2014-04-23T00:00:00"/>
    <s v="as\afok"/>
    <m/>
    <s v="2012"/>
    <m/>
    <m/>
    <m/>
    <m/>
    <m/>
    <x v="0"/>
    <x v="0"/>
    <x v="0"/>
    <x v="0"/>
    <x v="1"/>
    <x v="80"/>
    <x v="110"/>
    <x v="23"/>
    <x v="89"/>
    <x v="46"/>
    <x v="5"/>
    <x v="10"/>
    <x v="10"/>
    <x v="2"/>
    <x v="35"/>
    <s v="FP panel"/>
    <x v="1"/>
    <x v="3"/>
    <x v="0"/>
    <x v="0"/>
    <m/>
    <m/>
    <m/>
    <n v="1"/>
    <m/>
    <m/>
    <s v="FP"/>
    <s v="CP"/>
    <m/>
    <s v="MOULD"/>
    <s v="FP CP MOULD Both"/>
    <x v="1"/>
    <x v="1"/>
    <m/>
    <x v="15"/>
  </r>
  <r>
    <n v="2604"/>
    <x v="105"/>
    <x v="105"/>
    <x v="97"/>
    <x v="0"/>
    <x v="0"/>
    <n v="2453"/>
    <x v="2"/>
    <n v="1"/>
    <m/>
    <s v="Supplier"/>
    <m/>
    <x v="512"/>
    <s v="Homewell_SIF 2013.xls"/>
    <s v=".xls"/>
    <d v="2014-04-23T00:00:00"/>
    <s v="as\afok"/>
    <m/>
    <s v="2013"/>
    <m/>
    <m/>
    <m/>
    <m/>
    <m/>
    <x v="0"/>
    <x v="0"/>
    <x v="0"/>
    <x v="0"/>
    <x v="2"/>
    <x v="90"/>
    <x v="35"/>
    <x v="23"/>
    <x v="89"/>
    <x v="82"/>
    <x v="5"/>
    <x v="11"/>
    <x v="9"/>
    <x v="7"/>
    <x v="44"/>
    <s v="FP panel"/>
    <x v="1"/>
    <x v="3"/>
    <x v="0"/>
    <x v="0"/>
    <m/>
    <m/>
    <m/>
    <n v="1"/>
    <n v="1"/>
    <m/>
    <s v="FP"/>
    <s v="CP"/>
    <m/>
    <s v="MOULD"/>
    <s v="FP CP MOULD Both"/>
    <x v="1"/>
    <x v="1"/>
    <m/>
    <x v="15"/>
  </r>
  <r>
    <n v="2601"/>
    <x v="105"/>
    <x v="105"/>
    <x v="97"/>
    <x v="0"/>
    <x v="0"/>
    <n v="2450"/>
    <x v="3"/>
    <m/>
    <m/>
    <s v="Supplier"/>
    <m/>
    <x v="513"/>
    <s v="SPR - Homewell 2012 12-04-15.ppt"/>
    <s v=".ppt"/>
    <d v="2014-04-23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s v="CP"/>
    <m/>
    <s v="MOULD"/>
    <s v="FP CP MOULD Both"/>
    <x v="0"/>
    <x v="1"/>
    <m/>
    <x v="15"/>
  </r>
  <r>
    <n v="2602"/>
    <x v="105"/>
    <x v="105"/>
    <x v="97"/>
    <x v="0"/>
    <x v="0"/>
    <n v="2451"/>
    <x v="3"/>
    <m/>
    <m/>
    <s v="Supplier"/>
    <m/>
    <x v="243"/>
    <s v="SPR - Homewell 2012.ppt"/>
    <s v=".ppt"/>
    <d v="2014-04-23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s v="CP"/>
    <m/>
    <s v="MOULD"/>
    <s v="FP CP MOULD Both"/>
    <x v="0"/>
    <x v="1"/>
    <m/>
    <x v="15"/>
  </r>
  <r>
    <n v="21"/>
    <x v="106"/>
    <x v="106"/>
    <x v="98"/>
    <x v="3"/>
    <x v="19"/>
    <n v="17"/>
    <x v="4"/>
    <m/>
    <m/>
    <s v="Supplier"/>
    <d v="2015-12-31T00:00:00"/>
    <x v="514"/>
    <s v="HZ supply agreement 2013.pdf"/>
    <s v=".pdf"/>
    <d v="2014-03-04T00:00:00"/>
    <s v="as\afok"/>
    <m/>
    <s v="FHA00016 ind.11"/>
    <s v="37E7 - 75 days end of month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n v="1"/>
    <m/>
    <m/>
    <n v="1"/>
    <m/>
    <m/>
    <s v="FP"/>
    <m/>
    <s v="SP"/>
    <s v="MOULD"/>
    <s v="FP SP MOULD "/>
    <x v="0"/>
    <x v="1"/>
    <n v="1"/>
    <x v="12"/>
  </r>
  <r>
    <n v="111"/>
    <x v="106"/>
    <x v="106"/>
    <x v="98"/>
    <x v="3"/>
    <x v="19"/>
    <n v="103"/>
    <x v="5"/>
    <m/>
    <m/>
    <s v="Supplier"/>
    <m/>
    <x v="71"/>
    <s v="HZ supply agreement 2013.pdf"/>
    <s v=".pdf"/>
    <d v="2014-03-07T00:00:00"/>
    <s v="as\afok"/>
    <m/>
    <m/>
    <m/>
    <m/>
    <m/>
    <n v="1500"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n v="1"/>
    <m/>
    <n v="1"/>
    <m/>
    <m/>
    <s v="FP"/>
    <m/>
    <s v="SP"/>
    <s v="MOULD"/>
    <s v="FP SP MOULD "/>
    <x v="0"/>
    <x v="1"/>
    <n v="1"/>
    <x v="12"/>
  </r>
  <r>
    <n v="110"/>
    <x v="106"/>
    <x v="106"/>
    <x v="98"/>
    <x v="3"/>
    <x v="19"/>
    <n v="102"/>
    <x v="6"/>
    <m/>
    <m/>
    <s v="Supplier"/>
    <m/>
    <x v="146"/>
    <s v="HZ supply agreement 2013.pdf"/>
    <s v=".pdf"/>
    <d v="2014-03-07T00:00:00"/>
    <s v="as\afok"/>
    <m/>
    <m/>
    <m/>
    <n v="0"/>
    <n v="85"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n v="1"/>
    <n v="1"/>
    <m/>
    <m/>
    <s v="FP"/>
    <m/>
    <s v="SP"/>
    <s v="MOULD"/>
    <s v="FP SP MOULD "/>
    <x v="0"/>
    <x v="1"/>
    <n v="1"/>
    <x v="12"/>
  </r>
  <r>
    <n v="582"/>
    <x v="106"/>
    <x v="106"/>
    <x v="98"/>
    <x v="3"/>
    <x v="19"/>
    <n v="565"/>
    <x v="10"/>
    <m/>
    <m/>
    <s v="Supplier"/>
    <m/>
    <x v="503"/>
    <s v="HZ supply agreement 2013.pdf"/>
    <s v=".pdf"/>
    <d v="2014-03-1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n v="1"/>
    <m/>
    <s v="FP"/>
    <m/>
    <s v="SP"/>
    <s v="MOULD"/>
    <s v="FP SP MOULD "/>
    <x v="0"/>
    <x v="1"/>
    <n v="1"/>
    <x v="12"/>
  </r>
  <r>
    <n v="112"/>
    <x v="106"/>
    <x v="106"/>
    <x v="98"/>
    <x v="3"/>
    <x v="19"/>
    <n v="104"/>
    <x v="7"/>
    <m/>
    <m/>
    <s v="Supplier"/>
    <m/>
    <x v="146"/>
    <s v="HZ supply agreement 2013.pdf"/>
    <s v=".pdf"/>
    <d v="2014-03-07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2"/>
  </r>
  <r>
    <n v="127"/>
    <x v="106"/>
    <x v="106"/>
    <x v="98"/>
    <x v="3"/>
    <x v="19"/>
    <n v="119"/>
    <x v="7"/>
    <m/>
    <m/>
    <s v="Supplier"/>
    <m/>
    <x v="381"/>
    <s v="HOMEZEST_Env_Declaration_20100402.xls"/>
    <s v=".xls"/>
    <d v="2014-03-07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2"/>
  </r>
  <r>
    <n v="115"/>
    <x v="106"/>
    <x v="106"/>
    <x v="98"/>
    <x v="3"/>
    <x v="19"/>
    <n v="107"/>
    <x v="11"/>
    <m/>
    <m/>
    <s v="Product / Project"/>
    <m/>
    <x v="328"/>
    <s v="CM309-EA-completed.pdf"/>
    <s v=".pdf"/>
    <d v="2014-03-07T00:00:00"/>
    <s v="as\afok"/>
    <s v="_x000d__x000a_"/>
    <m/>
    <m/>
    <m/>
    <m/>
    <m/>
    <s v="CM309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2"/>
  </r>
  <r>
    <n v="117"/>
    <x v="106"/>
    <x v="106"/>
    <x v="98"/>
    <x v="3"/>
    <x v="19"/>
    <n v="109"/>
    <x v="11"/>
    <m/>
    <m/>
    <s v="Product / Project"/>
    <m/>
    <x v="328"/>
    <s v="Gran Perfectta SE320-EA-completed.pdf"/>
    <s v=".pdf"/>
    <d v="2014-03-07T00:00:00"/>
    <s v="as\afok"/>
    <m/>
    <m/>
    <m/>
    <m/>
    <m/>
    <m/>
    <s v="Gran Perfectta SE320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2"/>
  </r>
  <r>
    <n v="123"/>
    <x v="106"/>
    <x v="106"/>
    <x v="98"/>
    <x v="3"/>
    <x v="19"/>
    <n v="115"/>
    <x v="11"/>
    <m/>
    <m/>
    <s v="Supplier"/>
    <m/>
    <x v="515"/>
    <s v="Homezest Exclusivity Summary 2013-04-17.xlsx"/>
    <s v=".xlsx"/>
    <d v="2014-03-07T00:00:00"/>
    <s v="as\afok"/>
    <s v="Exclusivity Summary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2"/>
  </r>
  <r>
    <n v="129"/>
    <x v="106"/>
    <x v="106"/>
    <x v="98"/>
    <x v="3"/>
    <x v="19"/>
    <n v="121"/>
    <x v="11"/>
    <m/>
    <m/>
    <s v="Supplier"/>
    <m/>
    <x v="516"/>
    <s v="Homezest_Exclusivity_Summary_2013-10-18.xlsx"/>
    <s v=".xlsx"/>
    <d v="2014-03-07T00:00:00"/>
    <s v="as\afok"/>
    <s v="Exclusivity Summary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2"/>
  </r>
  <r>
    <n v="119"/>
    <x v="106"/>
    <x v="106"/>
    <x v="98"/>
    <x v="3"/>
    <x v="19"/>
    <n v="111"/>
    <x v="11"/>
    <m/>
    <m/>
    <s v="Product / Project"/>
    <m/>
    <x v="517"/>
    <s v="Gran Perfectta SS - EA completed.pdf"/>
    <s v=".pdf"/>
    <d v="2014-03-07T00:00:00"/>
    <s v="as\afok"/>
    <s v="_x000d__x000a_"/>
    <m/>
    <m/>
    <m/>
    <m/>
    <m/>
    <s v="Gran Perfectta SS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2"/>
  </r>
  <r>
    <n v="113"/>
    <x v="106"/>
    <x v="106"/>
    <x v="98"/>
    <x v="3"/>
    <x v="19"/>
    <n v="105"/>
    <x v="11"/>
    <m/>
    <m/>
    <s v="Product / Project"/>
    <m/>
    <x v="518"/>
    <s v="Busan CM316 - EA-completed.pdf"/>
    <s v=".pdf"/>
    <d v="2014-03-07T00:00:00"/>
    <s v="as\afok"/>
    <s v="_x000d__x000a_"/>
    <m/>
    <m/>
    <m/>
    <m/>
    <m/>
    <s v="Busan CM316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2"/>
  </r>
  <r>
    <n v="122"/>
    <x v="106"/>
    <x v="106"/>
    <x v="98"/>
    <x v="3"/>
    <x v="19"/>
    <n v="114"/>
    <x v="11"/>
    <m/>
    <m/>
    <s v="Supplier"/>
    <m/>
    <x v="519"/>
    <s v="Homezest Exclusivity Summary 2013-03-08.xlsx"/>
    <s v=".xlsx"/>
    <d v="2014-03-07T00:00:00"/>
    <s v="as\afok"/>
    <s v="Exclusivity Summary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2"/>
  </r>
  <r>
    <n v="128"/>
    <x v="106"/>
    <x v="106"/>
    <x v="98"/>
    <x v="3"/>
    <x v="19"/>
    <n v="120"/>
    <x v="11"/>
    <m/>
    <m/>
    <s v="Supplier"/>
    <m/>
    <x v="520"/>
    <s v="Homezest_Exclusivity_Summary_2013-09-10.xlsx"/>
    <s v=".xlsx"/>
    <d v="2014-03-07T00:00:00"/>
    <s v="as\afok"/>
    <s v="Exclusivity Summary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2"/>
  </r>
  <r>
    <n v="120"/>
    <x v="106"/>
    <x v="106"/>
    <x v="98"/>
    <x v="3"/>
    <x v="19"/>
    <n v="112"/>
    <x v="12"/>
    <m/>
    <m/>
    <s v="Product / Project"/>
    <m/>
    <x v="517"/>
    <s v="Gran Perfectta SS - IPA completed.pdf"/>
    <s v=".pdf"/>
    <d v="2014-03-07T00:00:00"/>
    <s v="as\afok"/>
    <s v="_x000d__x000a_"/>
    <m/>
    <m/>
    <m/>
    <m/>
    <m/>
    <s v="Gran Perfectta SS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2"/>
  </r>
  <r>
    <n v="114"/>
    <x v="106"/>
    <x v="106"/>
    <x v="98"/>
    <x v="3"/>
    <x v="19"/>
    <n v="106"/>
    <x v="12"/>
    <m/>
    <m/>
    <s v="Product / Project"/>
    <m/>
    <x v="144"/>
    <s v="Busan CM316 - IPA-completed.pdf"/>
    <s v=".pdf"/>
    <d v="2014-03-07T00:00:00"/>
    <s v="as\afok"/>
    <m/>
    <m/>
    <m/>
    <m/>
    <m/>
    <m/>
    <s v="Busan CM316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2"/>
  </r>
  <r>
    <n v="118"/>
    <x v="106"/>
    <x v="106"/>
    <x v="98"/>
    <x v="3"/>
    <x v="19"/>
    <n v="110"/>
    <x v="12"/>
    <m/>
    <m/>
    <s v="Product / Project"/>
    <m/>
    <x v="328"/>
    <s v="Gran Perfectta SE320-IPA-completed.pdf"/>
    <s v=".pdf"/>
    <d v="2014-03-07T00:00:00"/>
    <s v="as\afok"/>
    <s v="_x000d__x000a_"/>
    <m/>
    <m/>
    <m/>
    <m/>
    <m/>
    <s v="Gran Perfectta SE320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2"/>
  </r>
  <r>
    <n v="116"/>
    <x v="106"/>
    <x v="106"/>
    <x v="98"/>
    <x v="3"/>
    <x v="19"/>
    <n v="108"/>
    <x v="12"/>
    <m/>
    <m/>
    <s v="Product / Project"/>
    <m/>
    <x v="328"/>
    <s v="CM309-IPA-completed.pdf"/>
    <s v=".pdf"/>
    <d v="2014-03-07T00:00:00"/>
    <s v="as\afok"/>
    <s v="_x000d__x000a_"/>
    <m/>
    <m/>
    <m/>
    <m/>
    <m/>
    <s v="CM309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2"/>
  </r>
  <r>
    <n v="124"/>
    <x v="106"/>
    <x v="106"/>
    <x v="98"/>
    <x v="3"/>
    <x v="19"/>
    <n v="116"/>
    <x v="13"/>
    <m/>
    <m/>
    <s v="Supplier"/>
    <d v="2013-06-07T00:00:00"/>
    <x v="521"/>
    <s v="Homezest ISO9001 and ISO14001 7Jun2013.pdf"/>
    <s v=".pdf"/>
    <d v="2014-03-0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2"/>
  </r>
  <r>
    <n v="125"/>
    <x v="106"/>
    <x v="106"/>
    <x v="98"/>
    <x v="3"/>
    <x v="19"/>
    <n v="117"/>
    <x v="14"/>
    <m/>
    <m/>
    <s v="Supplier"/>
    <d v="2013-06-07T00:00:00"/>
    <x v="521"/>
    <s v="Homezest ISO9001 and ISO14001 7Jun2013.pdf"/>
    <s v=".pdf"/>
    <d v="2014-03-0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2"/>
  </r>
  <r>
    <n v="133"/>
    <x v="106"/>
    <x v="106"/>
    <x v="98"/>
    <x v="3"/>
    <x v="19"/>
    <n v="125"/>
    <x v="16"/>
    <m/>
    <m/>
    <s v="Supplier"/>
    <m/>
    <x v="507"/>
    <s v="SE309 ID register agreement.pdf"/>
    <s v=".pdf"/>
    <d v="2014-03-07T00:00:00"/>
    <s v="as\afok"/>
    <s v="Register Agreement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2"/>
  </r>
  <r>
    <n v="121"/>
    <x v="106"/>
    <x v="106"/>
    <x v="98"/>
    <x v="3"/>
    <x v="19"/>
    <n v="113"/>
    <x v="8"/>
    <m/>
    <m/>
    <s v="Supplier"/>
    <m/>
    <x v="227"/>
    <s v="Homezest - Responsible Purchasing Charter.pdf"/>
    <s v=".pdf"/>
    <d v="2014-03-0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2"/>
  </r>
  <r>
    <n v="126"/>
    <x v="106"/>
    <x v="106"/>
    <x v="98"/>
    <x v="3"/>
    <x v="19"/>
    <n v="118"/>
    <x v="1"/>
    <m/>
    <m/>
    <s v="Supplier"/>
    <m/>
    <x v="71"/>
    <s v="HOMEZEST__SEF_Dec_2012.xlsx"/>
    <s v=".xlsx"/>
    <d v="2014-03-07T00:00:00"/>
    <s v="as\afok"/>
    <m/>
    <s v="2012"/>
    <m/>
    <m/>
    <m/>
    <m/>
    <m/>
    <x v="0"/>
    <x v="0"/>
    <x v="0"/>
    <x v="38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2"/>
  </r>
  <r>
    <n v="130"/>
    <x v="106"/>
    <x v="106"/>
    <x v="98"/>
    <x v="3"/>
    <x v="19"/>
    <n v="122"/>
    <x v="2"/>
    <m/>
    <m/>
    <s v="Supplier"/>
    <m/>
    <x v="522"/>
    <s v="HOMEZEST_SIF 20120308.xlsx"/>
    <s v=".xlsx"/>
    <d v="2014-03-07T00:00:00"/>
    <s v="as\afok"/>
    <m/>
    <s v="2012"/>
    <m/>
    <m/>
    <m/>
    <m/>
    <m/>
    <x v="0"/>
    <x v="0"/>
    <x v="0"/>
    <x v="0"/>
    <x v="1"/>
    <x v="91"/>
    <x v="30"/>
    <x v="5"/>
    <x v="90"/>
    <x v="83"/>
    <x v="24"/>
    <x v="40"/>
    <x v="56"/>
    <x v="48"/>
    <x v="11"/>
    <s v="FP panel Top 15"/>
    <x v="1"/>
    <x v="2"/>
    <x v="0"/>
    <x v="0"/>
    <m/>
    <m/>
    <m/>
    <n v="1"/>
    <m/>
    <m/>
    <s v="FP"/>
    <m/>
    <s v="SP"/>
    <s v="MOULD"/>
    <s v="FP SP MOULD "/>
    <x v="3"/>
    <x v="1"/>
    <n v="1"/>
    <x v="12"/>
  </r>
  <r>
    <n v="131"/>
    <x v="106"/>
    <x v="106"/>
    <x v="98"/>
    <x v="3"/>
    <x v="19"/>
    <n v="123"/>
    <x v="2"/>
    <n v="1"/>
    <m/>
    <s v="Supplier"/>
    <m/>
    <x v="305"/>
    <s v="Homezest-SIF 2013.xlsx"/>
    <s v=".xlsx"/>
    <d v="2014-03-07T00:00:00"/>
    <s v="as\afok"/>
    <m/>
    <s v="2013"/>
    <m/>
    <m/>
    <m/>
    <m/>
    <m/>
    <x v="0"/>
    <x v="0"/>
    <x v="0"/>
    <x v="0"/>
    <x v="2"/>
    <x v="92"/>
    <x v="111"/>
    <x v="5"/>
    <x v="90"/>
    <x v="83"/>
    <x v="36"/>
    <x v="62"/>
    <x v="56"/>
    <x v="48"/>
    <x v="11"/>
    <s v="FP panel Top 15"/>
    <x v="1"/>
    <x v="2"/>
    <x v="0"/>
    <x v="0"/>
    <m/>
    <m/>
    <m/>
    <n v="1"/>
    <m/>
    <m/>
    <s v="FP"/>
    <m/>
    <s v="SP"/>
    <s v="MOULD"/>
    <s v="FP SP MOULD "/>
    <x v="3"/>
    <x v="1"/>
    <n v="1"/>
    <x v="12"/>
  </r>
  <r>
    <n v="132"/>
    <x v="106"/>
    <x v="106"/>
    <x v="98"/>
    <x v="3"/>
    <x v="19"/>
    <n v="124"/>
    <x v="3"/>
    <m/>
    <m/>
    <s v="Supplier"/>
    <m/>
    <x v="222"/>
    <s v="Homzest-SPR-Dec2012.PPT"/>
    <s v=".ppt"/>
    <d v="2014-03-07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2"/>
  </r>
  <r>
    <n v="2208"/>
    <x v="107"/>
    <x v="107"/>
    <x v="99"/>
    <x v="4"/>
    <x v="8"/>
    <n v="2150"/>
    <x v="4"/>
    <m/>
    <m/>
    <s v="Supplier"/>
    <m/>
    <x v="319"/>
    <s v="Hong_Bang_Purchase_Agreement_2008.pdf"/>
    <s v=".pdf"/>
    <d v="2014-04-15T00:00:00"/>
    <s v="as\afok"/>
    <m/>
    <s v="V5"/>
    <s v="37E3 - 30 days end of month due net on posting date 37E3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n v="1"/>
    <m/>
    <m/>
    <n v="1"/>
    <m/>
    <m/>
    <m/>
    <s v="CP"/>
    <m/>
    <m/>
    <s v="CP "/>
    <x v="0"/>
    <x v="1"/>
    <m/>
    <x v="2"/>
  </r>
  <r>
    <n v="2213"/>
    <x v="107"/>
    <x v="107"/>
    <x v="99"/>
    <x v="4"/>
    <x v="8"/>
    <n v="2155"/>
    <x v="4"/>
    <m/>
    <m/>
    <s v="Supplier"/>
    <m/>
    <x v="523"/>
    <s v="Wencan_agreement_Jul12.pdf"/>
    <s v=".pdf"/>
    <d v="2014-04-15T00:00:00"/>
    <s v="as\afok"/>
    <s v="payment term: 50 days end of month"/>
    <s v="V7"/>
    <s v="37E4 - 45 days end of month Due net on posting date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n v="1"/>
    <m/>
    <m/>
    <n v="1"/>
    <m/>
    <m/>
    <m/>
    <s v="CP"/>
    <m/>
    <m/>
    <s v="CP "/>
    <x v="0"/>
    <x v="1"/>
    <m/>
    <x v="2"/>
  </r>
  <r>
    <n v="2209"/>
    <x v="107"/>
    <x v="107"/>
    <x v="99"/>
    <x v="4"/>
    <x v="8"/>
    <n v="2151"/>
    <x v="5"/>
    <m/>
    <m/>
    <s v="Supplier"/>
    <m/>
    <x v="319"/>
    <s v="Hong_Bang_Purchase_Agreement_2008.pdf"/>
    <s v=".pdf"/>
    <d v="2014-04-15T00:00:00"/>
    <s v="as\afok"/>
    <m/>
    <s v="FHA 00 014 ind.07"/>
    <m/>
    <m/>
    <m/>
    <n v="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n v="1"/>
    <m/>
    <n v="1"/>
    <m/>
    <m/>
    <m/>
    <s v="CP"/>
    <m/>
    <m/>
    <s v="CP "/>
    <x v="0"/>
    <x v="1"/>
    <m/>
    <x v="2"/>
  </r>
  <r>
    <n v="2215"/>
    <x v="107"/>
    <x v="107"/>
    <x v="99"/>
    <x v="4"/>
    <x v="8"/>
    <n v="2157"/>
    <x v="5"/>
    <m/>
    <m/>
    <s v="Supplier"/>
    <m/>
    <x v="523"/>
    <s v="Wencan_agreement_Jul12.pdf"/>
    <s v=".pdf"/>
    <d v="2014-04-15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n v="1"/>
    <m/>
    <n v="1"/>
    <m/>
    <m/>
    <m/>
    <s v="CP"/>
    <m/>
    <m/>
    <s v="CP "/>
    <x v="0"/>
    <x v="1"/>
    <m/>
    <x v="2"/>
  </r>
  <r>
    <n v="2223"/>
    <x v="107"/>
    <x v="107"/>
    <x v="99"/>
    <x v="4"/>
    <x v="8"/>
    <n v="2165"/>
    <x v="6"/>
    <m/>
    <m/>
    <s v="Supplier"/>
    <m/>
    <x v="524"/>
    <s v="Supply_Chain_AppendixV.10_Wencan_20Aug2013.pdf"/>
    <s v=".pdf"/>
    <d v="2014-04-15T00:00:00"/>
    <s v="as\afok"/>
    <m/>
    <s v="V10"/>
    <m/>
    <n v="42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n v="1"/>
    <n v="1"/>
    <n v="1"/>
    <m/>
    <m/>
    <s v="CP"/>
    <m/>
    <m/>
    <s v="CP "/>
    <x v="0"/>
    <x v="1"/>
    <m/>
    <x v="2"/>
  </r>
  <r>
    <n v="2216"/>
    <x v="107"/>
    <x v="107"/>
    <x v="99"/>
    <x v="4"/>
    <x v="8"/>
    <n v="2158"/>
    <x v="6"/>
    <m/>
    <m/>
    <s v="Supplier"/>
    <m/>
    <x v="523"/>
    <s v="Wencan_agreement_Jul12.pdf"/>
    <s v=".pdf"/>
    <d v="2014-04-15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n v="1"/>
    <n v="1"/>
    <m/>
    <m/>
    <m/>
    <s v="CP"/>
    <m/>
    <m/>
    <s v="CP "/>
    <x v="0"/>
    <x v="1"/>
    <m/>
    <x v="2"/>
  </r>
  <r>
    <n v="2217"/>
    <x v="107"/>
    <x v="107"/>
    <x v="99"/>
    <x v="4"/>
    <x v="8"/>
    <n v="2159"/>
    <x v="10"/>
    <m/>
    <m/>
    <s v="Supplier"/>
    <m/>
    <x v="11"/>
    <s v="Wencan_agreement_Jul12.pdf"/>
    <s v=".pdf"/>
    <d v="2014-04-1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2"/>
  </r>
  <r>
    <n v="2214"/>
    <x v="107"/>
    <x v="107"/>
    <x v="99"/>
    <x v="4"/>
    <x v="8"/>
    <n v="2156"/>
    <x v="7"/>
    <m/>
    <m/>
    <s v="Supplier"/>
    <m/>
    <x v="523"/>
    <s v="Wencan_agreement_Jul12.pdf"/>
    <s v=".pdf"/>
    <d v="2014-04-15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2"/>
  </r>
  <r>
    <n v="2207"/>
    <x v="107"/>
    <x v="107"/>
    <x v="99"/>
    <x v="4"/>
    <x v="8"/>
    <n v="2149"/>
    <x v="13"/>
    <m/>
    <m/>
    <s v="Supplier"/>
    <d v="2010-04-24T00:00:00"/>
    <x v="525"/>
    <s v="HONG_BANG_ISO14001_24Apr2010.jpg"/>
    <s v=".jpg"/>
    <d v="2014-04-1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2"/>
  </r>
  <r>
    <n v="2210"/>
    <x v="107"/>
    <x v="107"/>
    <x v="99"/>
    <x v="4"/>
    <x v="8"/>
    <n v="2152"/>
    <x v="9"/>
    <m/>
    <m/>
    <s v="Supplier"/>
    <m/>
    <x v="400"/>
    <s v="LOC_Hong_Bang_2011.pdf"/>
    <s v=".pdf"/>
    <d v="2014-04-1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2"/>
  </r>
  <r>
    <n v="2212"/>
    <x v="107"/>
    <x v="107"/>
    <x v="99"/>
    <x v="4"/>
    <x v="8"/>
    <n v="2154"/>
    <x v="9"/>
    <m/>
    <m/>
    <s v="Product / Project"/>
    <m/>
    <x v="526"/>
    <s v="LOC_Hong_Bang_(Nara_foot_project).pdf"/>
    <s v=".pdf"/>
    <d v="2014-04-15T00:00:00"/>
    <s v="as\afok"/>
    <m/>
    <m/>
    <m/>
    <m/>
    <m/>
    <m/>
    <s v="Nara foot"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2"/>
  </r>
  <r>
    <n v="2218"/>
    <x v="107"/>
    <x v="107"/>
    <x v="99"/>
    <x v="4"/>
    <x v="8"/>
    <n v="2160"/>
    <x v="8"/>
    <m/>
    <m/>
    <s v="Supplier"/>
    <m/>
    <x v="264"/>
    <s v="Wencan_Responsible_Purchasing_Charter_10Aug12.pdf"/>
    <s v=".pdf"/>
    <d v="2014-04-1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2"/>
  </r>
  <r>
    <n v="2221"/>
    <x v="107"/>
    <x v="107"/>
    <x v="99"/>
    <x v="4"/>
    <x v="8"/>
    <n v="2163"/>
    <x v="1"/>
    <m/>
    <m/>
    <s v="Supplier"/>
    <m/>
    <x v="190"/>
    <s v="WENCAN Supplier Evaluation Form May 2013.xlsx"/>
    <s v=".xlsx"/>
    <d v="2014-04-15T00:00:00"/>
    <s v="as\afok"/>
    <m/>
    <s v="2013"/>
    <m/>
    <m/>
    <m/>
    <m/>
    <m/>
    <x v="0"/>
    <x v="0"/>
    <x v="0"/>
    <x v="23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2"/>
  </r>
  <r>
    <n v="2220"/>
    <x v="107"/>
    <x v="107"/>
    <x v="99"/>
    <x v="4"/>
    <x v="8"/>
    <n v="2162"/>
    <x v="1"/>
    <m/>
    <m/>
    <s v="Supplier"/>
    <m/>
    <x v="159"/>
    <s v="WENCAN_Supplier_Evaluation_May_2012.xlsx"/>
    <s v=".xlsx"/>
    <d v="2014-04-15T00:00:00"/>
    <s v="as\afok"/>
    <m/>
    <s v="2012"/>
    <m/>
    <m/>
    <m/>
    <m/>
    <m/>
    <x v="0"/>
    <x v="0"/>
    <x v="0"/>
    <x v="6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2"/>
  </r>
  <r>
    <n v="2222"/>
    <x v="107"/>
    <x v="107"/>
    <x v="99"/>
    <x v="4"/>
    <x v="8"/>
    <n v="2164"/>
    <x v="2"/>
    <m/>
    <m/>
    <s v="Supplier"/>
    <m/>
    <x v="527"/>
    <s v="Wencan_SIF2013.xls"/>
    <s v=".xls"/>
    <d v="2014-04-15T00:00:00"/>
    <s v="as\afok"/>
    <m/>
    <s v="2013"/>
    <m/>
    <m/>
    <m/>
    <m/>
    <m/>
    <x v="0"/>
    <x v="0"/>
    <x v="0"/>
    <x v="0"/>
    <x v="2"/>
    <x v="44"/>
    <x v="89"/>
    <x v="101"/>
    <x v="84"/>
    <x v="84"/>
    <x v="8"/>
    <x v="8"/>
    <x v="49"/>
    <x v="49"/>
    <x v="7"/>
    <s v="CP Panel"/>
    <x v="0"/>
    <x v="0"/>
    <x v="1"/>
    <x v="2"/>
    <m/>
    <m/>
    <m/>
    <n v="1"/>
    <m/>
    <m/>
    <m/>
    <s v="CP"/>
    <m/>
    <m/>
    <s v="CP "/>
    <x v="2"/>
    <x v="1"/>
    <m/>
    <x v="2"/>
  </r>
  <r>
    <n v="2211"/>
    <x v="107"/>
    <x v="107"/>
    <x v="99"/>
    <x v="4"/>
    <x v="8"/>
    <n v="2153"/>
    <x v="2"/>
    <m/>
    <m/>
    <s v="Supplier"/>
    <m/>
    <x v="206"/>
    <s v="Wencan_SIF2012_5Jul12.xlsx"/>
    <s v=".xlsx"/>
    <d v="2014-04-15T00:00:00"/>
    <s v="as\afok"/>
    <m/>
    <s v="2012"/>
    <m/>
    <m/>
    <m/>
    <m/>
    <m/>
    <x v="0"/>
    <x v="0"/>
    <x v="0"/>
    <x v="0"/>
    <x v="1"/>
    <x v="44"/>
    <x v="112"/>
    <x v="82"/>
    <x v="91"/>
    <x v="85"/>
    <x v="8"/>
    <x v="8"/>
    <x v="49"/>
    <x v="49"/>
    <x v="7"/>
    <s v="CP Panel"/>
    <x v="0"/>
    <x v="0"/>
    <x v="1"/>
    <x v="2"/>
    <m/>
    <m/>
    <m/>
    <n v="1"/>
    <m/>
    <m/>
    <m/>
    <s v="CP"/>
    <m/>
    <m/>
    <s v="CP "/>
    <x v="2"/>
    <x v="1"/>
    <m/>
    <x v="2"/>
  </r>
  <r>
    <n v="2219"/>
    <x v="107"/>
    <x v="107"/>
    <x v="99"/>
    <x v="4"/>
    <x v="8"/>
    <n v="2161"/>
    <x v="3"/>
    <m/>
    <m/>
    <s v="Supplier"/>
    <m/>
    <x v="190"/>
    <s v="SPR Wencan 29 May 2013.pptx"/>
    <s v=".pptx"/>
    <d v="2014-04-15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2"/>
  </r>
  <r>
    <n v="2042"/>
    <x v="108"/>
    <x v="108"/>
    <x v="100"/>
    <x v="4"/>
    <x v="14"/>
    <n v="1985"/>
    <x v="4"/>
    <m/>
    <m/>
    <s v="Supplier"/>
    <m/>
    <x v="528"/>
    <s v="Hong_Shing_Purchase_Agreement_2008.pdf"/>
    <s v=".pdf"/>
    <d v="2014-04-11T00:00:00"/>
    <s v="as\afok"/>
    <m/>
    <m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m/>
    <s v="CP"/>
    <m/>
    <m/>
    <s v="CP "/>
    <x v="0"/>
    <x v="1"/>
    <m/>
    <x v="24"/>
  </r>
  <r>
    <n v="2035"/>
    <x v="108"/>
    <x v="108"/>
    <x v="100"/>
    <x v="4"/>
    <x v="14"/>
    <n v="1978"/>
    <x v="4"/>
    <m/>
    <m/>
    <s v="Supplier"/>
    <m/>
    <x v="248"/>
    <s v="Agreement_Hong shing_APR12.pdf"/>
    <s v=".pdf"/>
    <d v="2014-04-11T00:00:00"/>
    <s v="as\afok"/>
    <m/>
    <s v="V7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m/>
    <s v="CP"/>
    <m/>
    <m/>
    <s v="CP "/>
    <x v="0"/>
    <x v="1"/>
    <m/>
    <x v="24"/>
  </r>
  <r>
    <n v="2037"/>
    <x v="108"/>
    <x v="108"/>
    <x v="100"/>
    <x v="4"/>
    <x v="14"/>
    <n v="1980"/>
    <x v="5"/>
    <m/>
    <m/>
    <s v="Supplier"/>
    <m/>
    <x v="31"/>
    <s v="Agreement_Hong shing_APR12.pdf"/>
    <s v=".pdf"/>
    <d v="2014-04-11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m/>
    <s v="CP"/>
    <m/>
    <m/>
    <s v="CP "/>
    <x v="0"/>
    <x v="1"/>
    <m/>
    <x v="24"/>
  </r>
  <r>
    <n v="2038"/>
    <x v="108"/>
    <x v="108"/>
    <x v="100"/>
    <x v="4"/>
    <x v="14"/>
    <n v="1981"/>
    <x v="6"/>
    <m/>
    <m/>
    <s v="Supplier"/>
    <m/>
    <x v="529"/>
    <s v="Agreement_Hong shing_APR12.pdf"/>
    <s v=".pdf"/>
    <d v="2014-04-11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m/>
    <s v="CP"/>
    <m/>
    <m/>
    <s v="CP "/>
    <x v="0"/>
    <x v="1"/>
    <m/>
    <x v="24"/>
  </r>
  <r>
    <n v="2039"/>
    <x v="108"/>
    <x v="108"/>
    <x v="100"/>
    <x v="4"/>
    <x v="14"/>
    <n v="1982"/>
    <x v="10"/>
    <m/>
    <m/>
    <s v="Supplier"/>
    <m/>
    <x v="506"/>
    <s v="Agreement_Hong shing_APR12.pdf"/>
    <s v=".pdf"/>
    <d v="2014-04-1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24"/>
  </r>
  <r>
    <n v="2036"/>
    <x v="108"/>
    <x v="108"/>
    <x v="100"/>
    <x v="4"/>
    <x v="14"/>
    <n v="1979"/>
    <x v="7"/>
    <m/>
    <m/>
    <s v="Supplier"/>
    <m/>
    <x v="248"/>
    <s v="Agreement_Hong shing_APR12.pdf"/>
    <s v=".pdf"/>
    <d v="2014-04-11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24"/>
  </r>
  <r>
    <n v="2043"/>
    <x v="108"/>
    <x v="108"/>
    <x v="100"/>
    <x v="4"/>
    <x v="14"/>
    <n v="1986"/>
    <x v="13"/>
    <m/>
    <m/>
    <s v="Supplier"/>
    <d v="2010-12-24T00:00:00"/>
    <x v="530"/>
    <s v="Hong_SHING_ ISO14001_05May2010.pdf"/>
    <s v=".pdf"/>
    <d v="2014-04-11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n v="1"/>
    <m/>
    <m/>
    <s v="CP"/>
    <m/>
    <m/>
    <s v="CP "/>
    <x v="0"/>
    <x v="1"/>
    <m/>
    <x v="24"/>
  </r>
  <r>
    <n v="2033"/>
    <x v="108"/>
    <x v="108"/>
    <x v="100"/>
    <x v="4"/>
    <x v="14"/>
    <n v="1976"/>
    <x v="9"/>
    <m/>
    <m/>
    <s v="Product / Project"/>
    <m/>
    <x v="425"/>
    <s v="LOC_Hong_shing_Nara_Chrome_Plating_Project.pdf"/>
    <s v=".pdf"/>
    <d v="2014-04-11T00:00:00"/>
    <s v="as\afok"/>
    <m/>
    <m/>
    <m/>
    <m/>
    <m/>
    <m/>
    <s v="Nara Chrome Plating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24"/>
  </r>
  <r>
    <n v="2040"/>
    <x v="108"/>
    <x v="108"/>
    <x v="100"/>
    <x v="4"/>
    <x v="14"/>
    <n v="1983"/>
    <x v="1"/>
    <m/>
    <m/>
    <s v="Supplier"/>
    <m/>
    <x v="265"/>
    <s v="HongShing_SEF_Dec2011_R2.xlsx"/>
    <s v=".xlsx"/>
    <d v="2014-04-11T00:00:00"/>
    <s v="as\afok"/>
    <m/>
    <s v="2011"/>
    <m/>
    <m/>
    <m/>
    <m/>
    <m/>
    <x v="0"/>
    <x v="0"/>
    <x v="0"/>
    <x v="1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24"/>
  </r>
  <r>
    <n v="2034"/>
    <x v="108"/>
    <x v="108"/>
    <x v="100"/>
    <x v="4"/>
    <x v="14"/>
    <n v="1977"/>
    <x v="2"/>
    <m/>
    <m/>
    <s v="Supplier"/>
    <m/>
    <x v="531"/>
    <s v="SIF2011_Hong_Shing.xlsx"/>
    <s v=".xlsx"/>
    <d v="2014-04-11T00:00:00"/>
    <s v="as\afok"/>
    <m/>
    <s v="2011"/>
    <m/>
    <m/>
    <m/>
    <m/>
    <m/>
    <x v="0"/>
    <x v="0"/>
    <x v="0"/>
    <x v="0"/>
    <x v="5"/>
    <x v="93"/>
    <x v="113"/>
    <x v="102"/>
    <x v="92"/>
    <x v="86"/>
    <x v="0"/>
    <x v="63"/>
    <x v="57"/>
    <x v="50"/>
    <x v="45"/>
    <m/>
    <x v="0"/>
    <x v="0"/>
    <x v="0"/>
    <x v="0"/>
    <m/>
    <m/>
    <m/>
    <n v="1"/>
    <m/>
    <m/>
    <m/>
    <s v="CP"/>
    <m/>
    <m/>
    <s v="CP "/>
    <x v="2"/>
    <x v="1"/>
    <m/>
    <x v="24"/>
  </r>
  <r>
    <n v="2041"/>
    <x v="108"/>
    <x v="108"/>
    <x v="100"/>
    <x v="4"/>
    <x v="14"/>
    <n v="1984"/>
    <x v="3"/>
    <m/>
    <m/>
    <s v="Supplier"/>
    <m/>
    <x v="532"/>
    <s v="SPR_HongShing_Jun2011_R1.pptx"/>
    <s v=".pptx"/>
    <d v="2014-04-11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24"/>
  </r>
  <r>
    <n v="2053"/>
    <x v="109"/>
    <x v="109"/>
    <x v="101"/>
    <x v="4"/>
    <x v="14"/>
    <n v="1996"/>
    <x v="4"/>
    <m/>
    <m/>
    <s v="Supplier"/>
    <m/>
    <x v="533"/>
    <s v="Hongrita_Purchase_Agreement_2009.pdf"/>
    <s v=".pdf"/>
    <d v="2014-04-11T00:00:00"/>
    <s v="as\afok"/>
    <m/>
    <s v="V6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n v="1"/>
    <m/>
    <m/>
    <n v="0"/>
    <m/>
    <m/>
    <m/>
    <s v="CP"/>
    <m/>
    <s v="MOULD"/>
    <s v="CP MOULD "/>
    <x v="0"/>
    <x v="1"/>
    <m/>
    <x v="37"/>
  </r>
  <r>
    <n v="2044"/>
    <x v="109"/>
    <x v="109"/>
    <x v="101"/>
    <x v="4"/>
    <x v="14"/>
    <n v="1987"/>
    <x v="6"/>
    <m/>
    <m/>
    <s v="Supplier"/>
    <m/>
    <x v="151"/>
    <s v="Supply Chain Appendix  V10 - Hongrita-12Sep2013.pdf"/>
    <s v=".pdf"/>
    <d v="2014-04-11T00:00:00"/>
    <s v="as\afok"/>
    <m/>
    <s v="V10"/>
    <m/>
    <n v="28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n v="1"/>
    <n v="0"/>
    <m/>
    <m/>
    <m/>
    <s v="CP"/>
    <m/>
    <s v="MOULD"/>
    <s v="CP MOULD "/>
    <x v="0"/>
    <x v="1"/>
    <m/>
    <x v="37"/>
  </r>
  <r>
    <n v="2054"/>
    <x v="109"/>
    <x v="109"/>
    <x v="101"/>
    <x v="4"/>
    <x v="14"/>
    <n v="1997"/>
    <x v="13"/>
    <m/>
    <m/>
    <s v="Supplier"/>
    <d v="2011-08-27T00:00:00"/>
    <x v="534"/>
    <s v="Hongrita_ISO14000_05Mar2010.PDF"/>
    <s v=".pdf"/>
    <d v="2014-04-1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n v="1"/>
    <m/>
    <s v="CP"/>
    <m/>
    <s v="MOULD"/>
    <s v="CP MOULD "/>
    <x v="0"/>
    <x v="1"/>
    <m/>
    <x v="37"/>
  </r>
  <r>
    <n v="2048"/>
    <x v="109"/>
    <x v="109"/>
    <x v="101"/>
    <x v="4"/>
    <x v="14"/>
    <n v="1991"/>
    <x v="9"/>
    <m/>
    <m/>
    <s v="Supplier"/>
    <m/>
    <x v="18"/>
    <s v="LOC_Hongrita.pdf"/>
    <s v=".pdf"/>
    <d v="2014-04-1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m/>
    <s v="CP"/>
    <m/>
    <s v="MOULD"/>
    <s v="CP MOULD "/>
    <x v="0"/>
    <x v="1"/>
    <m/>
    <x v="37"/>
  </r>
  <r>
    <n v="2049"/>
    <x v="109"/>
    <x v="109"/>
    <x v="101"/>
    <x v="4"/>
    <x v="14"/>
    <n v="1992"/>
    <x v="8"/>
    <m/>
    <m/>
    <s v="Supplier"/>
    <m/>
    <x v="8"/>
    <s v="Hongrita_Responsible_Purchasing_Charter_08Aug12.pdf"/>
    <s v=".pdf"/>
    <d v="2014-04-1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m/>
    <s v="CP"/>
    <m/>
    <s v="MOULD"/>
    <s v="CP MOULD "/>
    <x v="0"/>
    <x v="1"/>
    <m/>
    <x v="37"/>
  </r>
  <r>
    <n v="2051"/>
    <x v="109"/>
    <x v="109"/>
    <x v="101"/>
    <x v="4"/>
    <x v="14"/>
    <n v="1994"/>
    <x v="1"/>
    <m/>
    <m/>
    <s v="Supplier"/>
    <m/>
    <x v="47"/>
    <s v="Hongrita_SEF_July12-89.xlsx"/>
    <s v=".xlsx"/>
    <d v="2014-04-11T00:00:00"/>
    <s v="as\afok"/>
    <m/>
    <s v="2012"/>
    <m/>
    <m/>
    <m/>
    <m/>
    <m/>
    <x v="0"/>
    <x v="0"/>
    <x v="0"/>
    <x v="39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m/>
    <s v="CP"/>
    <m/>
    <s v="MOULD"/>
    <s v="CP MOULD "/>
    <x v="0"/>
    <x v="1"/>
    <m/>
    <x v="37"/>
  </r>
  <r>
    <n v="2052"/>
    <x v="109"/>
    <x v="109"/>
    <x v="101"/>
    <x v="4"/>
    <x v="14"/>
    <n v="1995"/>
    <x v="2"/>
    <n v="1"/>
    <m/>
    <s v="Supplier"/>
    <m/>
    <x v="48"/>
    <s v="Hongrita_SIF2012_20Apr12.xls"/>
    <s v=".xls"/>
    <d v="2014-04-11T00:00:00"/>
    <s v="as\afok"/>
    <m/>
    <s v="2012"/>
    <m/>
    <m/>
    <m/>
    <m/>
    <m/>
    <x v="0"/>
    <x v="0"/>
    <x v="0"/>
    <x v="0"/>
    <x v="1"/>
    <x v="94"/>
    <x v="114"/>
    <x v="103"/>
    <x v="93"/>
    <x v="87"/>
    <x v="0"/>
    <x v="64"/>
    <x v="58"/>
    <x v="51"/>
    <x v="46"/>
    <s v="CP Panel"/>
    <x v="0"/>
    <x v="0"/>
    <x v="1"/>
    <x v="1"/>
    <m/>
    <m/>
    <m/>
    <n v="0"/>
    <m/>
    <m/>
    <m/>
    <s v="CP"/>
    <m/>
    <s v="MOULD"/>
    <s v="CP MOULD "/>
    <x v="2"/>
    <x v="1"/>
    <m/>
    <x v="37"/>
  </r>
  <r>
    <n v="2046"/>
    <x v="109"/>
    <x v="109"/>
    <x v="101"/>
    <x v="4"/>
    <x v="14"/>
    <n v="1989"/>
    <x v="2"/>
    <m/>
    <m/>
    <s v="Supplier"/>
    <m/>
    <x v="512"/>
    <s v="Hongrtia_SIF2013.xls"/>
    <s v=".xls"/>
    <d v="2014-04-11T00:00:00"/>
    <s v="as\afok"/>
    <m/>
    <s v="2013"/>
    <m/>
    <m/>
    <m/>
    <m/>
    <m/>
    <x v="0"/>
    <x v="0"/>
    <x v="0"/>
    <x v="0"/>
    <x v="2"/>
    <x v="95"/>
    <x v="115"/>
    <x v="104"/>
    <x v="94"/>
    <x v="88"/>
    <x v="0"/>
    <x v="65"/>
    <x v="59"/>
    <x v="52"/>
    <x v="47"/>
    <s v="CP Panel"/>
    <x v="0"/>
    <x v="0"/>
    <x v="1"/>
    <x v="1"/>
    <m/>
    <m/>
    <m/>
    <n v="0"/>
    <m/>
    <m/>
    <m/>
    <s v="CP"/>
    <m/>
    <s v="MOULD"/>
    <s v="CP MOULD "/>
    <x v="2"/>
    <x v="1"/>
    <m/>
    <x v="37"/>
  </r>
  <r>
    <n v="2050"/>
    <x v="109"/>
    <x v="109"/>
    <x v="101"/>
    <x v="4"/>
    <x v="14"/>
    <n v="1993"/>
    <x v="3"/>
    <m/>
    <m/>
    <s v="Supplier"/>
    <m/>
    <x v="47"/>
    <s v="Hongrita_SPR_July2012(REV_2).pptx"/>
    <s v=".pptx"/>
    <d v="2014-04-11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m/>
    <s v="CP"/>
    <m/>
    <s v="MOULD"/>
    <s v="CP MOULD "/>
    <x v="0"/>
    <x v="1"/>
    <m/>
    <x v="37"/>
  </r>
  <r>
    <n v="2045"/>
    <x v="109"/>
    <x v="109"/>
    <x v="101"/>
    <x v="4"/>
    <x v="14"/>
    <n v="1988"/>
    <x v="3"/>
    <m/>
    <m/>
    <s v="Supplier"/>
    <m/>
    <x v="391"/>
    <s v="Hongrita SPR 20130702.pptx"/>
    <s v=".pptx"/>
    <d v="2014-04-11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m/>
    <s v="CP"/>
    <m/>
    <s v="MOULD"/>
    <s v="CP MOULD "/>
    <x v="0"/>
    <x v="1"/>
    <m/>
    <x v="37"/>
  </r>
  <r>
    <n v="2047"/>
    <x v="109"/>
    <x v="109"/>
    <x v="101"/>
    <x v="4"/>
    <x v="14"/>
    <n v="1990"/>
    <x v="3"/>
    <m/>
    <m/>
    <s v="Supplier"/>
    <m/>
    <x v="1"/>
    <s v="Hongrita_SPR_2010R3.pptx"/>
    <s v=".pptx"/>
    <d v="2014-04-11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m/>
    <s v="CP"/>
    <m/>
    <s v="MOULD"/>
    <s v="CP MOULD "/>
    <x v="0"/>
    <x v="1"/>
    <m/>
    <x v="37"/>
  </r>
  <r>
    <n v="22"/>
    <x v="110"/>
    <x v="110"/>
    <x v="102"/>
    <x v="5"/>
    <x v="16"/>
    <n v="18"/>
    <x v="4"/>
    <m/>
    <m/>
    <s v="Supplier"/>
    <d v="2014-12-31T00:00:00"/>
    <x v="535"/>
    <s v="HongYi FHA00016 ind.09 20080724.pdf"/>
    <s v=".pdf"/>
    <d v="2014-03-04T00:00:00"/>
    <s v="as\afok"/>
    <m/>
    <s v="FHA00016 ind.09 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0"/>
    <m/>
    <m/>
    <s v="FP"/>
    <m/>
    <s v="SP"/>
    <s v="MOULD"/>
    <s v="FP SP MOULD "/>
    <x v="0"/>
    <x v="1"/>
    <m/>
    <x v="21"/>
  </r>
  <r>
    <n v="323"/>
    <x v="110"/>
    <x v="110"/>
    <x v="102"/>
    <x v="5"/>
    <x v="16"/>
    <n v="310"/>
    <x v="7"/>
    <m/>
    <m/>
    <s v="Supplier"/>
    <m/>
    <x v="14"/>
    <s v="HongYi_Env_Declaration_2011.xlsx"/>
    <s v=".xlsx"/>
    <d v="2014-03-14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1"/>
  </r>
  <r>
    <n v="330"/>
    <x v="110"/>
    <x v="110"/>
    <x v="102"/>
    <x v="5"/>
    <x v="16"/>
    <n v="317"/>
    <x v="11"/>
    <m/>
    <m/>
    <s v="Product / Project"/>
    <m/>
    <x v="37"/>
    <s v="Hongyi_EA_SM ultracompact urban style_28Feb2013.pdf"/>
    <s v=".pdf"/>
    <d v="2014-03-14T00:00:00"/>
    <s v="as\afok"/>
    <s v="_x000d__x000a_"/>
    <m/>
    <m/>
    <m/>
    <m/>
    <m/>
    <s v="SM ultracompact urban style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s v="FP"/>
    <m/>
    <s v="SP"/>
    <s v="MOULD"/>
    <s v="FP SP MOULD "/>
    <x v="0"/>
    <x v="1"/>
    <m/>
    <x v="21"/>
  </r>
  <r>
    <n v="324"/>
    <x v="110"/>
    <x v="110"/>
    <x v="102"/>
    <x v="5"/>
    <x v="16"/>
    <n v="311"/>
    <x v="11"/>
    <m/>
    <m/>
    <s v="Supplier"/>
    <m/>
    <x v="507"/>
    <s v="Hongyi_Exclusivity Summary 20130314.xlsx"/>
    <s v=".xlsx"/>
    <d v="2014-03-14T00:00:00"/>
    <s v="as\afok"/>
    <s v="Exclusivity Summary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1"/>
  </r>
  <r>
    <n v="325"/>
    <x v="110"/>
    <x v="110"/>
    <x v="102"/>
    <x v="5"/>
    <x v="16"/>
    <n v="312"/>
    <x v="11"/>
    <m/>
    <m/>
    <s v="Product / Project"/>
    <m/>
    <x v="414"/>
    <s v="Hongyi_Exclusivity_Panex Sandwich Maker HY-2123_8Jun12.pdf"/>
    <s v=".pdf"/>
    <d v="2014-03-14T00:00:00"/>
    <s v="as\afok"/>
    <s v="_x000d__x000a_"/>
    <m/>
    <m/>
    <m/>
    <m/>
    <m/>
    <s v="Panex Sandwich Maker HY-2123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1"/>
  </r>
  <r>
    <n v="322"/>
    <x v="110"/>
    <x v="110"/>
    <x v="102"/>
    <x v="5"/>
    <x v="16"/>
    <n v="309"/>
    <x v="0"/>
    <m/>
    <m/>
    <s v="Supplier"/>
    <m/>
    <x v="536"/>
    <s v="HongYi FRD00069 ind.04 20090519.pdf"/>
    <s v=".pdf"/>
    <d v="2014-03-14T00:00:00"/>
    <s v="as\afok"/>
    <m/>
    <s v="FRD00069 ind.04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1"/>
  </r>
  <r>
    <n v="326"/>
    <x v="110"/>
    <x v="110"/>
    <x v="102"/>
    <x v="5"/>
    <x v="16"/>
    <n v="313"/>
    <x v="8"/>
    <m/>
    <m/>
    <s v="Supplier"/>
    <m/>
    <x v="8"/>
    <s v="Hongyi_Responsible Purchaser Charter_8Aug2012.pdf"/>
    <s v=".pdf"/>
    <d v="2014-03-1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1"/>
  </r>
  <r>
    <n v="327"/>
    <x v="110"/>
    <x v="110"/>
    <x v="102"/>
    <x v="5"/>
    <x v="16"/>
    <n v="314"/>
    <x v="1"/>
    <m/>
    <m/>
    <s v="Supplier"/>
    <m/>
    <x v="145"/>
    <s v="HONGYI_SEF_ 2012May.xlsx"/>
    <s v=".xlsx"/>
    <d v="2014-03-14T00:00:00"/>
    <s v="as\afok"/>
    <m/>
    <s v="2012"/>
    <m/>
    <m/>
    <m/>
    <m/>
    <m/>
    <x v="0"/>
    <x v="0"/>
    <x v="0"/>
    <x v="4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1"/>
  </r>
  <r>
    <n v="328"/>
    <x v="110"/>
    <x v="110"/>
    <x v="102"/>
    <x v="5"/>
    <x v="16"/>
    <n v="315"/>
    <x v="2"/>
    <m/>
    <m/>
    <s v="Supplier"/>
    <m/>
    <x v="140"/>
    <s v="Hongyi_SIF_23Apr2012.xlsx"/>
    <s v=".xlsx"/>
    <d v="2014-03-14T00:00:00"/>
    <s v="as\afok"/>
    <m/>
    <s v="2012"/>
    <m/>
    <m/>
    <m/>
    <m/>
    <m/>
    <x v="0"/>
    <x v="0"/>
    <x v="0"/>
    <x v="0"/>
    <x v="1"/>
    <x v="82"/>
    <x v="116"/>
    <x v="14"/>
    <x v="90"/>
    <x v="89"/>
    <x v="35"/>
    <x v="17"/>
    <x v="3"/>
    <x v="4"/>
    <x v="48"/>
    <m/>
    <x v="0"/>
    <x v="0"/>
    <x v="0"/>
    <x v="0"/>
    <m/>
    <m/>
    <m/>
    <n v="0"/>
    <m/>
    <m/>
    <s v="FP"/>
    <m/>
    <s v="SP"/>
    <s v="MOULD"/>
    <s v="FP SP MOULD "/>
    <x v="3"/>
    <x v="1"/>
    <m/>
    <x v="21"/>
  </r>
  <r>
    <n v="329"/>
    <x v="110"/>
    <x v="110"/>
    <x v="102"/>
    <x v="5"/>
    <x v="16"/>
    <n v="316"/>
    <x v="3"/>
    <m/>
    <m/>
    <s v="Supplier"/>
    <m/>
    <x v="243"/>
    <s v="SPR 2012 HONGYI.pptx"/>
    <s v=".pptx"/>
    <d v="2014-03-14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1"/>
  </r>
  <r>
    <n v="2064"/>
    <x v="111"/>
    <x v="111"/>
    <x v="103"/>
    <x v="4"/>
    <x v="14"/>
    <n v="2007"/>
    <x v="4"/>
    <m/>
    <m/>
    <s v="Supplier"/>
    <m/>
    <x v="498"/>
    <s v="Honsun_0.SupplyAgreementV7_18Mar2013.pdf"/>
    <s v=".pdf"/>
    <d v="2014-04-11T00:00:00"/>
    <s v="as\afok"/>
    <m/>
    <s v="V7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m/>
    <s v="CP"/>
    <m/>
    <m/>
    <s v="CP "/>
    <x v="0"/>
    <x v="1"/>
    <m/>
    <x v="0"/>
  </r>
  <r>
    <n v="2055"/>
    <x v="111"/>
    <x v="111"/>
    <x v="103"/>
    <x v="4"/>
    <x v="14"/>
    <n v="1998"/>
    <x v="4"/>
    <m/>
    <m/>
    <s v="Supplier"/>
    <m/>
    <x v="537"/>
    <s v="Honsun_SupplyAgreement_V8_17Nov2013.pdf"/>
    <s v=".pdf"/>
    <d v="2014-04-11T00:00:00"/>
    <s v="as\afok"/>
    <m/>
    <s v="V8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m/>
    <s v="CP"/>
    <m/>
    <m/>
    <s v="CP "/>
    <x v="0"/>
    <x v="1"/>
    <m/>
    <x v="0"/>
  </r>
  <r>
    <n v="2056"/>
    <x v="111"/>
    <x v="111"/>
    <x v="103"/>
    <x v="4"/>
    <x v="14"/>
    <n v="1999"/>
    <x v="5"/>
    <m/>
    <m/>
    <s v="Supplier"/>
    <m/>
    <x v="537"/>
    <s v="HS QUALITY POLICY (2013.11.17).pdf"/>
    <s v=".pdf"/>
    <d v="2014-04-11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m/>
    <s v="CP"/>
    <m/>
    <m/>
    <s v="CP "/>
    <x v="0"/>
    <x v="1"/>
    <m/>
    <x v="0"/>
  </r>
  <r>
    <n v="2062"/>
    <x v="111"/>
    <x v="111"/>
    <x v="103"/>
    <x v="4"/>
    <x v="14"/>
    <n v="2005"/>
    <x v="5"/>
    <m/>
    <m/>
    <s v="Supplier"/>
    <m/>
    <x v="538"/>
    <s v="Honsun_4.QualityPolicy_11Oct2013.pdf"/>
    <s v=".pdf"/>
    <d v="2014-04-11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m/>
    <s v="CP"/>
    <m/>
    <m/>
    <s v="CP "/>
    <x v="0"/>
    <x v="1"/>
    <m/>
    <x v="0"/>
  </r>
  <r>
    <n v="2057"/>
    <x v="111"/>
    <x v="111"/>
    <x v="103"/>
    <x v="4"/>
    <x v="14"/>
    <n v="2000"/>
    <x v="6"/>
    <m/>
    <m/>
    <s v="Supplier"/>
    <m/>
    <x v="537"/>
    <s v="HS SUPPLY APPENDIX (2013.11.17)_0011_NEW.pdf"/>
    <s v=".pdf"/>
    <d v="2014-04-11T00:00:00"/>
    <s v="as\afok"/>
    <m/>
    <s v="V10"/>
    <m/>
    <n v="28"/>
    <n v="9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m/>
    <s v="CP"/>
    <m/>
    <m/>
    <s v="CP "/>
    <x v="0"/>
    <x v="1"/>
    <m/>
    <x v="0"/>
  </r>
  <r>
    <n v="2060"/>
    <x v="111"/>
    <x v="111"/>
    <x v="103"/>
    <x v="4"/>
    <x v="14"/>
    <n v="2003"/>
    <x v="6"/>
    <m/>
    <m/>
    <s v="Supplier"/>
    <m/>
    <x v="539"/>
    <s v="Honsun_5.SupplyChainAppendixV10_8Oct2013.pdf"/>
    <s v=".pdf"/>
    <d v="2014-04-11T00:00:00"/>
    <s v="as\afok"/>
    <m/>
    <s v="V10"/>
    <m/>
    <n v="28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m/>
    <s v="CP"/>
    <m/>
    <m/>
    <s v="CP "/>
    <x v="0"/>
    <x v="1"/>
    <m/>
    <x v="0"/>
  </r>
  <r>
    <n v="2065"/>
    <x v="111"/>
    <x v="111"/>
    <x v="103"/>
    <x v="4"/>
    <x v="14"/>
    <n v="2008"/>
    <x v="6"/>
    <m/>
    <m/>
    <s v="Supplier"/>
    <d v="2014-04-11T00:00:00"/>
    <x v="253"/>
    <s v="Honsun_5.SupplyChainAppendixV10_12Aug13.pdf"/>
    <s v=".pdf"/>
    <d v="2014-04-11T00:00:00"/>
    <s v="as\afok"/>
    <m/>
    <s v="V10"/>
    <m/>
    <n v="28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m/>
    <s v="CP"/>
    <m/>
    <m/>
    <s v="CP "/>
    <x v="0"/>
    <x v="1"/>
    <m/>
    <x v="0"/>
  </r>
  <r>
    <n v="2061"/>
    <x v="111"/>
    <x v="111"/>
    <x v="103"/>
    <x v="4"/>
    <x v="14"/>
    <n v="2004"/>
    <x v="6"/>
    <m/>
    <m/>
    <s v="Supplier"/>
    <m/>
    <x v="538"/>
    <s v="Honsun_5.SupplyChainAppendix_11Oct2013.pdf"/>
    <s v=".pdf"/>
    <d v="2014-04-11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m/>
    <s v="CP"/>
    <m/>
    <m/>
    <s v="CP "/>
    <x v="0"/>
    <x v="1"/>
    <m/>
    <x v="0"/>
  </r>
  <r>
    <n v="2063"/>
    <x v="111"/>
    <x v="111"/>
    <x v="103"/>
    <x v="4"/>
    <x v="14"/>
    <n v="2006"/>
    <x v="7"/>
    <m/>
    <m/>
    <s v="Supplier"/>
    <m/>
    <x v="498"/>
    <s v="Honsun_3.EnvironmentalDeclaration_18Mar2013.pdf"/>
    <s v=".pdf"/>
    <d v="2014-04-11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0"/>
  </r>
  <r>
    <n v="2059"/>
    <x v="111"/>
    <x v="111"/>
    <x v="103"/>
    <x v="4"/>
    <x v="14"/>
    <n v="2002"/>
    <x v="7"/>
    <m/>
    <m/>
    <s v="Supplier"/>
    <m/>
    <x v="537"/>
    <s v="Honsun_3.EnvironmentalDeclaration_18Mar2013.pdf"/>
    <s v=".pdf"/>
    <d v="2014-04-11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0"/>
  </r>
  <r>
    <n v="2058"/>
    <x v="111"/>
    <x v="111"/>
    <x v="103"/>
    <x v="4"/>
    <x v="14"/>
    <n v="2001"/>
    <x v="8"/>
    <m/>
    <m/>
    <s v="Supplier"/>
    <m/>
    <x v="537"/>
    <s v="HS PURCHASING CHARTER (2013.11.17).pdf"/>
    <s v=".pdf"/>
    <d v="2014-04-1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0"/>
  </r>
  <r>
    <n v="2066"/>
    <x v="111"/>
    <x v="111"/>
    <x v="103"/>
    <x v="4"/>
    <x v="14"/>
    <n v="2009"/>
    <x v="2"/>
    <m/>
    <m/>
    <s v="Supplier"/>
    <m/>
    <x v="540"/>
    <s v="Honsun_SIF2012_22May12.xls"/>
    <s v=".xls"/>
    <d v="2014-04-11T00:00:00"/>
    <s v="as\afok"/>
    <m/>
    <s v="2012"/>
    <m/>
    <m/>
    <m/>
    <m/>
    <m/>
    <x v="0"/>
    <x v="0"/>
    <x v="0"/>
    <x v="0"/>
    <x v="1"/>
    <x v="73"/>
    <x v="117"/>
    <x v="105"/>
    <x v="95"/>
    <x v="90"/>
    <x v="0"/>
    <x v="0"/>
    <x v="0"/>
    <x v="0"/>
    <x v="0"/>
    <m/>
    <x v="0"/>
    <x v="0"/>
    <x v="0"/>
    <x v="0"/>
    <m/>
    <m/>
    <m/>
    <n v="1"/>
    <n v="1"/>
    <m/>
    <m/>
    <s v="CP"/>
    <m/>
    <m/>
    <s v="CP "/>
    <x v="2"/>
    <x v="1"/>
    <m/>
    <x v="0"/>
  </r>
  <r>
    <n v="1139"/>
    <x v="112"/>
    <x v="112"/>
    <x v="104"/>
    <x v="0"/>
    <x v="9"/>
    <n v="1115"/>
    <x v="7"/>
    <m/>
    <m/>
    <s v="Supplier"/>
    <m/>
    <x v="61"/>
    <s v="Hop_Shing_Env_Declaration_31Mar2010.pdf"/>
    <s v=".pdf"/>
    <d v="2014-03-25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38"/>
  </r>
  <r>
    <n v="1130"/>
    <x v="112"/>
    <x v="112"/>
    <x v="104"/>
    <x v="0"/>
    <x v="9"/>
    <n v="1106"/>
    <x v="11"/>
    <m/>
    <m/>
    <s v="Product / Project"/>
    <m/>
    <x v="140"/>
    <s v="Hop_Shing_Exclusivity_JA-333_23Apr12.pdf"/>
    <s v=".pdf"/>
    <d v="2014-03-25T00:00:00"/>
    <s v="as\afok"/>
    <m/>
    <m/>
    <m/>
    <m/>
    <m/>
    <m/>
    <s v="JA-333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38"/>
  </r>
  <r>
    <n v="1132"/>
    <x v="112"/>
    <x v="112"/>
    <x v="104"/>
    <x v="0"/>
    <x v="9"/>
    <n v="1108"/>
    <x v="11"/>
    <m/>
    <m/>
    <s v="Product / Project"/>
    <m/>
    <x v="541"/>
    <s v="Hop_Shing_Exclusivity_JA-109-4, BL-886-1, BL-882-2, KE-563-2 _1Aug11.pdf"/>
    <s v=".pdf"/>
    <d v="2014-03-25T00:00:00"/>
    <s v="as\afok"/>
    <m/>
    <m/>
    <m/>
    <m/>
    <m/>
    <m/>
    <s v="JA-109-4, BL-886-1, BL-882-2, KE-563-2 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38"/>
  </r>
  <r>
    <n v="1129"/>
    <x v="112"/>
    <x v="112"/>
    <x v="104"/>
    <x v="0"/>
    <x v="9"/>
    <n v="1105"/>
    <x v="11"/>
    <m/>
    <m/>
    <s v="Supplier"/>
    <m/>
    <x v="542"/>
    <s v="Exclusivity summary for Hop Shing.xlsx"/>
    <s v=".xlsx"/>
    <d v="2014-03-25T00:00:00"/>
    <s v="as\afok"/>
    <s v="Exclusivity Summary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38"/>
  </r>
  <r>
    <n v="1131"/>
    <x v="112"/>
    <x v="112"/>
    <x v="104"/>
    <x v="0"/>
    <x v="9"/>
    <n v="1107"/>
    <x v="11"/>
    <m/>
    <m/>
    <s v="Product / Project"/>
    <m/>
    <x v="382"/>
    <s v="Hop_Shing_Exclusivity_KE-563_19Mar12.pdf"/>
    <s v=".pdf"/>
    <d v="2014-03-25T00:00:00"/>
    <s v="as\afok"/>
    <m/>
    <m/>
    <m/>
    <m/>
    <m/>
    <m/>
    <s v="KE-563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38"/>
  </r>
  <r>
    <n v="1136"/>
    <x v="112"/>
    <x v="112"/>
    <x v="104"/>
    <x v="0"/>
    <x v="9"/>
    <n v="1112"/>
    <x v="12"/>
    <m/>
    <m/>
    <s v="Supplier"/>
    <m/>
    <x v="543"/>
    <s v="Hop_Shing_IP_1Jun11.pdf"/>
    <s v=".pdf"/>
    <d v="2014-03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38"/>
  </r>
  <r>
    <n v="1133"/>
    <x v="112"/>
    <x v="112"/>
    <x v="104"/>
    <x v="0"/>
    <x v="9"/>
    <n v="1109"/>
    <x v="12"/>
    <m/>
    <m/>
    <s v="Product / Project"/>
    <m/>
    <x v="140"/>
    <s v="Hop_Shing_IP_JA-333_23Apr12.pdf"/>
    <s v=".pdf"/>
    <d v="2014-03-25T00:00:00"/>
    <s v="as\afok"/>
    <m/>
    <m/>
    <m/>
    <m/>
    <m/>
    <m/>
    <s v="JA-333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38"/>
  </r>
  <r>
    <n v="1134"/>
    <x v="112"/>
    <x v="112"/>
    <x v="104"/>
    <x v="0"/>
    <x v="9"/>
    <n v="1110"/>
    <x v="12"/>
    <m/>
    <m/>
    <s v="Product / Project"/>
    <m/>
    <x v="382"/>
    <s v="Hop_Shing_IP_KE-563_19Mar12.pdf"/>
    <s v=".pdf"/>
    <d v="2014-03-25T00:00:00"/>
    <s v="as\afok"/>
    <m/>
    <m/>
    <m/>
    <m/>
    <m/>
    <m/>
    <s v="KE-563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38"/>
  </r>
  <r>
    <n v="1135"/>
    <x v="112"/>
    <x v="112"/>
    <x v="104"/>
    <x v="0"/>
    <x v="9"/>
    <n v="1111"/>
    <x v="12"/>
    <m/>
    <m/>
    <s v="Product / Project"/>
    <m/>
    <x v="541"/>
    <s v="Hop_Shing_IP_JA-109-4, BL-886-1, BL-882-2, KE-563-2 _1Aug11.pdf"/>
    <s v=".pdf"/>
    <d v="2014-03-25T00:00:00"/>
    <s v="as\afok"/>
    <m/>
    <m/>
    <m/>
    <m/>
    <m/>
    <m/>
    <s v="JA-109-4, BL-886-1, BL-882-2, KE-563-2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38"/>
  </r>
  <r>
    <n v="1138"/>
    <x v="112"/>
    <x v="112"/>
    <x v="104"/>
    <x v="0"/>
    <x v="9"/>
    <n v="1114"/>
    <x v="1"/>
    <m/>
    <m/>
    <s v="Supplier"/>
    <m/>
    <x v="105"/>
    <s v="SEF_Hop_Shing_20120830.xlsx"/>
    <s v=".xlsx"/>
    <d v="2014-03-25T00:00:00"/>
    <s v="as\afok"/>
    <m/>
    <s v="2012"/>
    <m/>
    <m/>
    <m/>
    <m/>
    <m/>
    <x v="0"/>
    <x v="0"/>
    <x v="0"/>
    <x v="41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38"/>
  </r>
  <r>
    <n v="1127"/>
    <x v="112"/>
    <x v="112"/>
    <x v="104"/>
    <x v="0"/>
    <x v="9"/>
    <n v="1103"/>
    <x v="1"/>
    <m/>
    <m/>
    <s v="Supplier"/>
    <m/>
    <x v="223"/>
    <s v="SEF Hop shing 20130809.xlsx"/>
    <s v=".xlsx"/>
    <d v="2014-03-25T00:00:00"/>
    <s v="as\afok"/>
    <m/>
    <s v="2013"/>
    <m/>
    <m/>
    <m/>
    <m/>
    <m/>
    <x v="0"/>
    <x v="0"/>
    <x v="0"/>
    <x v="2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38"/>
  </r>
  <r>
    <n v="1137"/>
    <x v="112"/>
    <x v="112"/>
    <x v="104"/>
    <x v="0"/>
    <x v="9"/>
    <n v="1113"/>
    <x v="2"/>
    <n v="1"/>
    <m/>
    <s v="Supplier"/>
    <m/>
    <x v="165"/>
    <s v="Hop_Shing_SIF2012_29Feb12.pdf"/>
    <s v=".pdf"/>
    <d v="2014-03-25T00:00:00"/>
    <s v="as\afok"/>
    <m/>
    <s v="2012"/>
    <m/>
    <m/>
    <m/>
    <m/>
    <m/>
    <x v="0"/>
    <x v="0"/>
    <x v="0"/>
    <x v="0"/>
    <x v="1"/>
    <x v="96"/>
    <x v="118"/>
    <x v="106"/>
    <x v="96"/>
    <x v="13"/>
    <x v="11"/>
    <x v="35"/>
    <x v="22"/>
    <x v="6"/>
    <x v="49"/>
    <m/>
    <x v="0"/>
    <x v="0"/>
    <x v="0"/>
    <x v="0"/>
    <m/>
    <m/>
    <m/>
    <n v="0"/>
    <m/>
    <m/>
    <s v="FP"/>
    <m/>
    <s v="SP"/>
    <s v="MOULD"/>
    <s v="FP SP MOULD "/>
    <x v="3"/>
    <x v="1"/>
    <m/>
    <x v="38"/>
  </r>
  <r>
    <n v="1128"/>
    <x v="112"/>
    <x v="112"/>
    <x v="104"/>
    <x v="0"/>
    <x v="9"/>
    <n v="1104"/>
    <x v="2"/>
    <m/>
    <m/>
    <s v="Supplier"/>
    <m/>
    <x v="505"/>
    <s v="Hop_Shing_SIF2013.pdf"/>
    <s v=".pdf"/>
    <d v="2014-03-25T00:00:00"/>
    <s v="as\afok"/>
    <m/>
    <s v="2013"/>
    <m/>
    <m/>
    <m/>
    <m/>
    <m/>
    <x v="0"/>
    <x v="0"/>
    <x v="0"/>
    <x v="0"/>
    <x v="2"/>
    <x v="48"/>
    <x v="119"/>
    <x v="107"/>
    <x v="97"/>
    <x v="42"/>
    <x v="6"/>
    <x v="66"/>
    <x v="52"/>
    <x v="6"/>
    <x v="9"/>
    <m/>
    <x v="0"/>
    <x v="0"/>
    <x v="0"/>
    <x v="0"/>
    <m/>
    <m/>
    <m/>
    <n v="0"/>
    <m/>
    <m/>
    <s v="FP"/>
    <m/>
    <s v="SP"/>
    <s v="MOULD"/>
    <s v="FP SP MOULD "/>
    <x v="3"/>
    <x v="1"/>
    <m/>
    <x v="38"/>
  </r>
  <r>
    <n v="1140"/>
    <x v="112"/>
    <x v="112"/>
    <x v="104"/>
    <x v="0"/>
    <x v="9"/>
    <n v="1116"/>
    <x v="3"/>
    <m/>
    <m/>
    <s v="Supplier"/>
    <m/>
    <x v="375"/>
    <s v="Hop_Shing_SPR_2009.xlsx"/>
    <s v=".xlsx"/>
    <d v="2014-03-25T00:00:00"/>
    <s v="as\afok"/>
    <m/>
    <s v="2009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s v="FP"/>
    <m/>
    <s v="SP"/>
    <s v="MOULD"/>
    <s v="FP SP MOULD "/>
    <x v="0"/>
    <x v="1"/>
    <m/>
    <x v="38"/>
  </r>
  <r>
    <n v="838"/>
    <x v="113"/>
    <x v="113"/>
    <x v="105"/>
    <x v="1"/>
    <x v="1"/>
    <n v="816"/>
    <x v="4"/>
    <m/>
    <m/>
    <s v="Supplier"/>
    <m/>
    <x v="544"/>
    <s v="Hopeet_Agreement_JUN2012.pdf"/>
    <s v=".pdf"/>
    <d v="2014-03-21T00:00:00"/>
    <s v="as\afok"/>
    <m/>
    <s v="V7"/>
    <s v="37D6 - Within 60 days Due net on posting date 37D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m/>
    <s v="CP"/>
    <m/>
    <m/>
    <s v="CP "/>
    <x v="0"/>
    <x v="1"/>
    <m/>
    <x v="30"/>
  </r>
  <r>
    <n v="840"/>
    <x v="113"/>
    <x v="113"/>
    <x v="105"/>
    <x v="1"/>
    <x v="1"/>
    <n v="818"/>
    <x v="5"/>
    <m/>
    <m/>
    <s v="Supplier"/>
    <m/>
    <x v="72"/>
    <s v="Hopeet_Agreement_JUN2012.pdf"/>
    <s v=".pdf"/>
    <d v="2014-03-21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m/>
    <s v="CP"/>
    <m/>
    <m/>
    <s v="CP "/>
    <x v="0"/>
    <x v="1"/>
    <m/>
    <x v="30"/>
  </r>
  <r>
    <n v="841"/>
    <x v="113"/>
    <x v="113"/>
    <x v="105"/>
    <x v="1"/>
    <x v="1"/>
    <n v="819"/>
    <x v="6"/>
    <m/>
    <m/>
    <s v="Supplier"/>
    <m/>
    <x v="72"/>
    <s v="Hopeet_Agreement_JUN2012.pdf"/>
    <s v=".pdf"/>
    <d v="2014-03-21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m/>
    <s v="CP"/>
    <m/>
    <m/>
    <s v="CP "/>
    <x v="0"/>
    <x v="1"/>
    <m/>
    <x v="30"/>
  </r>
  <r>
    <n v="842"/>
    <x v="113"/>
    <x v="113"/>
    <x v="105"/>
    <x v="1"/>
    <x v="1"/>
    <n v="820"/>
    <x v="10"/>
    <m/>
    <m/>
    <s v="Supplier"/>
    <m/>
    <x v="545"/>
    <s v="Hopeet_Agreement_JUN2012.pdf"/>
    <s v=".pdf"/>
    <d v="2014-03-2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30"/>
  </r>
  <r>
    <n v="835"/>
    <x v="113"/>
    <x v="113"/>
    <x v="105"/>
    <x v="1"/>
    <x v="1"/>
    <n v="813"/>
    <x v="7"/>
    <m/>
    <m/>
    <s v="Supplier"/>
    <m/>
    <x v="259"/>
    <s v="Hopeet_Env_Declaration_2010.xls"/>
    <s v=".xls"/>
    <d v="2014-03-21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30"/>
  </r>
  <r>
    <n v="839"/>
    <x v="113"/>
    <x v="113"/>
    <x v="105"/>
    <x v="1"/>
    <x v="1"/>
    <n v="817"/>
    <x v="7"/>
    <m/>
    <m/>
    <s v="Supplier"/>
    <m/>
    <x v="544"/>
    <s v="Hopeet_Agreement_JUN2012.pdf"/>
    <s v=".pdf"/>
    <d v="2014-03-21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30"/>
  </r>
  <r>
    <n v="837"/>
    <x v="113"/>
    <x v="113"/>
    <x v="105"/>
    <x v="1"/>
    <x v="1"/>
    <n v="815"/>
    <x v="8"/>
    <m/>
    <m/>
    <s v="Supplier"/>
    <m/>
    <x v="8"/>
    <s v="HOPEET_Responsible_Purchasing_Charter_08Aug12.pdf"/>
    <s v=".pdf"/>
    <d v="2014-03-2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30"/>
  </r>
  <r>
    <n v="836"/>
    <x v="113"/>
    <x v="113"/>
    <x v="105"/>
    <x v="1"/>
    <x v="1"/>
    <n v="814"/>
    <x v="1"/>
    <m/>
    <m/>
    <s v="Supplier"/>
    <m/>
    <x v="39"/>
    <s v="Hopeet_SEF_2012_1st.xlsx"/>
    <s v=".xlsx"/>
    <d v="2014-03-21T00:00:00"/>
    <s v="as\afok"/>
    <m/>
    <s v="2012"/>
    <m/>
    <m/>
    <m/>
    <m/>
    <m/>
    <x v="0"/>
    <x v="0"/>
    <x v="0"/>
    <x v="5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30"/>
  </r>
  <r>
    <n v="843"/>
    <x v="113"/>
    <x v="113"/>
    <x v="105"/>
    <x v="1"/>
    <x v="1"/>
    <n v="821"/>
    <x v="2"/>
    <m/>
    <m/>
    <s v="Supplier"/>
    <m/>
    <x v="322"/>
    <s v="HOPEET_SIF2012_2Mar12.xls"/>
    <s v=".xls"/>
    <d v="2014-03-21T00:00:00"/>
    <s v="as\afok"/>
    <m/>
    <s v="2012"/>
    <m/>
    <m/>
    <m/>
    <m/>
    <m/>
    <x v="0"/>
    <x v="0"/>
    <x v="0"/>
    <x v="0"/>
    <x v="1"/>
    <x v="0"/>
    <x v="0"/>
    <x v="0"/>
    <x v="0"/>
    <x v="0"/>
    <x v="1"/>
    <x v="0"/>
    <x v="0"/>
    <x v="0"/>
    <x v="0"/>
    <m/>
    <x v="0"/>
    <x v="0"/>
    <x v="0"/>
    <x v="0"/>
    <m/>
    <m/>
    <m/>
    <n v="1"/>
    <n v="1"/>
    <m/>
    <m/>
    <s v="CP"/>
    <m/>
    <m/>
    <s v="CP "/>
    <x v="2"/>
    <x v="1"/>
    <m/>
    <x v="30"/>
  </r>
  <r>
    <n v="2335"/>
    <x v="114"/>
    <x v="114"/>
    <x v="106"/>
    <x v="1"/>
    <x v="5"/>
    <n v="2276"/>
    <x v="7"/>
    <m/>
    <m/>
    <s v="Supplier"/>
    <m/>
    <x v="546"/>
    <s v="Houseware_Env_Declaration_04Jun2010.xlsx"/>
    <s v=".xlsx"/>
    <d v="2014-04-16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0"/>
    <m/>
    <m/>
    <m/>
    <s v="CP"/>
    <m/>
    <m/>
    <s v="CP "/>
    <x v="0"/>
    <x v="1"/>
    <m/>
    <x v="11"/>
  </r>
  <r>
    <n v="2334"/>
    <x v="114"/>
    <x v="114"/>
    <x v="106"/>
    <x v="1"/>
    <x v="5"/>
    <n v="2275"/>
    <x v="8"/>
    <m/>
    <m/>
    <s v="Supplier"/>
    <m/>
    <x v="140"/>
    <s v="Housewares_2000_Responsible_Purchasing_Charter_23Aug12.pdf"/>
    <s v=".pdf"/>
    <d v="2014-04-1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0"/>
    <m/>
    <m/>
    <m/>
    <s v="CP"/>
    <m/>
    <m/>
    <s v="CP "/>
    <x v="0"/>
    <x v="1"/>
    <m/>
    <x v="11"/>
  </r>
  <r>
    <n v="2332"/>
    <x v="114"/>
    <x v="114"/>
    <x v="106"/>
    <x v="1"/>
    <x v="5"/>
    <n v="2273"/>
    <x v="1"/>
    <m/>
    <m/>
    <s v="Supplier"/>
    <m/>
    <x v="78"/>
    <s v="Housewares 2000_SEF_2012-2.xlsx"/>
    <s v=".xlsx"/>
    <d v="2014-04-16T00:00:00"/>
    <s v="as\afok"/>
    <m/>
    <s v="2012"/>
    <m/>
    <m/>
    <m/>
    <m/>
    <m/>
    <x v="0"/>
    <x v="0"/>
    <x v="0"/>
    <x v="32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0"/>
    <m/>
    <m/>
    <m/>
    <s v="CP"/>
    <m/>
    <m/>
    <s v="CP "/>
    <x v="0"/>
    <x v="1"/>
    <m/>
    <x v="11"/>
  </r>
  <r>
    <n v="2333"/>
    <x v="114"/>
    <x v="114"/>
    <x v="106"/>
    <x v="1"/>
    <x v="5"/>
    <n v="2274"/>
    <x v="1"/>
    <m/>
    <m/>
    <s v="Supplier"/>
    <m/>
    <x v="189"/>
    <s v="Housewares2000_SEF_2012.xlsx"/>
    <s v=".xlsx"/>
    <d v="2014-04-16T00:00:00"/>
    <s v="as\afok"/>
    <m/>
    <s v="2012"/>
    <m/>
    <m/>
    <m/>
    <m/>
    <m/>
    <x v="0"/>
    <x v="0"/>
    <x v="0"/>
    <x v="32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0"/>
    <m/>
    <m/>
    <m/>
    <s v="CP"/>
    <m/>
    <m/>
    <s v="CP "/>
    <x v="0"/>
    <x v="1"/>
    <m/>
    <x v="11"/>
  </r>
  <r>
    <n v="2336"/>
    <x v="114"/>
    <x v="114"/>
    <x v="106"/>
    <x v="1"/>
    <x v="5"/>
    <n v="2277"/>
    <x v="2"/>
    <m/>
    <m/>
    <s v="Supplier"/>
    <m/>
    <x v="258"/>
    <s v="Houseware_2000_SIF_2010.xls"/>
    <s v=".xls"/>
    <d v="2014-04-16T00:00:00"/>
    <s v="as\afok"/>
    <m/>
    <s v="2010"/>
    <m/>
    <m/>
    <m/>
    <m/>
    <m/>
    <x v="0"/>
    <x v="0"/>
    <x v="0"/>
    <x v="0"/>
    <x v="4"/>
    <x v="52"/>
    <x v="12"/>
    <x v="18"/>
    <x v="0"/>
    <x v="0"/>
    <x v="0"/>
    <x v="12"/>
    <x v="0"/>
    <x v="0"/>
    <x v="0"/>
    <s v="CP Panel"/>
    <x v="0"/>
    <x v="0"/>
    <x v="1"/>
    <x v="3"/>
    <m/>
    <m/>
    <m/>
    <n v="0"/>
    <m/>
    <n v="1"/>
    <m/>
    <s v="CP"/>
    <m/>
    <m/>
    <s v="CP "/>
    <x v="2"/>
    <x v="1"/>
    <m/>
    <x v="11"/>
  </r>
  <r>
    <n v="1465"/>
    <x v="115"/>
    <x v="115"/>
    <x v="107"/>
    <x v="5"/>
    <x v="12"/>
    <n v="1421"/>
    <x v="4"/>
    <m/>
    <m/>
    <s v="Supplier"/>
    <m/>
    <x v="547"/>
    <s v="Howell_Supply Agreement_9Jan2013.PDF"/>
    <s v=".pdf"/>
    <d v="2014-04-02T00:00:00"/>
    <s v="as\afok"/>
    <m/>
    <s v="V8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9"/>
    <n v="1"/>
    <m/>
    <m/>
    <n v="0"/>
    <m/>
    <m/>
    <m/>
    <s v="CP"/>
    <s v="SP"/>
    <s v="MOULD"/>
    <s v="CP SP MOULD "/>
    <x v="0"/>
    <x v="1"/>
    <m/>
    <x v="39"/>
  </r>
  <r>
    <n v="1471"/>
    <x v="115"/>
    <x v="115"/>
    <x v="107"/>
    <x v="5"/>
    <x v="12"/>
    <n v="1434"/>
    <x v="4"/>
    <m/>
    <m/>
    <s v="Supplier"/>
    <m/>
    <x v="548"/>
    <s v="Suzhou_Howell_Purchase_Agreement_2009.pdf"/>
    <s v=".pdf"/>
    <d v="2014-04-02T00:00:00"/>
    <s v="as\afok"/>
    <m/>
    <s v="V5"/>
    <s v="37D6 - Within 60 days Due net on posting date 37D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9"/>
    <n v="1"/>
    <m/>
    <m/>
    <n v="0"/>
    <m/>
    <n v="1"/>
    <m/>
    <s v="CP"/>
    <s v="SP"/>
    <s v="MOULD"/>
    <s v="CP SP MOULD "/>
    <x v="0"/>
    <x v="1"/>
    <m/>
    <x v="39"/>
  </r>
  <r>
    <n v="1461"/>
    <x v="115"/>
    <x v="115"/>
    <x v="107"/>
    <x v="5"/>
    <x v="12"/>
    <n v="1425"/>
    <x v="6"/>
    <m/>
    <m/>
    <s v="Supplier"/>
    <m/>
    <x v="549"/>
    <s v="Howell_Supply Chain Appendix_22Mar2013.PDF"/>
    <s v=".pdf"/>
    <d v="2014-04-02T00:00:00"/>
    <s v="as\afok"/>
    <m/>
    <m/>
    <m/>
    <n v="28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9"/>
    <m/>
    <m/>
    <n v="1"/>
    <n v="0"/>
    <m/>
    <m/>
    <m/>
    <s v="CP"/>
    <s v="SP"/>
    <s v="MOULD"/>
    <s v="CP SP MOULD "/>
    <x v="0"/>
    <x v="1"/>
    <m/>
    <x v="39"/>
  </r>
  <r>
    <n v="1459"/>
    <x v="115"/>
    <x v="115"/>
    <x v="107"/>
    <x v="5"/>
    <x v="12"/>
    <n v="1423"/>
    <x v="10"/>
    <m/>
    <m/>
    <s v="Supplier"/>
    <m/>
    <x v="274"/>
    <s v="Howell_Supply Agreement_9Jan2013.PDF"/>
    <s v=".pdf"/>
    <d v="2014-04-02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9"/>
    <m/>
    <m/>
    <m/>
    <n v="0"/>
    <m/>
    <m/>
    <m/>
    <s v="CP"/>
    <s v="SP"/>
    <s v="MOULD"/>
    <s v="CP SP MOULD "/>
    <x v="0"/>
    <x v="1"/>
    <m/>
    <x v="39"/>
  </r>
  <r>
    <n v="1458"/>
    <x v="115"/>
    <x v="115"/>
    <x v="107"/>
    <x v="5"/>
    <x v="12"/>
    <n v="1422"/>
    <x v="7"/>
    <m/>
    <m/>
    <s v="Supplier"/>
    <m/>
    <x v="274"/>
    <s v="Howell_Supply Agreement_9Jan2013.PDF"/>
    <s v=".pdf"/>
    <d v="2014-04-02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9"/>
    <m/>
    <m/>
    <m/>
    <n v="0"/>
    <m/>
    <m/>
    <m/>
    <s v="CP"/>
    <s v="SP"/>
    <s v="MOULD"/>
    <s v="CP SP MOULD "/>
    <x v="0"/>
    <x v="1"/>
    <m/>
    <x v="39"/>
  </r>
  <r>
    <n v="1463"/>
    <x v="115"/>
    <x v="115"/>
    <x v="107"/>
    <x v="5"/>
    <x v="12"/>
    <n v="1427"/>
    <x v="7"/>
    <m/>
    <m/>
    <s v="Supplier"/>
    <m/>
    <x v="550"/>
    <s v="Howell_Env_Declaration_28May2010.xls"/>
    <s v=".xls"/>
    <d v="2014-04-02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9"/>
    <m/>
    <m/>
    <m/>
    <n v="0"/>
    <m/>
    <m/>
    <m/>
    <s v="CP"/>
    <s v="SP"/>
    <s v="MOULD"/>
    <s v="CP SP MOULD "/>
    <x v="0"/>
    <x v="1"/>
    <m/>
    <x v="39"/>
  </r>
  <r>
    <n v="1464"/>
    <x v="115"/>
    <x v="115"/>
    <x v="107"/>
    <x v="5"/>
    <x v="12"/>
    <n v="1428"/>
    <x v="8"/>
    <m/>
    <m/>
    <s v="Supplier"/>
    <m/>
    <x v="254"/>
    <s v="Howell_Responsible Purchaser Charter_9Aug2012.pdf"/>
    <s v=".pdf"/>
    <d v="2014-04-02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9"/>
    <m/>
    <m/>
    <m/>
    <n v="0"/>
    <m/>
    <m/>
    <m/>
    <s v="CP"/>
    <s v="SP"/>
    <s v="MOULD"/>
    <s v="CP SP MOULD "/>
    <x v="0"/>
    <x v="1"/>
    <m/>
    <x v="39"/>
  </r>
  <r>
    <n v="1466"/>
    <x v="115"/>
    <x v="115"/>
    <x v="107"/>
    <x v="5"/>
    <x v="12"/>
    <n v="1429"/>
    <x v="1"/>
    <m/>
    <m/>
    <s v="Supplier"/>
    <m/>
    <x v="135"/>
    <s v="Howell 2012 1st SEF.xlsx"/>
    <s v=".xlsx"/>
    <d v="2014-04-02T00:00:00"/>
    <s v="as\afok"/>
    <m/>
    <s v="2012"/>
    <m/>
    <m/>
    <m/>
    <m/>
    <m/>
    <x v="0"/>
    <x v="0"/>
    <x v="0"/>
    <x v="8"/>
    <x v="0"/>
    <x v="0"/>
    <x v="0"/>
    <x v="0"/>
    <x v="0"/>
    <x v="0"/>
    <x v="0"/>
    <x v="0"/>
    <x v="0"/>
    <x v="0"/>
    <x v="0"/>
    <s v="CP Panel"/>
    <x v="0"/>
    <x v="0"/>
    <x v="1"/>
    <x v="9"/>
    <m/>
    <m/>
    <m/>
    <n v="0"/>
    <m/>
    <m/>
    <m/>
    <s v="CP"/>
    <s v="SP"/>
    <s v="MOULD"/>
    <s v="CP SP MOULD "/>
    <x v="0"/>
    <x v="1"/>
    <m/>
    <x v="39"/>
  </r>
  <r>
    <n v="1456"/>
    <x v="115"/>
    <x v="115"/>
    <x v="107"/>
    <x v="5"/>
    <x v="12"/>
    <n v="1420"/>
    <x v="2"/>
    <n v="1"/>
    <m/>
    <s v="Supplier"/>
    <m/>
    <x v="45"/>
    <s v="Howell_SIF_Jan 2014.xls"/>
    <s v=".xls"/>
    <d v="2014-04-02T00:00:00"/>
    <s v="as\afok"/>
    <m/>
    <s v="2014"/>
    <m/>
    <m/>
    <m/>
    <m/>
    <m/>
    <x v="0"/>
    <x v="0"/>
    <x v="0"/>
    <x v="0"/>
    <x v="3"/>
    <x v="2"/>
    <x v="120"/>
    <x v="108"/>
    <x v="98"/>
    <x v="91"/>
    <x v="37"/>
    <x v="67"/>
    <x v="15"/>
    <x v="53"/>
    <x v="50"/>
    <s v="CP Panel"/>
    <x v="0"/>
    <x v="0"/>
    <x v="1"/>
    <x v="9"/>
    <m/>
    <m/>
    <m/>
    <n v="0"/>
    <m/>
    <m/>
    <m/>
    <s v="CP"/>
    <s v="SP"/>
    <s v="MOULD"/>
    <s v="CP SP MOULD "/>
    <x v="2"/>
    <x v="1"/>
    <m/>
    <x v="39"/>
  </r>
  <r>
    <n v="1470"/>
    <x v="115"/>
    <x v="115"/>
    <x v="107"/>
    <x v="5"/>
    <x v="12"/>
    <n v="1433"/>
    <x v="2"/>
    <m/>
    <m/>
    <s v="Supplier"/>
    <m/>
    <x v="205"/>
    <s v="Howell_SIF_10May2012.xls"/>
    <s v=".xls"/>
    <d v="2014-04-02T00:00:00"/>
    <s v="as\afok"/>
    <m/>
    <s v="2012"/>
    <m/>
    <m/>
    <m/>
    <m/>
    <m/>
    <x v="0"/>
    <x v="0"/>
    <x v="0"/>
    <x v="0"/>
    <x v="1"/>
    <x v="97"/>
    <x v="63"/>
    <x v="109"/>
    <x v="99"/>
    <x v="92"/>
    <x v="35"/>
    <x v="49"/>
    <x v="60"/>
    <x v="54"/>
    <x v="51"/>
    <s v="CP Panel"/>
    <x v="0"/>
    <x v="0"/>
    <x v="1"/>
    <x v="9"/>
    <m/>
    <m/>
    <m/>
    <n v="0"/>
    <m/>
    <m/>
    <m/>
    <s v="CP"/>
    <s v="SP"/>
    <s v="MOULD"/>
    <s v="CP SP MOULD "/>
    <x v="2"/>
    <x v="1"/>
    <m/>
    <x v="39"/>
  </r>
  <r>
    <n v="1468"/>
    <x v="115"/>
    <x v="115"/>
    <x v="107"/>
    <x v="5"/>
    <x v="12"/>
    <n v="1431"/>
    <x v="17"/>
    <m/>
    <m/>
    <s v="Supplier"/>
    <m/>
    <x v="188"/>
    <s v="Howell_Social Audit Follow Up - 20120706.pdf"/>
    <s v=".pdf"/>
    <d v="2014-04-02T00:00:00"/>
    <s v="as\afok"/>
    <m/>
    <m/>
    <m/>
    <m/>
    <m/>
    <m/>
    <m/>
    <x v="1"/>
    <x v="1"/>
    <x v="1"/>
    <x v="0"/>
    <x v="0"/>
    <x v="0"/>
    <x v="0"/>
    <x v="0"/>
    <x v="0"/>
    <x v="0"/>
    <x v="0"/>
    <x v="0"/>
    <x v="0"/>
    <x v="0"/>
    <x v="0"/>
    <s v="CP Panel"/>
    <x v="0"/>
    <x v="0"/>
    <x v="1"/>
    <x v="9"/>
    <m/>
    <m/>
    <m/>
    <n v="0"/>
    <m/>
    <m/>
    <m/>
    <s v="CP"/>
    <s v="SP"/>
    <s v="MOULD"/>
    <s v="CP SP MOULD "/>
    <x v="0"/>
    <x v="1"/>
    <m/>
    <x v="39"/>
  </r>
  <r>
    <n v="1469"/>
    <x v="115"/>
    <x v="115"/>
    <x v="107"/>
    <x v="5"/>
    <x v="12"/>
    <n v="1432"/>
    <x v="17"/>
    <m/>
    <m/>
    <s v="Supplier"/>
    <m/>
    <x v="10"/>
    <s v="1012042501-SA-Howell-20120425.xlsx"/>
    <s v=".xlsx"/>
    <d v="2014-04-02T00:00:00"/>
    <s v="as\afok"/>
    <m/>
    <m/>
    <m/>
    <m/>
    <m/>
    <m/>
    <m/>
    <x v="1"/>
    <x v="1"/>
    <x v="1"/>
    <x v="0"/>
    <x v="0"/>
    <x v="0"/>
    <x v="0"/>
    <x v="0"/>
    <x v="0"/>
    <x v="0"/>
    <x v="0"/>
    <x v="0"/>
    <x v="0"/>
    <x v="0"/>
    <x v="0"/>
    <s v="CP Panel"/>
    <x v="0"/>
    <x v="0"/>
    <x v="1"/>
    <x v="9"/>
    <m/>
    <m/>
    <m/>
    <n v="0"/>
    <m/>
    <m/>
    <m/>
    <s v="CP"/>
    <s v="SP"/>
    <s v="MOULD"/>
    <s v="CP SP MOULD "/>
    <x v="0"/>
    <x v="1"/>
    <m/>
    <x v="39"/>
  </r>
  <r>
    <n v="1467"/>
    <x v="115"/>
    <x v="115"/>
    <x v="107"/>
    <x v="5"/>
    <x v="12"/>
    <n v="1430"/>
    <x v="22"/>
    <m/>
    <m/>
    <s v="Supplier"/>
    <m/>
    <x v="10"/>
    <s v="1012042501_CAP_Howell_20120801.xlsx"/>
    <s v=".xlsx"/>
    <d v="2014-04-02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9"/>
    <m/>
    <m/>
    <m/>
    <n v="0"/>
    <m/>
    <m/>
    <m/>
    <s v="CP"/>
    <s v="SP"/>
    <s v="MOULD"/>
    <s v="CP SP MOULD "/>
    <x v="0"/>
    <x v="1"/>
    <m/>
    <x v="39"/>
  </r>
  <r>
    <n v="1462"/>
    <x v="115"/>
    <x v="115"/>
    <x v="107"/>
    <x v="5"/>
    <x v="12"/>
    <n v="1426"/>
    <x v="3"/>
    <m/>
    <m/>
    <s v="Supplier"/>
    <m/>
    <x v="130"/>
    <s v="SPR 2012 Howell.pptx"/>
    <s v=".pptx"/>
    <d v="2014-04-02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9"/>
    <m/>
    <m/>
    <m/>
    <n v="0"/>
    <m/>
    <m/>
    <m/>
    <s v="CP"/>
    <s v="SP"/>
    <s v="MOULD"/>
    <s v="CP SP MOULD "/>
    <x v="0"/>
    <x v="1"/>
    <m/>
    <x v="39"/>
  </r>
  <r>
    <n v="1460"/>
    <x v="115"/>
    <x v="115"/>
    <x v="107"/>
    <x v="5"/>
    <x v="12"/>
    <n v="1424"/>
    <x v="3"/>
    <m/>
    <m/>
    <s v="Supplier"/>
    <m/>
    <x v="551"/>
    <s v="SPR 2013 Howell.pptx"/>
    <s v=".pptx"/>
    <d v="2014-04-02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9"/>
    <m/>
    <m/>
    <m/>
    <n v="0"/>
    <m/>
    <m/>
    <m/>
    <s v="CP"/>
    <s v="SP"/>
    <s v="MOULD"/>
    <s v="CP SP MOULD "/>
    <x v="0"/>
    <x v="1"/>
    <m/>
    <x v="39"/>
  </r>
  <r>
    <n v="2069"/>
    <x v="116"/>
    <x v="116"/>
    <x v="108"/>
    <x v="4"/>
    <x v="14"/>
    <n v="2012"/>
    <x v="7"/>
    <m/>
    <m/>
    <s v="Supplier"/>
    <m/>
    <x v="60"/>
    <s v="HuaZhong_Env_Declaration_30Mar2010.xls"/>
    <s v=".xls"/>
    <d v="2014-04-11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2070"/>
    <x v="116"/>
    <x v="116"/>
    <x v="108"/>
    <x v="4"/>
    <x v="14"/>
    <n v="2013"/>
    <x v="8"/>
    <m/>
    <m/>
    <s v="Supplier"/>
    <m/>
    <x v="552"/>
    <s v="HUAZHONG_PLASTICS_Responsible_Purchasing_Charter_25Aug12.pdf"/>
    <s v=".pdf"/>
    <d v="2014-04-1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s v="CP"/>
    <m/>
    <m/>
    <s v="CP "/>
    <x v="0"/>
    <x v="1"/>
    <m/>
    <x v="8"/>
  </r>
  <r>
    <n v="2067"/>
    <x v="116"/>
    <x v="116"/>
    <x v="108"/>
    <x v="4"/>
    <x v="14"/>
    <n v="2010"/>
    <x v="1"/>
    <m/>
    <m/>
    <s v="Supplier"/>
    <m/>
    <x v="502"/>
    <s v="HuaZhong_SEF_Apr2011_R1.xlsx"/>
    <s v=".xlsx"/>
    <d v="2014-04-11T00:00:00"/>
    <s v="as\afok"/>
    <m/>
    <s v="2011"/>
    <m/>
    <m/>
    <m/>
    <m/>
    <m/>
    <x v="0"/>
    <x v="0"/>
    <x v="0"/>
    <x v="28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2068"/>
    <x v="116"/>
    <x v="116"/>
    <x v="108"/>
    <x v="4"/>
    <x v="14"/>
    <n v="2011"/>
    <x v="2"/>
    <m/>
    <m/>
    <s v="Supplier"/>
    <m/>
    <x v="553"/>
    <s v="SIF2011_Huazhong_Plastic.xls"/>
    <s v=".xls"/>
    <d v="2014-04-11T00:00:00"/>
    <s v="as\afok"/>
    <m/>
    <s v="2011"/>
    <m/>
    <m/>
    <m/>
    <m/>
    <m/>
    <x v="0"/>
    <x v="0"/>
    <x v="0"/>
    <x v="0"/>
    <x v="5"/>
    <x v="98"/>
    <x v="3"/>
    <x v="110"/>
    <x v="60"/>
    <x v="61"/>
    <x v="17"/>
    <x v="68"/>
    <x v="61"/>
    <x v="6"/>
    <x v="9"/>
    <m/>
    <x v="0"/>
    <x v="0"/>
    <x v="0"/>
    <x v="0"/>
    <m/>
    <m/>
    <m/>
    <n v="0"/>
    <m/>
    <m/>
    <m/>
    <s v="CP"/>
    <m/>
    <m/>
    <s v="CP "/>
    <x v="2"/>
    <x v="1"/>
    <m/>
    <x v="8"/>
  </r>
  <r>
    <n v="23"/>
    <x v="117"/>
    <x v="117"/>
    <x v="109"/>
    <x v="2"/>
    <x v="2"/>
    <n v="19"/>
    <x v="4"/>
    <m/>
    <m/>
    <s v="Supplier"/>
    <d v="2015-12-31T00:00:00"/>
    <x v="414"/>
    <s v="Huierjia_General Agreement_FHA00016 ind.11_20120608.pdf"/>
    <s v=".pdf"/>
    <d v="2014-03-04T00:00:00"/>
    <s v="as\afok"/>
    <m/>
    <s v="FHA00016 ind.11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m/>
    <s v="SP"/>
    <m/>
    <s v="FP SP "/>
    <x v="0"/>
    <x v="1"/>
    <m/>
    <x v="26"/>
  </r>
  <r>
    <n v="332"/>
    <x v="117"/>
    <x v="117"/>
    <x v="109"/>
    <x v="2"/>
    <x v="2"/>
    <n v="319"/>
    <x v="5"/>
    <m/>
    <m/>
    <s v="Supplier"/>
    <m/>
    <x v="414"/>
    <s v="Huierjia_General Agreement_2012-06-11.pdf"/>
    <s v=".pdf"/>
    <d v="2014-03-14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m/>
    <s v="SP"/>
    <m/>
    <s v="FP SP "/>
    <x v="0"/>
    <x v="1"/>
    <m/>
    <x v="26"/>
  </r>
  <r>
    <n v="331"/>
    <x v="117"/>
    <x v="117"/>
    <x v="109"/>
    <x v="2"/>
    <x v="2"/>
    <n v="318"/>
    <x v="6"/>
    <m/>
    <m/>
    <s v="Supplier"/>
    <m/>
    <x v="414"/>
    <s v="Huierjia_General Agreement_2012-06-11.pdf"/>
    <s v=".pdf"/>
    <d v="2014-03-14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m/>
    <s v="SP"/>
    <m/>
    <s v="FP SP "/>
    <x v="0"/>
    <x v="1"/>
    <m/>
    <x v="26"/>
  </r>
  <r>
    <n v="589"/>
    <x v="117"/>
    <x v="117"/>
    <x v="109"/>
    <x v="2"/>
    <x v="2"/>
    <n v="572"/>
    <x v="10"/>
    <m/>
    <m/>
    <s v="Supplier"/>
    <m/>
    <x v="340"/>
    <s v="Huierjia_General Agreement_FHA00016 ind.11_20120608.pdf"/>
    <s v=".pdf"/>
    <d v="2014-03-1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n v="1"/>
    <m/>
    <s v="FP"/>
    <m/>
    <s v="SP"/>
    <m/>
    <s v="FP SP "/>
    <x v="0"/>
    <x v="1"/>
    <m/>
    <x v="26"/>
  </r>
  <r>
    <n v="333"/>
    <x v="117"/>
    <x v="117"/>
    <x v="109"/>
    <x v="2"/>
    <x v="2"/>
    <n v="320"/>
    <x v="7"/>
    <m/>
    <m/>
    <s v="Supplier"/>
    <m/>
    <x v="414"/>
    <s v="Huierjia_General Agreement_2012-06-11.pdf"/>
    <s v=".pdf"/>
    <d v="2014-03-14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26"/>
  </r>
  <r>
    <n v="335"/>
    <x v="117"/>
    <x v="117"/>
    <x v="109"/>
    <x v="2"/>
    <x v="2"/>
    <n v="322"/>
    <x v="7"/>
    <m/>
    <m/>
    <s v="Supplier"/>
    <m/>
    <x v="550"/>
    <s v="Xinghui_Env_Declaration_28May2010.xls"/>
    <s v=".xls"/>
    <d v="2014-03-14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26"/>
  </r>
  <r>
    <n v="334"/>
    <x v="117"/>
    <x v="117"/>
    <x v="109"/>
    <x v="2"/>
    <x v="2"/>
    <n v="321"/>
    <x v="11"/>
    <m/>
    <m/>
    <s v="Supplier"/>
    <m/>
    <x v="554"/>
    <s v="Xinghui Exclusivity Summary 2012-01-24.xlsx"/>
    <s v=".xlsx"/>
    <d v="2014-03-14T00:00:00"/>
    <s v="as\afok"/>
    <s v="Exclusivity Summary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26"/>
  </r>
  <r>
    <n v="341"/>
    <x v="117"/>
    <x v="117"/>
    <x v="109"/>
    <x v="2"/>
    <x v="2"/>
    <n v="328"/>
    <x v="0"/>
    <m/>
    <m/>
    <s v="Supplier"/>
    <m/>
    <x v="419"/>
    <s v="Xinghui -FRD00069 ind.04 20090401.pdf"/>
    <s v=".pdf"/>
    <d v="2014-03-14T00:00:00"/>
    <s v="as\afok"/>
    <m/>
    <s v="FRD00069 ind.04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26"/>
  </r>
  <r>
    <n v="336"/>
    <x v="117"/>
    <x v="117"/>
    <x v="109"/>
    <x v="2"/>
    <x v="2"/>
    <n v="323"/>
    <x v="8"/>
    <m/>
    <m/>
    <s v="Supplier"/>
    <m/>
    <x v="126"/>
    <s v="Xinghui - Responsible Purchasing Charter (CH).pdf"/>
    <s v=".pdf"/>
    <d v="2014-03-14T00:00:00"/>
    <s v="as\afok"/>
    <s v="Chinese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26"/>
  </r>
  <r>
    <n v="337"/>
    <x v="117"/>
    <x v="117"/>
    <x v="109"/>
    <x v="2"/>
    <x v="2"/>
    <n v="324"/>
    <x v="8"/>
    <m/>
    <m/>
    <s v="Supplier"/>
    <m/>
    <x v="126"/>
    <s v="Xinghui - Responsible Purchasing Charter (ENG).pdf"/>
    <s v=".pdf"/>
    <d v="2014-03-14T00:00:00"/>
    <s v="as\afok"/>
    <s v="English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26"/>
  </r>
  <r>
    <n v="338"/>
    <x v="117"/>
    <x v="117"/>
    <x v="109"/>
    <x v="2"/>
    <x v="2"/>
    <n v="325"/>
    <x v="1"/>
    <m/>
    <m/>
    <s v="Supplier"/>
    <m/>
    <x v="72"/>
    <s v="SEF_Xinghui_201206.xlsx"/>
    <s v=".xlsx"/>
    <d v="2014-03-14T00:00:00"/>
    <s v="as\afok"/>
    <m/>
    <s v="2012"/>
    <m/>
    <m/>
    <m/>
    <m/>
    <m/>
    <x v="0"/>
    <x v="0"/>
    <x v="0"/>
    <x v="8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26"/>
  </r>
  <r>
    <n v="339"/>
    <x v="117"/>
    <x v="117"/>
    <x v="109"/>
    <x v="2"/>
    <x v="2"/>
    <n v="326"/>
    <x v="2"/>
    <n v="1"/>
    <m/>
    <s v="Supplier"/>
    <m/>
    <x v="176"/>
    <s v="Xinghui - SIF 2012.xls"/>
    <s v=".xls"/>
    <d v="2014-03-14T00:00:00"/>
    <s v="as\afok"/>
    <m/>
    <s v="2012"/>
    <m/>
    <m/>
    <m/>
    <m/>
    <m/>
    <x v="0"/>
    <x v="0"/>
    <x v="0"/>
    <x v="0"/>
    <x v="1"/>
    <x v="99"/>
    <x v="41"/>
    <x v="111"/>
    <x v="76"/>
    <x v="93"/>
    <x v="38"/>
    <x v="4"/>
    <x v="62"/>
    <x v="9"/>
    <x v="9"/>
    <m/>
    <x v="0"/>
    <x v="0"/>
    <x v="0"/>
    <x v="0"/>
    <m/>
    <m/>
    <m/>
    <n v="1"/>
    <m/>
    <m/>
    <s v="FP"/>
    <m/>
    <s v="SP"/>
    <m/>
    <s v="FP SP "/>
    <x v="3"/>
    <x v="1"/>
    <m/>
    <x v="26"/>
  </r>
  <r>
    <n v="340"/>
    <x v="117"/>
    <x v="117"/>
    <x v="109"/>
    <x v="2"/>
    <x v="2"/>
    <n v="327"/>
    <x v="2"/>
    <m/>
    <m/>
    <s v="Supplier"/>
    <m/>
    <x v="27"/>
    <s v="Xinghui - SIF 2013.xls"/>
    <s v=".xls"/>
    <d v="2014-03-14T00:00:00"/>
    <s v="as\afok"/>
    <m/>
    <s v="2013"/>
    <m/>
    <m/>
    <m/>
    <m/>
    <m/>
    <x v="0"/>
    <x v="0"/>
    <x v="0"/>
    <x v="0"/>
    <x v="2"/>
    <x v="25"/>
    <x v="121"/>
    <x v="112"/>
    <x v="100"/>
    <x v="0"/>
    <x v="39"/>
    <x v="69"/>
    <x v="63"/>
    <x v="55"/>
    <x v="0"/>
    <m/>
    <x v="0"/>
    <x v="0"/>
    <x v="0"/>
    <x v="0"/>
    <m/>
    <m/>
    <m/>
    <n v="1"/>
    <m/>
    <m/>
    <s v="FP"/>
    <m/>
    <s v="SP"/>
    <m/>
    <s v="FP SP "/>
    <x v="3"/>
    <x v="1"/>
    <m/>
    <x v="26"/>
  </r>
  <r>
    <n v="1474"/>
    <x v="118"/>
    <x v="118"/>
    <x v="110"/>
    <x v="5"/>
    <x v="12"/>
    <n v="1437"/>
    <x v="7"/>
    <m/>
    <m/>
    <s v="Supplier"/>
    <m/>
    <x v="555"/>
    <s v="Simplified_environnement_declararion2010_Hysen.pdf"/>
    <s v=".pdf"/>
    <d v="2014-04-02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6"/>
  </r>
  <r>
    <n v="1475"/>
    <x v="118"/>
    <x v="118"/>
    <x v="110"/>
    <x v="5"/>
    <x v="12"/>
    <n v="1438"/>
    <x v="9"/>
    <m/>
    <m/>
    <s v="Supplier"/>
    <m/>
    <x v="556"/>
    <s v="LOC_Hysen.pdf"/>
    <s v=".pdf"/>
    <d v="2014-04-02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s v="CP"/>
    <m/>
    <m/>
    <s v="CP "/>
    <x v="0"/>
    <x v="1"/>
    <m/>
    <x v="6"/>
  </r>
  <r>
    <n v="1473"/>
    <x v="118"/>
    <x v="118"/>
    <x v="110"/>
    <x v="5"/>
    <x v="12"/>
    <n v="1436"/>
    <x v="8"/>
    <m/>
    <m/>
    <s v="Supplier"/>
    <m/>
    <x v="254"/>
    <s v="Hysen_Responsible Purchaser Charter_9Aug2012.pdf"/>
    <s v=".pdf"/>
    <d v="2014-04-02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6"/>
  </r>
  <r>
    <n v="1472"/>
    <x v="118"/>
    <x v="118"/>
    <x v="110"/>
    <x v="5"/>
    <x v="12"/>
    <n v="1435"/>
    <x v="2"/>
    <n v="1"/>
    <m/>
    <s v="Supplier"/>
    <m/>
    <x v="557"/>
    <s v="SIF2011 HYSEN SH.pdf"/>
    <s v=".pdf"/>
    <d v="2014-04-02T00:00:00"/>
    <s v="as\afok"/>
    <m/>
    <s v="2011"/>
    <m/>
    <m/>
    <m/>
    <m/>
    <m/>
    <x v="0"/>
    <x v="0"/>
    <x v="0"/>
    <x v="0"/>
    <x v="4"/>
    <x v="34"/>
    <x v="122"/>
    <x v="0"/>
    <x v="0"/>
    <x v="0"/>
    <x v="5"/>
    <x v="52"/>
    <x v="0"/>
    <x v="0"/>
    <x v="0"/>
    <m/>
    <x v="0"/>
    <x v="0"/>
    <x v="0"/>
    <x v="0"/>
    <m/>
    <m/>
    <m/>
    <n v="0"/>
    <m/>
    <m/>
    <m/>
    <s v="CP"/>
    <m/>
    <m/>
    <s v="CP "/>
    <x v="2"/>
    <x v="1"/>
    <m/>
    <x v="6"/>
  </r>
  <r>
    <n v="2607"/>
    <x v="119"/>
    <x v="119"/>
    <x v="111"/>
    <x v="0"/>
    <x v="0"/>
    <n v="2456"/>
    <x v="7"/>
    <m/>
    <m/>
    <s v="Supplier"/>
    <m/>
    <x v="60"/>
    <s v="IBL_Env_Declaration_30Mar2010.pdf"/>
    <s v=".pdf"/>
    <d v="2014-04-23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m/>
    <s v="FP"/>
    <s v="CP"/>
    <m/>
    <s v="MOULD"/>
    <s v="FP CP MOULD Both"/>
    <x v="0"/>
    <x v="1"/>
    <m/>
    <x v="15"/>
  </r>
  <r>
    <n v="2605"/>
    <x v="119"/>
    <x v="119"/>
    <x v="111"/>
    <x v="0"/>
    <x v="0"/>
    <n v="2454"/>
    <x v="1"/>
    <m/>
    <m/>
    <s v="Supplier"/>
    <m/>
    <x v="267"/>
    <s v="SEF - IBL 2013.xlsx"/>
    <s v=".xlsx"/>
    <d v="2014-04-23T00:00:00"/>
    <s v="as\afok"/>
    <m/>
    <s v="2013"/>
    <m/>
    <m/>
    <m/>
    <m/>
    <m/>
    <x v="0"/>
    <x v="0"/>
    <x v="0"/>
    <x v="23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m/>
    <s v="FP"/>
    <s v="CP"/>
    <m/>
    <s v="MOULD"/>
    <s v="FP CP MOULD Both"/>
    <x v="0"/>
    <x v="1"/>
    <m/>
    <x v="15"/>
  </r>
  <r>
    <n v="2606"/>
    <x v="119"/>
    <x v="119"/>
    <x v="111"/>
    <x v="0"/>
    <x v="0"/>
    <n v="2455"/>
    <x v="2"/>
    <m/>
    <m/>
    <s v="Supplier"/>
    <m/>
    <x v="558"/>
    <s v="IBL_SIF2013.xls"/>
    <s v=".xls"/>
    <d v="2014-04-23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m/>
    <s v="FP"/>
    <s v="CP"/>
    <m/>
    <s v="MOULD"/>
    <s v="FP CP MOULD Both"/>
    <x v="1"/>
    <x v="1"/>
    <m/>
    <x v="15"/>
  </r>
  <r>
    <n v="2609"/>
    <x v="119"/>
    <x v="119"/>
    <x v="111"/>
    <x v="0"/>
    <x v="0"/>
    <n v="2458"/>
    <x v="2"/>
    <m/>
    <m/>
    <s v="Supplier"/>
    <m/>
    <x v="559"/>
    <s v="IBL_SIF2012_29Feb2012.xls"/>
    <s v=".xls"/>
    <d v="2014-04-23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n v="1"/>
    <s v="FP"/>
    <s v="CP"/>
    <m/>
    <s v="MOULD"/>
    <s v="FP CP MOULD Both"/>
    <x v="1"/>
    <x v="1"/>
    <m/>
    <x v="15"/>
  </r>
  <r>
    <n v="2608"/>
    <x v="119"/>
    <x v="119"/>
    <x v="111"/>
    <x v="0"/>
    <x v="0"/>
    <n v="2457"/>
    <x v="3"/>
    <m/>
    <m/>
    <s v="Supplier"/>
    <m/>
    <x v="541"/>
    <s v="SPR - IBL 2011 11-08-01.ppt"/>
    <s v=".ppt"/>
    <d v="2014-04-23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m/>
    <s v="FP"/>
    <s v="CP"/>
    <m/>
    <s v="MOULD"/>
    <s v="FP CP MOULD Both"/>
    <x v="0"/>
    <x v="1"/>
    <m/>
    <x v="15"/>
  </r>
  <r>
    <n v="2277"/>
    <x v="120"/>
    <x v="120"/>
    <x v="112"/>
    <x v="1"/>
    <x v="1"/>
    <n v="2218"/>
    <x v="7"/>
    <m/>
    <m/>
    <s v="Supplier"/>
    <m/>
    <x v="133"/>
    <s v="Hanyu_Env_Declaration_31May2010.xls"/>
    <s v=".xls"/>
    <d v="2014-04-16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30"/>
  </r>
  <r>
    <n v="2276"/>
    <x v="120"/>
    <x v="120"/>
    <x v="112"/>
    <x v="1"/>
    <x v="1"/>
    <n v="2217"/>
    <x v="8"/>
    <m/>
    <m/>
    <s v="Supplier"/>
    <m/>
    <x v="77"/>
    <s v="Jiangmen_Idear-Hanyu_Responsible_Purchasing_Charter_03Aug12.pdf"/>
    <s v=".pdf"/>
    <d v="2014-04-1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30"/>
  </r>
  <r>
    <n v="2278"/>
    <x v="120"/>
    <x v="120"/>
    <x v="112"/>
    <x v="1"/>
    <x v="1"/>
    <n v="2219"/>
    <x v="2"/>
    <m/>
    <m/>
    <s v="Supplier"/>
    <m/>
    <x v="466"/>
    <s v="Hanyu_SIF_2010.xls"/>
    <s v=".xls"/>
    <d v="2014-04-16T00:00:00"/>
    <s v="as\afok"/>
    <m/>
    <s v="2010"/>
    <m/>
    <m/>
    <m/>
    <m/>
    <m/>
    <x v="0"/>
    <x v="0"/>
    <x v="0"/>
    <x v="0"/>
    <x v="4"/>
    <x v="10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s v="CP"/>
    <m/>
    <m/>
    <s v="CP "/>
    <x v="2"/>
    <x v="1"/>
    <m/>
    <x v="30"/>
  </r>
  <r>
    <n v="2275"/>
    <x v="120"/>
    <x v="120"/>
    <x v="112"/>
    <x v="1"/>
    <x v="1"/>
    <n v="2216"/>
    <x v="2"/>
    <n v="1"/>
    <m/>
    <s v="Supplier"/>
    <m/>
    <x v="560"/>
    <s v="Idear-Hanyu_SIF 2013.XLSX"/>
    <s v=".xlsx"/>
    <d v="2014-04-16T00:00:00"/>
    <s v="as\afok"/>
    <m/>
    <s v="2013"/>
    <m/>
    <m/>
    <m/>
    <m/>
    <m/>
    <x v="0"/>
    <x v="0"/>
    <x v="0"/>
    <x v="0"/>
    <x v="2"/>
    <x v="101"/>
    <x v="123"/>
    <x v="113"/>
    <x v="101"/>
    <x v="45"/>
    <x v="40"/>
    <x v="70"/>
    <x v="64"/>
    <x v="56"/>
    <x v="52"/>
    <m/>
    <x v="0"/>
    <x v="0"/>
    <x v="0"/>
    <x v="0"/>
    <m/>
    <m/>
    <m/>
    <n v="0"/>
    <m/>
    <m/>
    <m/>
    <s v="CP"/>
    <m/>
    <m/>
    <s v="CP "/>
    <x v="2"/>
    <x v="1"/>
    <m/>
    <x v="30"/>
  </r>
  <r>
    <n v="2613"/>
    <x v="121"/>
    <x v="121"/>
    <x v="113"/>
    <x v="0"/>
    <x v="0"/>
    <n v="2462"/>
    <x v="4"/>
    <m/>
    <m/>
    <s v="Supplier"/>
    <m/>
    <x v="414"/>
    <s v="IMS_General Agreement_30May12.pdf"/>
    <s v=".pdf"/>
    <d v="2014-04-23T00:00:00"/>
    <s v="as\afok"/>
    <s v="Intercontinental Marketing Services Co., Ltd"/>
    <m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m/>
    <m/>
    <m/>
    <s v="FP "/>
    <x v="0"/>
    <x v="1"/>
    <m/>
    <x v="0"/>
  </r>
  <r>
    <n v="2616"/>
    <x v="121"/>
    <x v="121"/>
    <x v="113"/>
    <x v="0"/>
    <x v="0"/>
    <n v="2465"/>
    <x v="5"/>
    <m/>
    <m/>
    <s v="Supplier"/>
    <m/>
    <x v="414"/>
    <s v="IMS_General Agreement_30May12.pdf"/>
    <s v=".pdf"/>
    <d v="2014-04-23T00:00:00"/>
    <s v="as\afok"/>
    <s v="Intercontinental Marketing Services Co., Ltd"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m/>
    <m/>
    <m/>
    <s v="FP "/>
    <x v="0"/>
    <x v="1"/>
    <m/>
    <x v="0"/>
  </r>
  <r>
    <n v="2624"/>
    <x v="121"/>
    <x v="121"/>
    <x v="113"/>
    <x v="0"/>
    <x v="0"/>
    <n v="2464"/>
    <x v="6"/>
    <m/>
    <m/>
    <s v="Supplier"/>
    <m/>
    <x v="414"/>
    <s v="IMS_General Agreement_30May12.pdf"/>
    <s v=".pdf"/>
    <d v="2014-04-23T00:00:00"/>
    <s v="as\afok"/>
    <s v="Intercontinental Marketing Services Co., Ltd"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n v="1"/>
    <m/>
    <s v="FP"/>
    <m/>
    <m/>
    <m/>
    <s v="FP "/>
    <x v="0"/>
    <x v="1"/>
    <m/>
    <x v="0"/>
  </r>
  <r>
    <n v="2620"/>
    <x v="121"/>
    <x v="121"/>
    <x v="113"/>
    <x v="0"/>
    <x v="0"/>
    <n v="2469"/>
    <x v="6"/>
    <m/>
    <m/>
    <s v="Supplier"/>
    <m/>
    <x v="414"/>
    <s v="IMSFE_General Agreement_30May12.pdf"/>
    <s v=".pdf"/>
    <d v="2014-04-23T00:00:00"/>
    <s v="as\afok"/>
    <s v="Intercontinental Marketing Services Far East Company Limited"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m/>
    <m/>
    <m/>
    <s v="FP "/>
    <x v="0"/>
    <x v="1"/>
    <m/>
    <x v="0"/>
  </r>
  <r>
    <n v="2617"/>
    <x v="121"/>
    <x v="121"/>
    <x v="113"/>
    <x v="0"/>
    <x v="0"/>
    <n v="2466"/>
    <x v="10"/>
    <m/>
    <m/>
    <s v="Supplier"/>
    <m/>
    <x v="561"/>
    <s v="IMS_General Agreement_30May12.pdf"/>
    <s v=".pdf"/>
    <d v="2014-04-23T00:00:00"/>
    <s v="as\afok"/>
    <s v="Intercontinental Marketing Services Co., Ltd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m/>
    <m/>
    <s v="FP "/>
    <x v="0"/>
    <x v="1"/>
    <m/>
    <x v="0"/>
  </r>
  <r>
    <n v="2614"/>
    <x v="121"/>
    <x v="121"/>
    <x v="113"/>
    <x v="0"/>
    <x v="0"/>
    <n v="2463"/>
    <x v="7"/>
    <m/>
    <m/>
    <s v="Supplier"/>
    <m/>
    <x v="561"/>
    <s v="IMS_General Agreement_30May12.pdf"/>
    <s v=".pdf"/>
    <d v="2014-04-23T00:00:00"/>
    <s v="as\afok"/>
    <s v="Intercontinental Marketing Services Co., Ltd"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m/>
    <m/>
    <s v="FP "/>
    <x v="0"/>
    <x v="1"/>
    <m/>
    <x v="0"/>
  </r>
  <r>
    <n v="2610"/>
    <x v="121"/>
    <x v="121"/>
    <x v="113"/>
    <x v="0"/>
    <x v="0"/>
    <n v="2459"/>
    <x v="1"/>
    <m/>
    <m/>
    <s v="Supplier"/>
    <m/>
    <x v="267"/>
    <s v="SEF - IMS 2013.xlsx"/>
    <s v=".xlsx"/>
    <d v="2014-04-23T00:00:00"/>
    <s v="as\afok"/>
    <m/>
    <s v="2013"/>
    <m/>
    <m/>
    <m/>
    <m/>
    <m/>
    <x v="0"/>
    <x v="0"/>
    <x v="0"/>
    <x v="15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m/>
    <m/>
    <s v="FP "/>
    <x v="0"/>
    <x v="1"/>
    <m/>
    <x v="0"/>
  </r>
  <r>
    <n v="2626"/>
    <x v="122"/>
    <x v="122"/>
    <x v="114"/>
    <x v="0"/>
    <x v="0"/>
    <n v="2467"/>
    <x v="4"/>
    <m/>
    <m/>
    <s v="Supplier"/>
    <m/>
    <x v="414"/>
    <s v="IMSFE_General Agreement_30May12.pdf"/>
    <s v=".pdf"/>
    <d v="2014-04-23T00:00:00"/>
    <s v="as\afok"/>
    <s v="Intercontinental Marketing Services Far East Company Limited"/>
    <m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m/>
    <m/>
    <m/>
    <s v="FP "/>
    <x v="0"/>
    <x v="1"/>
    <m/>
    <x v="0"/>
  </r>
  <r>
    <n v="2623"/>
    <x v="122"/>
    <x v="122"/>
    <x v="114"/>
    <x v="0"/>
    <x v="0"/>
    <n v="2470"/>
    <x v="5"/>
    <m/>
    <m/>
    <s v="Supplier"/>
    <m/>
    <x v="414"/>
    <s v="IMSFE_General Agreement_30May12.pdf"/>
    <s v=".pdf"/>
    <d v="2014-04-23T00:00:00"/>
    <s v="as\afok"/>
    <s v="Intercontinental Marketing Services Far East Company Limited"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m/>
    <m/>
    <m/>
    <s v="FP "/>
    <x v="0"/>
    <x v="1"/>
    <m/>
    <x v="0"/>
  </r>
  <r>
    <n v="2622"/>
    <x v="122"/>
    <x v="122"/>
    <x v="114"/>
    <x v="0"/>
    <x v="0"/>
    <n v="2468"/>
    <x v="7"/>
    <m/>
    <m/>
    <s v="Supplier"/>
    <m/>
    <x v="561"/>
    <s v="IMSFE_General Agreement_30May12.pdf"/>
    <s v=".pdf"/>
    <d v="2014-04-23T00:00:00"/>
    <s v="as\afok"/>
    <s v="Intercontinental Marketing Services Far East Company Limited"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m/>
    <m/>
    <s v="FP "/>
    <x v="0"/>
    <x v="1"/>
    <m/>
    <x v="0"/>
  </r>
  <r>
    <n v="2627"/>
    <x v="122"/>
    <x v="122"/>
    <x v="114"/>
    <x v="0"/>
    <x v="0"/>
    <n v="2460"/>
    <x v="8"/>
    <m/>
    <m/>
    <s v="Supplier"/>
    <m/>
    <x v="19"/>
    <s v="IMSFE_Responsible Purchasing Charter_7Aug12.pdf"/>
    <s v=".pdf"/>
    <d v="2014-04-2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n v="1"/>
    <m/>
    <s v="FP"/>
    <m/>
    <m/>
    <m/>
    <s v="FP "/>
    <x v="0"/>
    <x v="1"/>
    <m/>
    <x v="0"/>
  </r>
  <r>
    <n v="2625"/>
    <x v="122"/>
    <x v="122"/>
    <x v="114"/>
    <x v="0"/>
    <x v="0"/>
    <n v="2461"/>
    <x v="2"/>
    <m/>
    <m/>
    <s v="Supplier"/>
    <m/>
    <x v="159"/>
    <s v="IMSFE - SIF2012.pdf"/>
    <s v=".pdf"/>
    <d v="2014-04-23T00:00:00"/>
    <s v="as\afok"/>
    <m/>
    <s v="2012"/>
    <m/>
    <m/>
    <m/>
    <m/>
    <m/>
    <x v="0"/>
    <x v="0"/>
    <x v="0"/>
    <x v="0"/>
    <x v="1"/>
    <x v="75"/>
    <x v="124"/>
    <x v="85"/>
    <x v="102"/>
    <x v="94"/>
    <x v="0"/>
    <x v="0"/>
    <x v="0"/>
    <x v="0"/>
    <x v="0"/>
    <m/>
    <x v="0"/>
    <x v="0"/>
    <x v="0"/>
    <x v="0"/>
    <m/>
    <m/>
    <m/>
    <n v="1"/>
    <m/>
    <m/>
    <s v="FP"/>
    <m/>
    <m/>
    <m/>
    <s v="FP "/>
    <x v="1"/>
    <x v="1"/>
    <m/>
    <x v="0"/>
  </r>
  <r>
    <n v="1854"/>
    <x v="123"/>
    <x v="123"/>
    <x v="115"/>
    <x v="4"/>
    <x v="17"/>
    <n v="1810"/>
    <x v="7"/>
    <m/>
    <m/>
    <s v="Supplier"/>
    <m/>
    <x v="86"/>
    <s v="JnP_Env_Declaration_23Mar2010.xls"/>
    <s v=".xls"/>
    <d v="2014-04-09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1855"/>
    <x v="123"/>
    <x v="123"/>
    <x v="115"/>
    <x v="4"/>
    <x v="17"/>
    <n v="1811"/>
    <x v="14"/>
    <m/>
    <m/>
    <s v="Supplier"/>
    <d v="2011-10-24T00:00:00"/>
    <x v="562"/>
    <s v="JnP_ISO9001_24Oct2011.pdf"/>
    <s v=".pdf"/>
    <d v="2014-04-0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1857"/>
    <x v="123"/>
    <x v="123"/>
    <x v="115"/>
    <x v="4"/>
    <x v="17"/>
    <n v="1813"/>
    <x v="9"/>
    <m/>
    <m/>
    <s v="Supplier"/>
    <m/>
    <x v="60"/>
    <s v="J_and_P_LOC_02Apr2010.pdf"/>
    <s v=".pdf"/>
    <d v="2014-04-0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s v="CP"/>
    <m/>
    <m/>
    <s v="CP "/>
    <x v="0"/>
    <x v="1"/>
    <m/>
    <x v="8"/>
  </r>
  <r>
    <n v="1856"/>
    <x v="123"/>
    <x v="123"/>
    <x v="115"/>
    <x v="4"/>
    <x v="17"/>
    <n v="1812"/>
    <x v="2"/>
    <m/>
    <m/>
    <s v="Supplier"/>
    <m/>
    <x v="337"/>
    <s v="J_AND_P_SIF2012_19APR12.xlsx"/>
    <s v=".xlsx"/>
    <d v="2014-04-09T00:00:00"/>
    <s v="as\afok"/>
    <m/>
    <s v="2012"/>
    <m/>
    <m/>
    <m/>
    <m/>
    <m/>
    <x v="0"/>
    <x v="0"/>
    <x v="0"/>
    <x v="0"/>
    <x v="1"/>
    <x v="102"/>
    <x v="125"/>
    <x v="114"/>
    <x v="103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2"/>
    <x v="1"/>
    <m/>
    <x v="8"/>
  </r>
  <r>
    <n v="24"/>
    <x v="124"/>
    <x v="124"/>
    <x v="116"/>
    <x v="0"/>
    <x v="9"/>
    <n v="20"/>
    <x v="4"/>
    <m/>
    <m/>
    <s v="Supplier"/>
    <d v="2015-12-31T00:00:00"/>
    <x v="510"/>
    <s v="JACKPOT_General Agreement_28Nov2011.pdf"/>
    <s v=".pdf"/>
    <d v="2014-03-04T00:00:00"/>
    <s v="as\afok"/>
    <m/>
    <s v="FHA00016 ind.10"/>
    <s v="37D4 - Within 45 days due net on posting date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n v="1"/>
    <m/>
    <m/>
    <n v="1"/>
    <m/>
    <m/>
    <s v="FP"/>
    <m/>
    <s v="SP"/>
    <s v="MOULD"/>
    <s v="FP SP MOULD "/>
    <x v="0"/>
    <x v="1"/>
    <m/>
    <x v="40"/>
  </r>
  <r>
    <n v="138"/>
    <x v="124"/>
    <x v="124"/>
    <x v="116"/>
    <x v="0"/>
    <x v="9"/>
    <n v="130"/>
    <x v="5"/>
    <m/>
    <m/>
    <s v="Supplier"/>
    <m/>
    <x v="460"/>
    <s v="JACKPOT_General Agreement_28Nov2011.pdf"/>
    <s v=".pdf"/>
    <d v="2014-03-10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n v="1"/>
    <m/>
    <n v="1"/>
    <m/>
    <m/>
    <s v="FP"/>
    <m/>
    <s v="SP"/>
    <s v="MOULD"/>
    <s v="FP SP MOULD "/>
    <x v="0"/>
    <x v="1"/>
    <m/>
    <x v="40"/>
  </r>
  <r>
    <n v="137"/>
    <x v="124"/>
    <x v="124"/>
    <x v="116"/>
    <x v="0"/>
    <x v="9"/>
    <n v="129"/>
    <x v="6"/>
    <m/>
    <m/>
    <s v="Supplier"/>
    <m/>
    <x v="510"/>
    <s v="JACKPOT_General Agreement_28Nov2011.pdf"/>
    <s v=".pdf"/>
    <d v="2014-03-10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n v="1"/>
    <n v="1"/>
    <m/>
    <m/>
    <s v="FP"/>
    <m/>
    <s v="SP"/>
    <s v="MOULD"/>
    <s v="FP SP MOULD "/>
    <x v="0"/>
    <x v="1"/>
    <m/>
    <x v="40"/>
  </r>
  <r>
    <n v="575"/>
    <x v="124"/>
    <x v="124"/>
    <x v="116"/>
    <x v="0"/>
    <x v="9"/>
    <n v="558"/>
    <x v="10"/>
    <m/>
    <m/>
    <s v="Supplier"/>
    <m/>
    <x v="510"/>
    <s v="JACKPOT_General Agreement_28Nov2011.pdf"/>
    <s v=".pdf"/>
    <d v="2014-03-1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n v="1"/>
    <m/>
    <s v="FP"/>
    <m/>
    <s v="SP"/>
    <s v="MOULD"/>
    <s v="FP SP MOULD "/>
    <x v="0"/>
    <x v="1"/>
    <m/>
    <x v="40"/>
  </r>
  <r>
    <n v="139"/>
    <x v="124"/>
    <x v="124"/>
    <x v="116"/>
    <x v="0"/>
    <x v="9"/>
    <n v="131"/>
    <x v="7"/>
    <m/>
    <m/>
    <s v="Supplier"/>
    <m/>
    <x v="510"/>
    <s v="JACKPOT_General Agreement_28Nov2011.pdf"/>
    <s v=".pdf"/>
    <d v="2014-03-10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m/>
    <s v="SP"/>
    <s v="MOULD"/>
    <s v="FP SP MOULD "/>
    <x v="0"/>
    <x v="1"/>
    <m/>
    <x v="40"/>
  </r>
  <r>
    <n v="135"/>
    <x v="124"/>
    <x v="124"/>
    <x v="116"/>
    <x v="0"/>
    <x v="9"/>
    <n v="127"/>
    <x v="7"/>
    <m/>
    <m/>
    <s v="Supplier"/>
    <m/>
    <x v="61"/>
    <s v="JackPot_Env_Declaration_31Mar2010.pdf"/>
    <s v=".pdf"/>
    <d v="2014-03-10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m/>
    <s v="SP"/>
    <s v="MOULD"/>
    <s v="FP SP MOULD "/>
    <x v="0"/>
    <x v="1"/>
    <m/>
    <x v="40"/>
  </r>
  <r>
    <n v="136"/>
    <x v="124"/>
    <x v="124"/>
    <x v="116"/>
    <x v="0"/>
    <x v="9"/>
    <n v="128"/>
    <x v="11"/>
    <m/>
    <m/>
    <s v="Supplier"/>
    <m/>
    <x v="563"/>
    <s v="Jackpot_Exclsivity Agreement_Vintage Dry Iron_4Jan12.pdf"/>
    <s v=".pdf"/>
    <d v="2014-03-10T00:00:00"/>
    <s v="as\afok"/>
    <s v="Vintage Dry Iron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m/>
    <s v="SP"/>
    <s v="MOULD"/>
    <s v="FP SP MOULD "/>
    <x v="0"/>
    <x v="1"/>
    <m/>
    <x v="40"/>
  </r>
  <r>
    <n v="140"/>
    <x v="124"/>
    <x v="124"/>
    <x v="116"/>
    <x v="0"/>
    <x v="9"/>
    <n v="132"/>
    <x v="12"/>
    <m/>
    <m/>
    <s v="Product / Project"/>
    <m/>
    <x v="563"/>
    <s v="Jackpot_IP_Vintage Dry Iron_4Jan12.pdf"/>
    <s v=".pdf"/>
    <d v="2014-03-10T00:00:00"/>
    <s v="as\afok"/>
    <m/>
    <m/>
    <m/>
    <m/>
    <m/>
    <m/>
    <s v="Vintage Dry Iron"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m/>
    <s v="SP"/>
    <s v="MOULD"/>
    <s v="FP SP MOULD "/>
    <x v="0"/>
    <x v="1"/>
    <m/>
    <x v="40"/>
  </r>
  <r>
    <n v="134"/>
    <x v="124"/>
    <x v="124"/>
    <x v="116"/>
    <x v="0"/>
    <x v="9"/>
    <n v="126"/>
    <x v="13"/>
    <m/>
    <m/>
    <s v="Supplier"/>
    <d v="2013-09-25T00:00:00"/>
    <x v="564"/>
    <s v="Jack Pot ISO14001 06 Oct 2010.pdf"/>
    <s v=".pdf"/>
    <d v="2014-03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m/>
    <s v="SP"/>
    <s v="MOULD"/>
    <s v="FP SP MOULD "/>
    <x v="0"/>
    <x v="1"/>
    <m/>
    <x v="40"/>
  </r>
  <r>
    <n v="141"/>
    <x v="124"/>
    <x v="124"/>
    <x v="116"/>
    <x v="0"/>
    <x v="9"/>
    <n v="133"/>
    <x v="9"/>
    <m/>
    <m/>
    <s v="Supplier"/>
    <m/>
    <x v="565"/>
    <s v="JackPot_LOC_09Nov2009.pdf"/>
    <s v=".pdf"/>
    <d v="2014-03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m/>
    <s v="SP"/>
    <s v="MOULD"/>
    <s v="FP SP MOULD "/>
    <x v="0"/>
    <x v="1"/>
    <m/>
    <x v="40"/>
  </r>
  <r>
    <n v="142"/>
    <x v="124"/>
    <x v="124"/>
    <x v="116"/>
    <x v="0"/>
    <x v="9"/>
    <n v="134"/>
    <x v="9"/>
    <m/>
    <m/>
    <s v="Product / Project"/>
    <m/>
    <x v="566"/>
    <s v="JackPot_LOC_OPALE Yogurt Maker 21Jan10.pdf"/>
    <s v=".pdf"/>
    <d v="2014-03-10T00:00:00"/>
    <s v="as\afok"/>
    <m/>
    <m/>
    <m/>
    <m/>
    <m/>
    <m/>
    <s v="OPALE Yogurt Maker"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m/>
    <s v="SP"/>
    <s v="MOULD"/>
    <s v="FP SP MOULD "/>
    <x v="0"/>
    <x v="1"/>
    <m/>
    <x v="40"/>
  </r>
  <r>
    <n v="145"/>
    <x v="124"/>
    <x v="124"/>
    <x v="116"/>
    <x v="0"/>
    <x v="9"/>
    <n v="137"/>
    <x v="1"/>
    <m/>
    <m/>
    <s v="Supplier"/>
    <m/>
    <x v="144"/>
    <s v="SEF Jackpot 20130809.xlsx"/>
    <s v=".xlsx"/>
    <d v="2014-03-10T00:00:00"/>
    <s v="as\afok"/>
    <m/>
    <s v="2013"/>
    <m/>
    <m/>
    <m/>
    <m/>
    <m/>
    <x v="0"/>
    <x v="0"/>
    <x v="0"/>
    <x v="1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m/>
    <s v="SP"/>
    <s v="MOULD"/>
    <s v="FP SP MOULD "/>
    <x v="0"/>
    <x v="1"/>
    <m/>
    <x v="40"/>
  </r>
  <r>
    <n v="146"/>
    <x v="124"/>
    <x v="124"/>
    <x v="116"/>
    <x v="0"/>
    <x v="9"/>
    <n v="138"/>
    <x v="1"/>
    <m/>
    <m/>
    <s v="Supplier"/>
    <m/>
    <x v="70"/>
    <s v="SEF_Jackpot_20120830.xlsx"/>
    <s v=".xlsx"/>
    <d v="2014-03-10T00:00:00"/>
    <s v="as\afok"/>
    <m/>
    <s v="2012"/>
    <m/>
    <m/>
    <m/>
    <m/>
    <m/>
    <x v="0"/>
    <x v="0"/>
    <x v="0"/>
    <x v="4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m/>
    <s v="SP"/>
    <s v="MOULD"/>
    <s v="FP SP MOULD "/>
    <x v="0"/>
    <x v="1"/>
    <m/>
    <x v="40"/>
  </r>
  <r>
    <n v="143"/>
    <x v="124"/>
    <x v="124"/>
    <x v="116"/>
    <x v="0"/>
    <x v="9"/>
    <n v="135"/>
    <x v="2"/>
    <n v="1"/>
    <m/>
    <s v="Supplier"/>
    <m/>
    <x v="173"/>
    <s v="Jackpot_SIF2012_17Feb12.xls"/>
    <s v=".xls"/>
    <d v="2014-03-10T00:00:00"/>
    <s v="as\afok"/>
    <m/>
    <s v="2012"/>
    <m/>
    <m/>
    <m/>
    <m/>
    <m/>
    <x v="0"/>
    <x v="0"/>
    <x v="0"/>
    <x v="0"/>
    <x v="1"/>
    <x v="103"/>
    <x v="126"/>
    <x v="47"/>
    <x v="26"/>
    <x v="13"/>
    <x v="0"/>
    <x v="8"/>
    <x v="65"/>
    <x v="30"/>
    <x v="48"/>
    <s v="FP panel"/>
    <x v="1"/>
    <x v="2"/>
    <x v="0"/>
    <x v="0"/>
    <m/>
    <m/>
    <m/>
    <n v="1"/>
    <m/>
    <m/>
    <s v="FP"/>
    <m/>
    <s v="SP"/>
    <s v="MOULD"/>
    <s v="FP SP MOULD "/>
    <x v="3"/>
    <x v="1"/>
    <m/>
    <x v="40"/>
  </r>
  <r>
    <n v="144"/>
    <x v="124"/>
    <x v="124"/>
    <x v="116"/>
    <x v="0"/>
    <x v="9"/>
    <n v="136"/>
    <x v="3"/>
    <m/>
    <m/>
    <s v="Supplier"/>
    <m/>
    <x v="93"/>
    <s v="Jackpot_SPR_20120809.pptx"/>
    <s v=".pptx"/>
    <d v="2014-03-10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m/>
    <s v="SP"/>
    <s v="MOULD"/>
    <s v="FP SP MOULD "/>
    <x v="0"/>
    <x v="1"/>
    <m/>
    <x v="40"/>
  </r>
  <r>
    <n v="1703"/>
    <x v="125"/>
    <x v="125"/>
    <x v="117"/>
    <x v="5"/>
    <x v="7"/>
    <n v="1660"/>
    <x v="4"/>
    <m/>
    <m/>
    <s v="Supplier"/>
    <m/>
    <x v="350"/>
    <s v="Jianlong_Supply Agreement_16Feb2012.pdf"/>
    <s v=".pdf"/>
    <d v="2014-04-07T00:00:00"/>
    <s v="as\afok"/>
    <m/>
    <s v="V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n v="1"/>
    <m/>
    <m/>
    <n v="1"/>
    <m/>
    <m/>
    <s v="FP"/>
    <s v="CP"/>
    <m/>
    <s v="MOULD"/>
    <s v="FP CP MOULD Both"/>
    <x v="0"/>
    <x v="1"/>
    <m/>
    <x v="18"/>
  </r>
  <r>
    <n v="1710"/>
    <x v="125"/>
    <x v="125"/>
    <x v="117"/>
    <x v="5"/>
    <x v="7"/>
    <n v="1667"/>
    <x v="5"/>
    <m/>
    <m/>
    <s v="Supplier"/>
    <m/>
    <x v="74"/>
    <s v="Jianlong_Supply Agreement_16Feb2012.pdf"/>
    <s v=".pdf"/>
    <d v="2014-04-08T00:00:00"/>
    <s v="as\afok"/>
    <m/>
    <s v="V4"/>
    <m/>
    <m/>
    <m/>
    <n v="10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n v="1"/>
    <m/>
    <n v="1"/>
    <m/>
    <m/>
    <s v="FP"/>
    <s v="CP"/>
    <m/>
    <s v="MOULD"/>
    <s v="FP CP MOULD Both"/>
    <x v="0"/>
    <x v="1"/>
    <m/>
    <x v="18"/>
  </r>
  <r>
    <n v="1704"/>
    <x v="125"/>
    <x v="125"/>
    <x v="117"/>
    <x v="5"/>
    <x v="7"/>
    <n v="1661"/>
    <x v="6"/>
    <m/>
    <m/>
    <s v="Supplier"/>
    <m/>
    <x v="567"/>
    <s v="Jianlong_Supply Chain Appendix_1Aug2013(ETD update).pdf"/>
    <s v=".pdf"/>
    <d v="2014-04-07T00:00:00"/>
    <s v="as\afok"/>
    <m/>
    <m/>
    <m/>
    <n v="42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n v="1"/>
    <n v="1"/>
    <m/>
    <m/>
    <s v="FP"/>
    <s v="CP"/>
    <m/>
    <s v="MOULD"/>
    <s v="FP CP MOULD Both"/>
    <x v="0"/>
    <x v="1"/>
    <m/>
    <x v="18"/>
  </r>
  <r>
    <n v="1711"/>
    <x v="125"/>
    <x v="125"/>
    <x v="117"/>
    <x v="5"/>
    <x v="7"/>
    <n v="1668"/>
    <x v="6"/>
    <m/>
    <m/>
    <s v="Supplier"/>
    <m/>
    <x v="350"/>
    <s v="Jianlong_Supply Agreement_16Feb2012.pdf"/>
    <s v=".pdf"/>
    <d v="2014-04-08T00:00:00"/>
    <s v="as\afok"/>
    <m/>
    <m/>
    <m/>
    <n v="0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n v="1"/>
    <n v="1"/>
    <m/>
    <m/>
    <s v="FP"/>
    <s v="CP"/>
    <m/>
    <s v="MOULD"/>
    <s v="FP CP MOULD Both"/>
    <x v="0"/>
    <x v="1"/>
    <m/>
    <x v="18"/>
  </r>
  <r>
    <n v="1712"/>
    <x v="125"/>
    <x v="125"/>
    <x v="117"/>
    <x v="5"/>
    <x v="7"/>
    <n v="1669"/>
    <x v="10"/>
    <m/>
    <m/>
    <s v="Supplier"/>
    <m/>
    <x v="568"/>
    <s v="Jianlong_Supply Agreement_16Feb2012.pdf"/>
    <s v=".pdf"/>
    <d v="2014-04-0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s v="FP"/>
    <s v="CP"/>
    <m/>
    <s v="MOULD"/>
    <s v="FP CP MOULD Both"/>
    <x v="0"/>
    <x v="1"/>
    <m/>
    <x v="18"/>
  </r>
  <r>
    <n v="1709"/>
    <x v="125"/>
    <x v="125"/>
    <x v="117"/>
    <x v="5"/>
    <x v="7"/>
    <n v="1666"/>
    <x v="7"/>
    <m/>
    <m/>
    <s v="Supplier"/>
    <m/>
    <x v="350"/>
    <s v="Jianlong_Supply Agreement_16Feb2012.pdf"/>
    <s v=".pdf"/>
    <d v="2014-04-08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s v="FP"/>
    <s v="CP"/>
    <m/>
    <s v="MOULD"/>
    <s v="FP CP MOULD Both"/>
    <x v="0"/>
    <x v="1"/>
    <m/>
    <x v="18"/>
  </r>
  <r>
    <n v="1714"/>
    <x v="125"/>
    <x v="125"/>
    <x v="117"/>
    <x v="5"/>
    <x v="7"/>
    <n v="1671"/>
    <x v="13"/>
    <m/>
    <m/>
    <s v="Supplier"/>
    <d v="2009-01-24T00:00:00"/>
    <x v="569"/>
    <s v="Jianlong_ISO14001_23Mar2010.pdf"/>
    <s v=".pdf"/>
    <d v="2014-04-0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n v="1"/>
    <m/>
    <s v="FP"/>
    <s v="CP"/>
    <m/>
    <s v="MOULD"/>
    <s v="FP CP MOULD Both"/>
    <x v="0"/>
    <x v="1"/>
    <m/>
    <x v="18"/>
  </r>
  <r>
    <n v="1706"/>
    <x v="125"/>
    <x v="125"/>
    <x v="117"/>
    <x v="5"/>
    <x v="7"/>
    <n v="1663"/>
    <x v="8"/>
    <m/>
    <m/>
    <s v="Supplier"/>
    <m/>
    <x v="93"/>
    <s v="Jianlong_Responsible Purchaser Charter_9Aug2012.pdf"/>
    <s v=".pdf"/>
    <d v="2014-04-0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s v="FP"/>
    <s v="CP"/>
    <m/>
    <s v="MOULD"/>
    <s v="FP CP MOULD Both"/>
    <x v="0"/>
    <x v="1"/>
    <m/>
    <x v="18"/>
  </r>
  <r>
    <n v="1705"/>
    <x v="125"/>
    <x v="125"/>
    <x v="117"/>
    <x v="5"/>
    <x v="7"/>
    <n v="1662"/>
    <x v="1"/>
    <m/>
    <m/>
    <s v="Supplier"/>
    <m/>
    <x v="474"/>
    <s v="Jianlong_SEF_29Aug2012.xlsx"/>
    <s v=".xlsx"/>
    <d v="2014-04-07T00:00:00"/>
    <s v="as\afok"/>
    <m/>
    <s v="2012"/>
    <m/>
    <m/>
    <m/>
    <m/>
    <m/>
    <x v="0"/>
    <x v="0"/>
    <x v="0"/>
    <x v="5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s v="FP"/>
    <s v="CP"/>
    <m/>
    <s v="MOULD"/>
    <s v="FP CP MOULD Both"/>
    <x v="0"/>
    <x v="1"/>
    <m/>
    <x v="18"/>
  </r>
  <r>
    <n v="1713"/>
    <x v="125"/>
    <x v="125"/>
    <x v="117"/>
    <x v="5"/>
    <x v="7"/>
    <n v="1670"/>
    <x v="2"/>
    <m/>
    <m/>
    <s v="Supplier"/>
    <m/>
    <x v="159"/>
    <s v="Jianlong_SIF_17May2012.xls"/>
    <s v=".xls"/>
    <d v="2014-04-08T00:00:00"/>
    <s v="as\afok"/>
    <m/>
    <s v="2012"/>
    <m/>
    <m/>
    <m/>
    <m/>
    <m/>
    <x v="0"/>
    <x v="0"/>
    <x v="0"/>
    <x v="0"/>
    <x v="1"/>
    <x v="57"/>
    <x v="127"/>
    <x v="0"/>
    <x v="0"/>
    <x v="0"/>
    <x v="11"/>
    <x v="19"/>
    <x v="0"/>
    <x v="0"/>
    <x v="0"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18"/>
  </r>
  <r>
    <n v="1708"/>
    <x v="125"/>
    <x v="125"/>
    <x v="117"/>
    <x v="5"/>
    <x v="7"/>
    <n v="1665"/>
    <x v="3"/>
    <m/>
    <m/>
    <s v="Supplier"/>
    <m/>
    <x v="570"/>
    <s v="SPR_Jianlong_2013.pptx"/>
    <s v=".pptx"/>
    <d v="2014-04-07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s v="FP"/>
    <s v="CP"/>
    <m/>
    <s v="MOULD"/>
    <s v="FP CP MOULD Both"/>
    <x v="0"/>
    <x v="1"/>
    <m/>
    <x v="18"/>
  </r>
  <r>
    <n v="930"/>
    <x v="126"/>
    <x v="126"/>
    <x v="118"/>
    <x v="4"/>
    <x v="6"/>
    <n v="908"/>
    <x v="9"/>
    <m/>
    <m/>
    <s v="Product / Project"/>
    <m/>
    <x v="571"/>
    <s v="LOC_Shenzhen_Jinsunway_Mould(Rome_Project).pdf"/>
    <s v=".pdf"/>
    <d v="2014-03-24T00:00:00"/>
    <s v="as\afok"/>
    <m/>
    <m/>
    <m/>
    <m/>
    <m/>
    <m/>
    <s v="Rome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m/>
    <m/>
    <s v="MOULD"/>
    <s v="MOULD "/>
    <x v="0"/>
    <x v="1"/>
    <m/>
    <x v="3"/>
  </r>
  <r>
    <n v="932"/>
    <x v="126"/>
    <x v="126"/>
    <x v="118"/>
    <x v="4"/>
    <x v="6"/>
    <n v="910"/>
    <x v="9"/>
    <m/>
    <m/>
    <s v="Supplier"/>
    <m/>
    <x v="426"/>
    <s v="LOC_Shenzhen Jinsunway(project Nara)_9Sep11.pdf"/>
    <s v=".pdf"/>
    <d v="2014-03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m/>
    <m/>
    <s v="MOULD"/>
    <s v="MOULD "/>
    <x v="0"/>
    <x v="1"/>
    <m/>
    <x v="3"/>
  </r>
  <r>
    <n v="931"/>
    <x v="126"/>
    <x v="126"/>
    <x v="118"/>
    <x v="4"/>
    <x v="6"/>
    <n v="909"/>
    <x v="9"/>
    <m/>
    <m/>
    <s v="Product / Project"/>
    <m/>
    <x v="572"/>
    <s v="LOC_Shenzhen Jinsunway(project Nara)_5Sep11.pdf"/>
    <s v=".pdf"/>
    <d v="2014-03-24T00:00:00"/>
    <s v="as\afok"/>
    <m/>
    <m/>
    <m/>
    <m/>
    <m/>
    <m/>
    <s v="Nara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m/>
    <m/>
    <s v="MOULD"/>
    <s v="MOULD "/>
    <x v="0"/>
    <x v="1"/>
    <m/>
    <x v="3"/>
  </r>
  <r>
    <n v="929"/>
    <x v="126"/>
    <x v="126"/>
    <x v="118"/>
    <x v="4"/>
    <x v="6"/>
    <n v="907"/>
    <x v="9"/>
    <m/>
    <m/>
    <s v="Supplier"/>
    <m/>
    <x v="573"/>
    <s v="LOC_Shenzhen_Junsunway.tif"/>
    <s v=".tif"/>
    <d v="2014-03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m/>
    <m/>
    <s v="MOULD"/>
    <s v="MOULD "/>
    <x v="0"/>
    <x v="1"/>
    <m/>
    <x v="3"/>
  </r>
  <r>
    <n v="928"/>
    <x v="126"/>
    <x v="126"/>
    <x v="118"/>
    <x v="4"/>
    <x v="6"/>
    <n v="906"/>
    <x v="8"/>
    <m/>
    <m/>
    <s v="Supplier"/>
    <m/>
    <x v="551"/>
    <s v="JSW_Responsible Purchasing Charter_01Mar13.pdf"/>
    <s v=".pdf"/>
    <d v="2014-03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m/>
    <m/>
    <s v="MOULD"/>
    <s v="MOULD "/>
    <x v="0"/>
    <x v="1"/>
    <m/>
    <x v="3"/>
  </r>
  <r>
    <n v="927"/>
    <x v="126"/>
    <x v="126"/>
    <x v="118"/>
    <x v="4"/>
    <x v="6"/>
    <n v="905"/>
    <x v="2"/>
    <n v="1"/>
    <m/>
    <s v="Supplier"/>
    <m/>
    <x v="574"/>
    <s v="JSW_SIF2013.xlsx"/>
    <s v=".xlsx"/>
    <d v="2014-03-24T00:00:00"/>
    <s v="as\afok"/>
    <m/>
    <s v="2013"/>
    <m/>
    <m/>
    <m/>
    <m/>
    <m/>
    <x v="0"/>
    <x v="0"/>
    <x v="0"/>
    <x v="0"/>
    <x v="2"/>
    <x v="27"/>
    <x v="128"/>
    <x v="115"/>
    <x v="104"/>
    <x v="95"/>
    <x v="6"/>
    <x v="71"/>
    <x v="22"/>
    <x v="6"/>
    <x v="9"/>
    <m/>
    <x v="0"/>
    <x v="0"/>
    <x v="0"/>
    <x v="0"/>
    <m/>
    <m/>
    <m/>
    <n v="0"/>
    <m/>
    <m/>
    <m/>
    <m/>
    <m/>
    <s v="MOULD"/>
    <s v="MOULD "/>
    <x v="2"/>
    <x v="1"/>
    <m/>
    <x v="3"/>
  </r>
  <r>
    <n v="854"/>
    <x v="127"/>
    <x v="127"/>
    <x v="119"/>
    <x v="1"/>
    <x v="1"/>
    <n v="832"/>
    <x v="4"/>
    <m/>
    <m/>
    <s v="Supplier"/>
    <m/>
    <x v="535"/>
    <s v="JEI_Purchase_Agreement_2008.pdf"/>
    <s v=".pdf"/>
    <d v="2014-03-21T00:00:00"/>
    <s v="as\afok"/>
    <m/>
    <m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m/>
    <s v="CP"/>
    <m/>
    <s v="MOULD"/>
    <s v="CP MOULD "/>
    <x v="0"/>
    <x v="1"/>
    <m/>
    <x v="34"/>
  </r>
  <r>
    <n v="851"/>
    <x v="127"/>
    <x v="127"/>
    <x v="119"/>
    <x v="1"/>
    <x v="1"/>
    <n v="829"/>
    <x v="4"/>
    <m/>
    <m/>
    <s v="Supplier"/>
    <m/>
    <x v="575"/>
    <s v="JEI_Purchase_Agreement_2009.pdf"/>
    <s v=".pdf"/>
    <d v="2014-03-21T00:00:00"/>
    <s v="as\afok"/>
    <m/>
    <m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m/>
    <s v="CP"/>
    <m/>
    <s v="MOULD"/>
    <s v="CP MOULD "/>
    <x v="0"/>
    <x v="1"/>
    <m/>
    <x v="34"/>
  </r>
  <r>
    <n v="849"/>
    <x v="127"/>
    <x v="127"/>
    <x v="119"/>
    <x v="1"/>
    <x v="1"/>
    <n v="827"/>
    <x v="5"/>
    <m/>
    <m/>
    <s v="Supplier"/>
    <m/>
    <x v="576"/>
    <s v="JEI_Quality Appendix_20121025.pdf"/>
    <s v=".pdf"/>
    <d v="2014-03-21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m/>
    <s v="CP"/>
    <m/>
    <s v="MOULD"/>
    <s v="CP MOULD "/>
    <x v="0"/>
    <x v="1"/>
    <m/>
    <x v="34"/>
  </r>
  <r>
    <n v="855"/>
    <x v="127"/>
    <x v="127"/>
    <x v="119"/>
    <x v="1"/>
    <x v="1"/>
    <n v="833"/>
    <x v="5"/>
    <m/>
    <m/>
    <s v="Supplier"/>
    <m/>
    <x v="535"/>
    <s v="JEI_Purchase_Agreement_2008.pdf"/>
    <s v=".pdf"/>
    <d v="2014-03-21T00:00:00"/>
    <s v="as\afok"/>
    <m/>
    <m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m/>
    <s v="CP"/>
    <m/>
    <s v="MOULD"/>
    <s v="CP MOULD "/>
    <x v="0"/>
    <x v="1"/>
    <m/>
    <x v="34"/>
  </r>
  <r>
    <n v="852"/>
    <x v="127"/>
    <x v="127"/>
    <x v="119"/>
    <x v="1"/>
    <x v="1"/>
    <n v="830"/>
    <x v="5"/>
    <m/>
    <m/>
    <s v="Supplier"/>
    <m/>
    <x v="575"/>
    <s v="JEI_Purchase_Agreement_2009.pdf"/>
    <s v=".pdf"/>
    <d v="2014-03-21T00:00:00"/>
    <s v="as\afok"/>
    <m/>
    <m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m/>
    <s v="CP"/>
    <m/>
    <s v="MOULD"/>
    <s v="CP MOULD "/>
    <x v="0"/>
    <x v="1"/>
    <m/>
    <x v="34"/>
  </r>
  <r>
    <n v="853"/>
    <x v="127"/>
    <x v="127"/>
    <x v="119"/>
    <x v="1"/>
    <x v="1"/>
    <n v="831"/>
    <x v="6"/>
    <m/>
    <m/>
    <s v="Supplier"/>
    <m/>
    <x v="575"/>
    <s v="JEI_Purchase_Agreement_2009.pdf"/>
    <s v=".pdf"/>
    <d v="2014-03-21T00:00:00"/>
    <s v="as\afok"/>
    <m/>
    <m/>
    <m/>
    <n v="35"/>
    <n v="0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m/>
    <s v="CP"/>
    <m/>
    <s v="MOULD"/>
    <s v="CP MOULD "/>
    <x v="0"/>
    <x v="1"/>
    <m/>
    <x v="34"/>
  </r>
  <r>
    <n v="856"/>
    <x v="127"/>
    <x v="127"/>
    <x v="119"/>
    <x v="1"/>
    <x v="1"/>
    <n v="834"/>
    <x v="6"/>
    <m/>
    <m/>
    <s v="Supplier"/>
    <m/>
    <x v="535"/>
    <s v="JEI_Purchase_Agreement_2008.pdf"/>
    <s v=".pdf"/>
    <d v="2014-03-21T00:00:00"/>
    <s v="as\afok"/>
    <m/>
    <m/>
    <m/>
    <n v="35"/>
    <n v="0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m/>
    <s v="CP"/>
    <m/>
    <s v="MOULD"/>
    <s v="CP MOULD "/>
    <x v="0"/>
    <x v="1"/>
    <m/>
    <x v="34"/>
  </r>
  <r>
    <n v="845"/>
    <x v="127"/>
    <x v="127"/>
    <x v="119"/>
    <x v="1"/>
    <x v="1"/>
    <n v="823"/>
    <x v="7"/>
    <m/>
    <m/>
    <s v="Supplier"/>
    <m/>
    <x v="550"/>
    <s v="Johnson_Env_Declaration_28May2010.pdf"/>
    <s v=".pdf"/>
    <d v="2014-03-21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s v="MOULD"/>
    <s v="CP MOULD "/>
    <x v="0"/>
    <x v="1"/>
    <m/>
    <x v="34"/>
  </r>
  <r>
    <n v="847"/>
    <x v="127"/>
    <x v="127"/>
    <x v="119"/>
    <x v="1"/>
    <x v="1"/>
    <n v="825"/>
    <x v="14"/>
    <m/>
    <m/>
    <s v="Supplier"/>
    <d v="2012-10-20T00:00:00"/>
    <x v="577"/>
    <s v="Johnson ISO9001 12 Oct 2012.PDF"/>
    <s v=".pdf"/>
    <d v="2014-03-2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s v="MOULD"/>
    <s v="CP MOULD "/>
    <x v="0"/>
    <x v="1"/>
    <m/>
    <x v="34"/>
  </r>
  <r>
    <n v="848"/>
    <x v="127"/>
    <x v="127"/>
    <x v="119"/>
    <x v="1"/>
    <x v="1"/>
    <n v="826"/>
    <x v="8"/>
    <m/>
    <m/>
    <s v="Supplier"/>
    <m/>
    <x v="578"/>
    <s v="Johnson_Responsible_Purchasing_Charter_15Aug12.pdf"/>
    <s v=".pdf"/>
    <d v="2014-03-2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s v="MOULD"/>
    <s v="CP MOULD "/>
    <x v="0"/>
    <x v="1"/>
    <m/>
    <x v="34"/>
  </r>
  <r>
    <n v="844"/>
    <x v="127"/>
    <x v="127"/>
    <x v="119"/>
    <x v="1"/>
    <x v="1"/>
    <n v="822"/>
    <x v="1"/>
    <m/>
    <m/>
    <s v="Supplier"/>
    <m/>
    <x v="9"/>
    <s v="JEI SEF 2013-Expert-20130601-91.xlsx"/>
    <s v=".xlsx"/>
    <d v="2014-03-21T00:00:00"/>
    <s v="as\afok"/>
    <m/>
    <s v="2013"/>
    <m/>
    <m/>
    <m/>
    <m/>
    <m/>
    <x v="0"/>
    <x v="0"/>
    <x v="0"/>
    <x v="1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s v="MOULD"/>
    <s v="CP MOULD "/>
    <x v="0"/>
    <x v="1"/>
    <m/>
    <x v="34"/>
  </r>
  <r>
    <n v="850"/>
    <x v="127"/>
    <x v="127"/>
    <x v="119"/>
    <x v="1"/>
    <x v="1"/>
    <n v="828"/>
    <x v="1"/>
    <m/>
    <m/>
    <s v="Supplier"/>
    <m/>
    <x v="10"/>
    <s v="JEI_SEF_2012.xlsx"/>
    <s v=".xlsx"/>
    <d v="2014-03-21T00:00:00"/>
    <s v="as\afok"/>
    <m/>
    <s v="2012"/>
    <m/>
    <m/>
    <m/>
    <m/>
    <m/>
    <x v="0"/>
    <x v="0"/>
    <x v="0"/>
    <x v="39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s v="MOULD"/>
    <s v="CP MOULD "/>
    <x v="0"/>
    <x v="1"/>
    <m/>
    <x v="34"/>
  </r>
  <r>
    <n v="857"/>
    <x v="127"/>
    <x v="127"/>
    <x v="119"/>
    <x v="1"/>
    <x v="1"/>
    <n v="835"/>
    <x v="2"/>
    <m/>
    <m/>
    <s v="Supplier"/>
    <m/>
    <x v="579"/>
    <s v="Johnson_Elec_SIF_2010.xls"/>
    <s v=".xls"/>
    <d v="2014-03-21T00:00:00"/>
    <s v="as\afok"/>
    <m/>
    <s v="2010"/>
    <m/>
    <m/>
    <m/>
    <m/>
    <m/>
    <x v="0"/>
    <x v="0"/>
    <x v="0"/>
    <x v="0"/>
    <x v="4"/>
    <x v="104"/>
    <x v="129"/>
    <x v="116"/>
    <x v="0"/>
    <x v="0"/>
    <x v="0"/>
    <x v="72"/>
    <x v="0"/>
    <x v="0"/>
    <x v="0"/>
    <m/>
    <x v="0"/>
    <x v="0"/>
    <x v="0"/>
    <x v="0"/>
    <m/>
    <m/>
    <m/>
    <n v="1"/>
    <n v="1"/>
    <m/>
    <m/>
    <s v="CP"/>
    <m/>
    <s v="MOULD"/>
    <s v="CP MOULD "/>
    <x v="2"/>
    <x v="1"/>
    <m/>
    <x v="34"/>
  </r>
  <r>
    <n v="846"/>
    <x v="127"/>
    <x v="127"/>
    <x v="119"/>
    <x v="1"/>
    <x v="1"/>
    <n v="824"/>
    <x v="3"/>
    <m/>
    <m/>
    <s v="Supplier"/>
    <m/>
    <x v="14"/>
    <s v="JEI - SPR 2011.ppt"/>
    <s v=".ppt"/>
    <d v="2014-03-21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s v="MOULD"/>
    <s v="CP MOULD "/>
    <x v="0"/>
    <x v="1"/>
    <m/>
    <x v="34"/>
  </r>
  <r>
    <n v="684"/>
    <x v="128"/>
    <x v="128"/>
    <x v="120"/>
    <x v="2"/>
    <x v="15"/>
    <n v="667"/>
    <x v="4"/>
    <m/>
    <m/>
    <s v="Supplier"/>
    <m/>
    <x v="580"/>
    <s v="JOINONE_ Development and Supply Agreement.pdf"/>
    <s v=".pdf"/>
    <d v="2014-03-19T00:00:00"/>
    <s v="as\afok"/>
    <m/>
    <s v="FHA 00 016 ind.07"/>
    <s v="37D6 - Within 60 days Due net on posting date 37D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n v="1"/>
    <m/>
    <m/>
    <n v="0"/>
    <m/>
    <m/>
    <s v="FP"/>
    <s v="CP"/>
    <s v="SP"/>
    <s v="MOULD"/>
    <s v="FP CP SP MOULD Both"/>
    <x v="0"/>
    <x v="1"/>
    <m/>
    <x v="7"/>
  </r>
  <r>
    <n v="691"/>
    <x v="128"/>
    <x v="128"/>
    <x v="120"/>
    <x v="2"/>
    <x v="15"/>
    <n v="674"/>
    <x v="4"/>
    <m/>
    <m/>
    <s v="Supplier"/>
    <m/>
    <x v="283"/>
    <s v="Join Star_General agreement_ind.11 26 JUN 13.pdf"/>
    <s v=".pdf"/>
    <d v="2014-03-19T00:00:00"/>
    <s v="as\afok"/>
    <m/>
    <s v="FHA 00 016 ind.11"/>
    <s v="37D6 - Within 60 days Due net on posting date 37D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n v="1"/>
    <m/>
    <m/>
    <n v="0"/>
    <m/>
    <m/>
    <s v="FP"/>
    <s v="CP"/>
    <s v="SP"/>
    <s v="MOULD"/>
    <s v="FP CP SP MOULD Both"/>
    <x v="0"/>
    <x v="1"/>
    <m/>
    <x v="7"/>
  </r>
  <r>
    <n v="694"/>
    <x v="128"/>
    <x v="128"/>
    <x v="120"/>
    <x v="2"/>
    <x v="15"/>
    <n v="677"/>
    <x v="6"/>
    <m/>
    <m/>
    <s v="Supplier"/>
    <m/>
    <x v="581"/>
    <s v="Join Star_General agreement_ind.11 26 JUN 13.pdf"/>
    <s v=".pdf"/>
    <d v="2014-03-19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n v="1"/>
    <n v="0"/>
    <m/>
    <m/>
    <s v="FP"/>
    <s v="CP"/>
    <s v="SP"/>
    <s v="MOULD"/>
    <s v="FP CP SP MOULD Both"/>
    <x v="0"/>
    <x v="1"/>
    <m/>
    <x v="7"/>
  </r>
  <r>
    <n v="693"/>
    <x v="128"/>
    <x v="128"/>
    <x v="120"/>
    <x v="2"/>
    <x v="15"/>
    <n v="676"/>
    <x v="10"/>
    <m/>
    <m/>
    <s v="Supplier"/>
    <m/>
    <x v="450"/>
    <s v="Join Star_General agreement_ind.11 26 JUN 13.pdf"/>
    <s v=".pdf"/>
    <d v="2014-03-1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0"/>
    <m/>
    <m/>
    <s v="FP"/>
    <s v="CP"/>
    <s v="SP"/>
    <s v="MOULD"/>
    <s v="FP CP SP MOULD Both"/>
    <x v="0"/>
    <x v="1"/>
    <m/>
    <x v="7"/>
  </r>
  <r>
    <n v="692"/>
    <x v="128"/>
    <x v="128"/>
    <x v="120"/>
    <x v="2"/>
    <x v="15"/>
    <n v="675"/>
    <x v="7"/>
    <m/>
    <m/>
    <s v="Supplier"/>
    <m/>
    <x v="283"/>
    <s v="Join Star_General agreement_ind.11 26 JUN 13.pdf"/>
    <s v=".pdf"/>
    <d v="2014-03-19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0"/>
    <m/>
    <m/>
    <s v="FP"/>
    <s v="CP"/>
    <s v="SP"/>
    <s v="MOULD"/>
    <s v="FP CP SP MOULD Both"/>
    <x v="0"/>
    <x v="1"/>
    <m/>
    <x v="7"/>
  </r>
  <r>
    <n v="689"/>
    <x v="128"/>
    <x v="128"/>
    <x v="120"/>
    <x v="2"/>
    <x v="15"/>
    <n v="672"/>
    <x v="13"/>
    <m/>
    <m/>
    <s v="Supplier"/>
    <d v="2011-03-02T00:00:00"/>
    <x v="582"/>
    <s v="JOINSTAR_ISO14001_2011.pdf"/>
    <s v=".pdf"/>
    <d v="2014-03-1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0"/>
    <m/>
    <m/>
    <s v="FP"/>
    <s v="CP"/>
    <s v="SP"/>
    <s v="MOULD"/>
    <s v="FP CP SP MOULD Both"/>
    <x v="0"/>
    <x v="1"/>
    <m/>
    <x v="7"/>
  </r>
  <r>
    <n v="685"/>
    <x v="128"/>
    <x v="128"/>
    <x v="120"/>
    <x v="2"/>
    <x v="15"/>
    <n v="668"/>
    <x v="13"/>
    <m/>
    <m/>
    <s v="Supplier"/>
    <d v="2011-03-02T00:00:00"/>
    <x v="582"/>
    <s v="JOINSTAR_ISO14001_201004.tif"/>
    <s v=".tif"/>
    <d v="2014-03-1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0"/>
    <m/>
    <m/>
    <s v="FP"/>
    <s v="CP"/>
    <s v="SP"/>
    <s v="MOULD"/>
    <s v="FP CP SP MOULD Both"/>
    <x v="0"/>
    <x v="1"/>
    <m/>
    <x v="7"/>
  </r>
  <r>
    <n v="687"/>
    <x v="128"/>
    <x v="128"/>
    <x v="120"/>
    <x v="2"/>
    <x v="15"/>
    <n v="670"/>
    <x v="8"/>
    <m/>
    <m/>
    <s v="Supplier"/>
    <m/>
    <x v="247"/>
    <s v="Join Star - Responsible Purchasing Charter (ENG).pdf"/>
    <s v=".pdf"/>
    <d v="2014-03-1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0"/>
    <m/>
    <m/>
    <s v="FP"/>
    <s v="CP"/>
    <s v="SP"/>
    <s v="MOULD"/>
    <s v="FP CP SP MOULD Both"/>
    <x v="0"/>
    <x v="1"/>
    <m/>
    <x v="7"/>
  </r>
  <r>
    <n v="686"/>
    <x v="128"/>
    <x v="128"/>
    <x v="120"/>
    <x v="2"/>
    <x v="15"/>
    <n v="669"/>
    <x v="1"/>
    <m/>
    <m/>
    <s v="Supplier"/>
    <m/>
    <x v="583"/>
    <s v="JOIN STAR_ SEF_JUN 2012.xlsx"/>
    <s v=".xlsx"/>
    <d v="2014-03-19T00:00:00"/>
    <s v="as\afok"/>
    <m/>
    <s v="2012"/>
    <m/>
    <m/>
    <m/>
    <m/>
    <m/>
    <x v="0"/>
    <x v="0"/>
    <x v="0"/>
    <x v="9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0"/>
    <m/>
    <m/>
    <s v="FP"/>
    <s v="CP"/>
    <s v="SP"/>
    <s v="MOULD"/>
    <s v="FP CP SP MOULD Both"/>
    <x v="0"/>
    <x v="1"/>
    <m/>
    <x v="7"/>
  </r>
  <r>
    <n v="695"/>
    <x v="128"/>
    <x v="128"/>
    <x v="120"/>
    <x v="2"/>
    <x v="15"/>
    <n v="678"/>
    <x v="1"/>
    <m/>
    <m/>
    <s v="Supplier"/>
    <m/>
    <x v="113"/>
    <s v="SEF-Join Star 2013 Jun.xlsx"/>
    <s v=".xlsx"/>
    <d v="2014-03-19T00:00:00"/>
    <s v="as\afok"/>
    <m/>
    <s v="2013"/>
    <m/>
    <m/>
    <m/>
    <m/>
    <m/>
    <x v="0"/>
    <x v="0"/>
    <x v="0"/>
    <x v="15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0"/>
    <m/>
    <m/>
    <s v="FP"/>
    <s v="CP"/>
    <s v="SP"/>
    <s v="MOULD"/>
    <s v="FP CP SP MOULD Both"/>
    <x v="0"/>
    <x v="1"/>
    <m/>
    <x v="7"/>
  </r>
  <r>
    <n v="690"/>
    <x v="128"/>
    <x v="128"/>
    <x v="120"/>
    <x v="2"/>
    <x v="15"/>
    <n v="673"/>
    <x v="2"/>
    <m/>
    <m/>
    <s v="Supplier"/>
    <m/>
    <x v="584"/>
    <s v="Join Star - FHA6E502_EN_-_SIF 2013.xls"/>
    <s v=".xls"/>
    <d v="2014-03-19T00:00:00"/>
    <s v="as\afok"/>
    <m/>
    <s v="2013"/>
    <m/>
    <m/>
    <m/>
    <m/>
    <m/>
    <x v="0"/>
    <x v="0"/>
    <x v="0"/>
    <x v="0"/>
    <x v="2"/>
    <x v="105"/>
    <x v="97"/>
    <x v="117"/>
    <x v="82"/>
    <x v="96"/>
    <x v="19"/>
    <x v="8"/>
    <x v="5"/>
    <x v="2"/>
    <x v="53"/>
    <s v="CP Panel"/>
    <x v="0"/>
    <x v="0"/>
    <x v="1"/>
    <x v="2"/>
    <m/>
    <m/>
    <m/>
    <n v="0"/>
    <m/>
    <m/>
    <s v="FP"/>
    <s v="CP"/>
    <s v="SP"/>
    <s v="MOULD"/>
    <s v="FP CP SP MOULD Both"/>
    <x v="1"/>
    <x v="1"/>
    <m/>
    <x v="7"/>
  </r>
  <r>
    <n v="688"/>
    <x v="128"/>
    <x v="128"/>
    <x v="120"/>
    <x v="2"/>
    <x v="15"/>
    <n v="671"/>
    <x v="2"/>
    <n v="1"/>
    <m/>
    <s v="Supplier"/>
    <m/>
    <x v="11"/>
    <s v="JOIN STAR_SIF 2012_6Mar12.xls"/>
    <s v=".xls"/>
    <d v="2014-03-19T00:00:00"/>
    <s v="as\afok"/>
    <m/>
    <s v="2012"/>
    <m/>
    <m/>
    <m/>
    <m/>
    <m/>
    <x v="0"/>
    <x v="0"/>
    <x v="0"/>
    <x v="0"/>
    <x v="1"/>
    <x v="0"/>
    <x v="97"/>
    <x v="117"/>
    <x v="82"/>
    <x v="96"/>
    <x v="0"/>
    <x v="8"/>
    <x v="5"/>
    <x v="2"/>
    <x v="53"/>
    <s v="CP Panel"/>
    <x v="0"/>
    <x v="0"/>
    <x v="1"/>
    <x v="2"/>
    <m/>
    <m/>
    <m/>
    <n v="0"/>
    <m/>
    <m/>
    <s v="FP"/>
    <s v="CP"/>
    <s v="SP"/>
    <s v="MOULD"/>
    <s v="FP CP SP MOULD Both"/>
    <x v="1"/>
    <x v="1"/>
    <m/>
    <x v="7"/>
  </r>
  <r>
    <n v="697"/>
    <x v="128"/>
    <x v="128"/>
    <x v="120"/>
    <x v="2"/>
    <x v="15"/>
    <n v="680"/>
    <x v="3"/>
    <m/>
    <m/>
    <s v="Supplier"/>
    <m/>
    <x v="585"/>
    <s v="Join Star SPR 2013 v1 after meeting on 20130904 for Supplier.pptx"/>
    <s v=".pptx"/>
    <d v="2014-03-19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0"/>
    <m/>
    <n v="1"/>
    <s v="FP"/>
    <s v="CP"/>
    <s v="SP"/>
    <s v="MOULD"/>
    <s v="FP CP SP MOULD Both"/>
    <x v="0"/>
    <x v="1"/>
    <m/>
    <x v="7"/>
  </r>
  <r>
    <n v="696"/>
    <x v="128"/>
    <x v="128"/>
    <x v="120"/>
    <x v="2"/>
    <x v="15"/>
    <n v="679"/>
    <x v="3"/>
    <m/>
    <m/>
    <s v="Supplier"/>
    <m/>
    <x v="586"/>
    <s v="Join Star_SPR 2012 on Nov 26 2012 - v1 after meeting.pptx"/>
    <s v=".pptx"/>
    <d v="2014-03-19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0"/>
    <m/>
    <m/>
    <s v="FP"/>
    <s v="CP"/>
    <s v="SP"/>
    <s v="MOULD"/>
    <s v="FP CP SP MOULD Both"/>
    <x v="0"/>
    <x v="1"/>
    <m/>
    <x v="7"/>
  </r>
  <r>
    <n v="2227"/>
    <x v="129"/>
    <x v="129"/>
    <x v="121"/>
    <x v="4"/>
    <x v="8"/>
    <n v="2169"/>
    <x v="5"/>
    <m/>
    <m/>
    <s v="Supplier"/>
    <m/>
    <x v="406"/>
    <s v="Quality_appendix_JoyFu_2013.tif"/>
    <s v=".tif"/>
    <d v="2014-04-16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0"/>
    <m/>
    <m/>
    <m/>
    <m/>
    <m/>
    <m/>
    <s v=""/>
    <x v="0"/>
    <x v="1"/>
    <m/>
    <x v="3"/>
  </r>
  <r>
    <n v="2225"/>
    <x v="129"/>
    <x v="129"/>
    <x v="121"/>
    <x v="4"/>
    <x v="8"/>
    <n v="2167"/>
    <x v="8"/>
    <m/>
    <m/>
    <s v="Supplier"/>
    <m/>
    <x v="450"/>
    <s v="JoyFu_Responsible_Purchasing_Charter_03Dec12.tif"/>
    <s v=".tif"/>
    <d v="2014-04-1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m/>
    <m/>
    <m/>
    <s v=""/>
    <x v="0"/>
    <x v="1"/>
    <m/>
    <x v="3"/>
  </r>
  <r>
    <n v="2226"/>
    <x v="129"/>
    <x v="129"/>
    <x v="121"/>
    <x v="4"/>
    <x v="8"/>
    <n v="2168"/>
    <x v="1"/>
    <m/>
    <m/>
    <s v="Supplier"/>
    <m/>
    <x v="248"/>
    <s v="Joyfu_Supplier_Evaluation_Apr_2012.xlsx"/>
    <s v=".xlsx"/>
    <d v="2014-04-16T00:00:00"/>
    <s v="as\afok"/>
    <m/>
    <s v="2012"/>
    <m/>
    <m/>
    <m/>
    <m/>
    <m/>
    <x v="0"/>
    <x v="0"/>
    <x v="0"/>
    <x v="42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m/>
    <m/>
    <m/>
    <s v=""/>
    <x v="0"/>
    <x v="1"/>
    <m/>
    <x v="3"/>
  </r>
  <r>
    <n v="2228"/>
    <x v="129"/>
    <x v="129"/>
    <x v="121"/>
    <x v="4"/>
    <x v="8"/>
    <n v="2170"/>
    <x v="1"/>
    <m/>
    <m/>
    <s v="Supplier"/>
    <m/>
    <x v="587"/>
    <s v="JOYWIN Supplier Evaluation Form Apr 2013.xlsx"/>
    <s v=".xlsx"/>
    <d v="2014-04-16T00:00:00"/>
    <s v="as\afok"/>
    <m/>
    <s v="2013"/>
    <m/>
    <m/>
    <m/>
    <m/>
    <m/>
    <x v="0"/>
    <x v="0"/>
    <x v="0"/>
    <x v="16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m/>
    <m/>
    <m/>
    <s v=""/>
    <x v="0"/>
    <x v="1"/>
    <m/>
    <x v="3"/>
  </r>
  <r>
    <n v="2224"/>
    <x v="129"/>
    <x v="129"/>
    <x v="121"/>
    <x v="4"/>
    <x v="8"/>
    <n v="2166"/>
    <x v="2"/>
    <m/>
    <m/>
    <s v="Supplier"/>
    <m/>
    <x v="559"/>
    <s v="Joyfu_SIF2012_29Feb12.xls"/>
    <s v=".xls"/>
    <d v="2014-04-16T00:00:00"/>
    <s v="as\afok"/>
    <m/>
    <s v="2012"/>
    <m/>
    <m/>
    <m/>
    <m/>
    <m/>
    <x v="0"/>
    <x v="0"/>
    <x v="0"/>
    <x v="0"/>
    <x v="1"/>
    <x v="106"/>
    <x v="78"/>
    <x v="118"/>
    <x v="105"/>
    <x v="97"/>
    <x v="0"/>
    <x v="0"/>
    <x v="0"/>
    <x v="0"/>
    <x v="0"/>
    <m/>
    <x v="0"/>
    <x v="0"/>
    <x v="0"/>
    <x v="0"/>
    <m/>
    <m/>
    <m/>
    <n v="0"/>
    <m/>
    <m/>
    <m/>
    <m/>
    <m/>
    <m/>
    <s v=""/>
    <x v="2"/>
    <x v="1"/>
    <m/>
    <x v="3"/>
  </r>
  <r>
    <n v="2072"/>
    <x v="130"/>
    <x v="130"/>
    <x v="122"/>
    <x v="4"/>
    <x v="14"/>
    <n v="2015"/>
    <x v="4"/>
    <m/>
    <m/>
    <s v="Supplier"/>
    <m/>
    <x v="588"/>
    <s v="KL_Precision_Supply Agreement_V8_29Oct2013.pdf"/>
    <s v=".pdf"/>
    <d v="2014-04-11T00:00:00"/>
    <s v="as\afok"/>
    <m/>
    <s v="V8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n v="1"/>
    <m/>
    <m/>
    <n v="1"/>
    <m/>
    <m/>
    <m/>
    <s v="CP"/>
    <m/>
    <m/>
    <s v="CP "/>
    <x v="0"/>
    <x v="1"/>
    <m/>
    <x v="30"/>
  </r>
  <r>
    <n v="2074"/>
    <x v="130"/>
    <x v="130"/>
    <x v="122"/>
    <x v="4"/>
    <x v="14"/>
    <n v="2017"/>
    <x v="5"/>
    <m/>
    <m/>
    <s v="Supplier"/>
    <m/>
    <x v="25"/>
    <s v="KL_Precision_QUALITY_APPENDIX.tif"/>
    <s v=".tif"/>
    <d v="2014-04-11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n v="1"/>
    <m/>
    <n v="1"/>
    <m/>
    <m/>
    <m/>
    <s v="CP"/>
    <m/>
    <m/>
    <s v="CP "/>
    <x v="0"/>
    <x v="1"/>
    <m/>
    <x v="30"/>
  </r>
  <r>
    <n v="2071"/>
    <x v="130"/>
    <x v="130"/>
    <x v="122"/>
    <x v="4"/>
    <x v="14"/>
    <n v="2014"/>
    <x v="6"/>
    <m/>
    <m/>
    <s v="Supplier"/>
    <m/>
    <x v="589"/>
    <s v="KL_Precision_SupplyChainAppendix_V10_21Feb2014.pdf"/>
    <s v=".pdf"/>
    <d v="2014-04-11T00:00:00"/>
    <s v="as\afok"/>
    <m/>
    <m/>
    <m/>
    <n v="28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n v="1"/>
    <n v="1"/>
    <m/>
    <m/>
    <m/>
    <s v="CP"/>
    <m/>
    <m/>
    <s v="CP "/>
    <x v="0"/>
    <x v="1"/>
    <m/>
    <x v="30"/>
  </r>
  <r>
    <n v="2076"/>
    <x v="130"/>
    <x v="130"/>
    <x v="122"/>
    <x v="4"/>
    <x v="14"/>
    <n v="2019"/>
    <x v="9"/>
    <m/>
    <m/>
    <s v="Supplier"/>
    <m/>
    <x v="305"/>
    <s v="LOC_KL_Precision_16Jan13.pdf"/>
    <s v=".pdf"/>
    <d v="2014-04-1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1"/>
    <m/>
    <m/>
    <m/>
    <s v="CP"/>
    <m/>
    <m/>
    <s v="CP "/>
    <x v="0"/>
    <x v="1"/>
    <m/>
    <x v="30"/>
  </r>
  <r>
    <n v="2075"/>
    <x v="130"/>
    <x v="130"/>
    <x v="122"/>
    <x v="4"/>
    <x v="14"/>
    <n v="2018"/>
    <x v="8"/>
    <m/>
    <m/>
    <s v="Supplier"/>
    <m/>
    <x v="274"/>
    <s v="KL_Precision_Responsible_Purchasing_Charter_9Jan13.tif"/>
    <s v=".tif"/>
    <d v="2014-04-1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1"/>
    <m/>
    <m/>
    <m/>
    <s v="CP"/>
    <m/>
    <m/>
    <s v="CP "/>
    <x v="0"/>
    <x v="1"/>
    <m/>
    <x v="30"/>
  </r>
  <r>
    <n v="2073"/>
    <x v="130"/>
    <x v="130"/>
    <x v="122"/>
    <x v="4"/>
    <x v="14"/>
    <n v="2016"/>
    <x v="2"/>
    <m/>
    <m/>
    <s v="Supplier"/>
    <m/>
    <x v="274"/>
    <s v="JPK_SIF2013.xls"/>
    <s v=".xls"/>
    <d v="2014-04-11T00:00:00"/>
    <s v="as\afok"/>
    <m/>
    <s v="2013"/>
    <m/>
    <m/>
    <m/>
    <m/>
    <m/>
    <x v="0"/>
    <x v="0"/>
    <x v="0"/>
    <x v="0"/>
    <x v="2"/>
    <x v="107"/>
    <x v="130"/>
    <x v="119"/>
    <x v="106"/>
    <x v="98"/>
    <x v="8"/>
    <x v="24"/>
    <x v="22"/>
    <x v="6"/>
    <x v="9"/>
    <s v="CP Panel"/>
    <x v="0"/>
    <x v="0"/>
    <x v="1"/>
    <x v="6"/>
    <m/>
    <m/>
    <m/>
    <n v="1"/>
    <m/>
    <m/>
    <m/>
    <s v="CP"/>
    <m/>
    <m/>
    <s v="CP "/>
    <x v="2"/>
    <x v="1"/>
    <m/>
    <x v="30"/>
  </r>
  <r>
    <n v="2077"/>
    <x v="130"/>
    <x v="130"/>
    <x v="122"/>
    <x v="4"/>
    <x v="14"/>
    <n v="2020"/>
    <x v="2"/>
    <m/>
    <m/>
    <s v="Supplier"/>
    <m/>
    <x v="274"/>
    <s v="SIF2012 - KL Precision (Hanoi) Co  Ltd.xls"/>
    <s v=".xls"/>
    <d v="2014-04-11T00:00:00"/>
    <s v="as\afok"/>
    <m/>
    <s v="2012"/>
    <m/>
    <m/>
    <m/>
    <m/>
    <m/>
    <x v="0"/>
    <x v="0"/>
    <x v="0"/>
    <x v="0"/>
    <x v="2"/>
    <x v="52"/>
    <x v="131"/>
    <x v="120"/>
    <x v="107"/>
    <x v="99"/>
    <x v="15"/>
    <x v="24"/>
    <x v="22"/>
    <x v="6"/>
    <x v="9"/>
    <s v="CP Panel"/>
    <x v="0"/>
    <x v="0"/>
    <x v="1"/>
    <x v="6"/>
    <m/>
    <m/>
    <m/>
    <n v="1"/>
    <n v="1"/>
    <m/>
    <m/>
    <s v="CP"/>
    <m/>
    <m/>
    <s v="CP "/>
    <x v="2"/>
    <x v="1"/>
    <m/>
    <x v="30"/>
  </r>
  <r>
    <n v="25"/>
    <x v="131"/>
    <x v="131"/>
    <x v="123"/>
    <x v="2"/>
    <x v="2"/>
    <n v="21"/>
    <x v="4"/>
    <m/>
    <m/>
    <s v="Supplier"/>
    <d v="2014-12-31T00:00:00"/>
    <x v="590"/>
    <s v="Junjia_General Agreement_20111114.pdf"/>
    <s v=".pdf"/>
    <d v="2014-03-04T00:00:00"/>
    <s v="as\afok"/>
    <m/>
    <s v="FHA00016 ind.10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n v="1"/>
    <m/>
    <m/>
    <n v="1"/>
    <m/>
    <m/>
    <s v="FP"/>
    <m/>
    <s v="SP"/>
    <s v="MOULD"/>
    <s v="FP SP MOULD "/>
    <x v="0"/>
    <x v="1"/>
    <m/>
    <x v="26"/>
  </r>
  <r>
    <n v="148"/>
    <x v="131"/>
    <x v="131"/>
    <x v="123"/>
    <x v="2"/>
    <x v="2"/>
    <n v="140"/>
    <x v="5"/>
    <m/>
    <m/>
    <s v="Supplier"/>
    <m/>
    <x v="590"/>
    <s v="Junjia_General Agreement_20111205.pdf"/>
    <s v=".pdf"/>
    <d v="2014-03-10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n v="1"/>
    <m/>
    <n v="1"/>
    <m/>
    <m/>
    <s v="FP"/>
    <m/>
    <s v="SP"/>
    <s v="MOULD"/>
    <s v="FP SP MOULD "/>
    <x v="0"/>
    <x v="1"/>
    <m/>
    <x v="26"/>
  </r>
  <r>
    <n v="147"/>
    <x v="131"/>
    <x v="131"/>
    <x v="123"/>
    <x v="2"/>
    <x v="2"/>
    <n v="139"/>
    <x v="6"/>
    <m/>
    <m/>
    <s v="Supplier"/>
    <m/>
    <x v="590"/>
    <s v="Junjia_General Agreement_20111205.pdf"/>
    <s v=".pdf"/>
    <d v="2014-03-10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n v="1"/>
    <n v="1"/>
    <m/>
    <m/>
    <s v="FP"/>
    <m/>
    <s v="SP"/>
    <s v="MOULD"/>
    <s v="FP SP MOULD "/>
    <x v="0"/>
    <x v="1"/>
    <m/>
    <x v="26"/>
  </r>
  <r>
    <n v="583"/>
    <x v="131"/>
    <x v="131"/>
    <x v="123"/>
    <x v="2"/>
    <x v="2"/>
    <n v="566"/>
    <x v="10"/>
    <m/>
    <m/>
    <s v="Supplier"/>
    <m/>
    <x v="22"/>
    <s v="Junjia_General Agreement_20111114.pdf"/>
    <s v=".pdf"/>
    <d v="2014-03-1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n v="1"/>
    <m/>
    <s v="FP"/>
    <m/>
    <s v="SP"/>
    <s v="MOULD"/>
    <s v="FP SP MOULD "/>
    <x v="0"/>
    <x v="1"/>
    <m/>
    <x v="26"/>
  </r>
  <r>
    <n v="149"/>
    <x v="131"/>
    <x v="131"/>
    <x v="123"/>
    <x v="2"/>
    <x v="2"/>
    <n v="141"/>
    <x v="7"/>
    <m/>
    <m/>
    <s v="Supplier"/>
    <m/>
    <x v="590"/>
    <s v="Junjia_General Agreement_20111205.pdf"/>
    <s v=".pdf"/>
    <d v="2014-03-10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s v="MOULD"/>
    <s v="FP SP MOULD "/>
    <x v="0"/>
    <x v="1"/>
    <m/>
    <x v="26"/>
  </r>
  <r>
    <n v="150"/>
    <x v="131"/>
    <x v="131"/>
    <x v="123"/>
    <x v="2"/>
    <x v="2"/>
    <n v="142"/>
    <x v="7"/>
    <m/>
    <m/>
    <s v="Supplier"/>
    <m/>
    <x v="83"/>
    <s v="Junjia_Env_Declaration_27Mar2010.xlsx"/>
    <s v=".xlsx"/>
    <d v="2014-03-10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s v="MOULD"/>
    <s v="FP SP MOULD "/>
    <x v="0"/>
    <x v="1"/>
    <m/>
    <x v="26"/>
  </r>
  <r>
    <n v="159"/>
    <x v="131"/>
    <x v="131"/>
    <x v="123"/>
    <x v="2"/>
    <x v="2"/>
    <n v="151"/>
    <x v="0"/>
    <m/>
    <m/>
    <s v="Supplier"/>
    <m/>
    <x v="591"/>
    <s v="FoodStuffs_Junjia FRD00069 ind.04 20090921.pdf"/>
    <s v=".pdf"/>
    <d v="2014-03-10T00:00:00"/>
    <s v="as\afok"/>
    <m/>
    <s v="FRD00069 ind.04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s v="MOULD"/>
    <s v="FP SP MOULD "/>
    <x v="0"/>
    <x v="1"/>
    <m/>
    <x v="26"/>
  </r>
  <r>
    <n v="151"/>
    <x v="131"/>
    <x v="131"/>
    <x v="123"/>
    <x v="2"/>
    <x v="2"/>
    <n v="143"/>
    <x v="16"/>
    <m/>
    <m/>
    <s v="Supplier"/>
    <m/>
    <x v="206"/>
    <s v="Raclette Versatilis - design property agreement.pdf"/>
    <s v=".pdf"/>
    <d v="2014-03-10T00:00:00"/>
    <s v="as\afok"/>
    <s v="design property agreement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s v="MOULD"/>
    <s v="FP SP MOULD "/>
    <x v="0"/>
    <x v="1"/>
    <m/>
    <x v="26"/>
  </r>
  <r>
    <n v="152"/>
    <x v="131"/>
    <x v="131"/>
    <x v="123"/>
    <x v="2"/>
    <x v="2"/>
    <n v="144"/>
    <x v="8"/>
    <m/>
    <m/>
    <s v="Supplier"/>
    <m/>
    <x v="592"/>
    <s v="Junjia - Responsible Purchasing Charter (ENG).pdf"/>
    <s v=".pdf"/>
    <d v="2014-03-10T00:00:00"/>
    <s v="as\afok"/>
    <s v="English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s v="MOULD"/>
    <s v="FP SP MOULD "/>
    <x v="0"/>
    <x v="1"/>
    <m/>
    <x v="26"/>
  </r>
  <r>
    <n v="153"/>
    <x v="131"/>
    <x v="131"/>
    <x v="123"/>
    <x v="2"/>
    <x v="2"/>
    <n v="145"/>
    <x v="8"/>
    <m/>
    <m/>
    <s v="Supplier"/>
    <m/>
    <x v="592"/>
    <s v="Junjia - Responsible Purchasing Charter (CH).pdf"/>
    <s v=".pdf"/>
    <d v="2014-03-10T00:00:00"/>
    <s v="as\afok"/>
    <s v="Chinese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s v="MOULD"/>
    <s v="FP SP MOULD "/>
    <x v="0"/>
    <x v="1"/>
    <m/>
    <x v="26"/>
  </r>
  <r>
    <n v="154"/>
    <x v="131"/>
    <x v="131"/>
    <x v="123"/>
    <x v="2"/>
    <x v="2"/>
    <n v="146"/>
    <x v="1"/>
    <m/>
    <m/>
    <s v="Supplier"/>
    <m/>
    <x v="102"/>
    <s v="SEF 2013 - Junjia.xlsx"/>
    <s v=".xlsx"/>
    <d v="2014-03-10T00:00:00"/>
    <s v="as\afok"/>
    <m/>
    <s v="2013"/>
    <m/>
    <m/>
    <m/>
    <m/>
    <m/>
    <x v="0"/>
    <x v="0"/>
    <x v="0"/>
    <x v="15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s v="MOULD"/>
    <s v="FP SP MOULD "/>
    <x v="0"/>
    <x v="1"/>
    <m/>
    <x v="26"/>
  </r>
  <r>
    <n v="157"/>
    <x v="131"/>
    <x v="131"/>
    <x v="123"/>
    <x v="2"/>
    <x v="2"/>
    <n v="149"/>
    <x v="1"/>
    <m/>
    <m/>
    <s v="Supplier"/>
    <m/>
    <x v="72"/>
    <s v="Junjia SEF 2012.xlsx"/>
    <s v=".xlsx"/>
    <d v="2014-03-10T00:00:00"/>
    <s v="as\afok"/>
    <m/>
    <s v="2012"/>
    <m/>
    <m/>
    <m/>
    <m/>
    <m/>
    <x v="0"/>
    <x v="0"/>
    <x v="0"/>
    <x v="7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s v="MOULD"/>
    <s v="FP SP MOULD "/>
    <x v="0"/>
    <x v="1"/>
    <m/>
    <x v="26"/>
  </r>
  <r>
    <n v="155"/>
    <x v="131"/>
    <x v="131"/>
    <x v="123"/>
    <x v="2"/>
    <x v="2"/>
    <n v="147"/>
    <x v="2"/>
    <n v="1"/>
    <m/>
    <s v="Supplier"/>
    <m/>
    <x v="593"/>
    <s v="Junjia - SIF 2013.xlsx"/>
    <s v=".xlsx"/>
    <d v="2014-03-10T00:00:00"/>
    <s v="as\afok"/>
    <m/>
    <s v="2013"/>
    <m/>
    <m/>
    <m/>
    <m/>
    <m/>
    <x v="0"/>
    <x v="0"/>
    <x v="0"/>
    <x v="0"/>
    <x v="2"/>
    <x v="80"/>
    <x v="35"/>
    <x v="121"/>
    <x v="78"/>
    <x v="100"/>
    <x v="0"/>
    <x v="73"/>
    <x v="15"/>
    <x v="57"/>
    <x v="51"/>
    <s v="FP panel"/>
    <x v="1"/>
    <x v="3"/>
    <x v="0"/>
    <x v="0"/>
    <m/>
    <m/>
    <m/>
    <n v="1"/>
    <m/>
    <m/>
    <s v="FP"/>
    <m/>
    <s v="SP"/>
    <s v="MOULD"/>
    <s v="FP SP MOULD "/>
    <x v="3"/>
    <x v="1"/>
    <m/>
    <x v="26"/>
  </r>
  <r>
    <n v="158"/>
    <x v="131"/>
    <x v="131"/>
    <x v="123"/>
    <x v="2"/>
    <x v="2"/>
    <n v="150"/>
    <x v="2"/>
    <m/>
    <m/>
    <s v="Supplier"/>
    <m/>
    <x v="322"/>
    <s v="JUNJIA_SIF 2012_3Mar12.xlsx"/>
    <s v=".xlsx"/>
    <d v="2014-03-10T00:00:00"/>
    <s v="as\afok"/>
    <m/>
    <s v="2012"/>
    <m/>
    <m/>
    <m/>
    <m/>
    <m/>
    <x v="0"/>
    <x v="0"/>
    <x v="0"/>
    <x v="0"/>
    <x v="1"/>
    <x v="0"/>
    <x v="104"/>
    <x v="121"/>
    <x v="78"/>
    <x v="100"/>
    <x v="0"/>
    <x v="0"/>
    <x v="15"/>
    <x v="57"/>
    <x v="51"/>
    <s v="FP panel"/>
    <x v="1"/>
    <x v="3"/>
    <x v="0"/>
    <x v="0"/>
    <m/>
    <m/>
    <m/>
    <n v="1"/>
    <m/>
    <m/>
    <s v="FP"/>
    <m/>
    <s v="SP"/>
    <s v="MOULD"/>
    <s v="FP SP MOULD "/>
    <x v="3"/>
    <x v="1"/>
    <m/>
    <x v="26"/>
  </r>
  <r>
    <n v="156"/>
    <x v="131"/>
    <x v="131"/>
    <x v="123"/>
    <x v="2"/>
    <x v="2"/>
    <n v="148"/>
    <x v="3"/>
    <m/>
    <m/>
    <s v="Supplier"/>
    <m/>
    <x v="130"/>
    <s v="Junjia - SPR 2012.pptx"/>
    <s v=".pptx"/>
    <d v="2014-03-10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s v="MOULD"/>
    <s v="FP SP MOULD "/>
    <x v="0"/>
    <x v="1"/>
    <m/>
    <x v="26"/>
  </r>
  <r>
    <n v="1720"/>
    <x v="132"/>
    <x v="132"/>
    <x v="124"/>
    <x v="5"/>
    <x v="7"/>
    <n v="1677"/>
    <x v="4"/>
    <m/>
    <m/>
    <s v="Supplier"/>
    <m/>
    <x v="594"/>
    <s v="Junwill_Supply Agreement_15Nov12.pdf"/>
    <s v=".pdf"/>
    <d v="2014-04-08T00:00:00"/>
    <s v="as\afok"/>
    <m/>
    <s v="V8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m/>
    <m/>
    <m/>
    <s v="CP"/>
    <m/>
    <m/>
    <s v="CP "/>
    <x v="0"/>
    <x v="1"/>
    <m/>
    <x v="36"/>
  </r>
  <r>
    <n v="1722"/>
    <x v="132"/>
    <x v="132"/>
    <x v="124"/>
    <x v="5"/>
    <x v="7"/>
    <n v="1679"/>
    <x v="5"/>
    <m/>
    <m/>
    <s v="Supplier"/>
    <m/>
    <x v="29"/>
    <s v="Junwill_Quality Appendix_2Jul2012.pdf"/>
    <s v=".pdf"/>
    <d v="2014-04-08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n v="1"/>
    <m/>
    <n v="1"/>
    <m/>
    <m/>
    <m/>
    <s v="CP"/>
    <m/>
    <m/>
    <s v="CP "/>
    <x v="0"/>
    <x v="1"/>
    <m/>
    <x v="36"/>
  </r>
  <r>
    <n v="1723"/>
    <x v="132"/>
    <x v="132"/>
    <x v="124"/>
    <x v="5"/>
    <x v="7"/>
    <n v="1680"/>
    <x v="6"/>
    <m/>
    <m/>
    <s v="Supplier"/>
    <m/>
    <x v="595"/>
    <s v="Junwill_Supply Chain Appendix_05Sep2012.pdf"/>
    <s v=".pdf"/>
    <d v="2014-04-08T00:00:00"/>
    <s v="as\afok"/>
    <m/>
    <m/>
    <m/>
    <n v="0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n v="1"/>
    <n v="1"/>
    <m/>
    <m/>
    <m/>
    <s v="CP"/>
    <m/>
    <m/>
    <s v="CP "/>
    <x v="0"/>
    <x v="1"/>
    <m/>
    <x v="36"/>
  </r>
  <r>
    <n v="1717"/>
    <x v="132"/>
    <x v="132"/>
    <x v="124"/>
    <x v="5"/>
    <x v="7"/>
    <n v="1674"/>
    <x v="6"/>
    <m/>
    <m/>
    <s v="Supplier"/>
    <m/>
    <x v="567"/>
    <s v="Junwill_Supply Chain Appendix_05Sep2012.pdf"/>
    <s v=".pdf"/>
    <d v="2014-04-08T00:00:00"/>
    <s v="as\afok"/>
    <m/>
    <m/>
    <m/>
    <n v="6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n v="1"/>
    <n v="1"/>
    <m/>
    <m/>
    <m/>
    <s v="CP"/>
    <m/>
    <m/>
    <s v="CP "/>
    <x v="0"/>
    <x v="1"/>
    <m/>
    <x v="36"/>
  </r>
  <r>
    <n v="1721"/>
    <x v="132"/>
    <x v="132"/>
    <x v="124"/>
    <x v="5"/>
    <x v="7"/>
    <n v="1678"/>
    <x v="7"/>
    <m/>
    <m/>
    <s v="Supplier"/>
    <m/>
    <x v="594"/>
    <s v="Junwill_Supply Agreement_15Nov12.pdf"/>
    <s v=".pdf"/>
    <d v="2014-04-08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36"/>
  </r>
  <r>
    <n v="1726"/>
    <x v="132"/>
    <x v="132"/>
    <x v="124"/>
    <x v="5"/>
    <x v="7"/>
    <n v="1683"/>
    <x v="8"/>
    <m/>
    <m/>
    <s v="Supplier"/>
    <m/>
    <x v="93"/>
    <s v="Junwei_Responsible Purchaser Charter_9Aug2012.pdf"/>
    <s v=".pdf"/>
    <d v="2014-04-0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36"/>
  </r>
  <r>
    <n v="1724"/>
    <x v="132"/>
    <x v="132"/>
    <x v="124"/>
    <x v="5"/>
    <x v="7"/>
    <n v="1681"/>
    <x v="1"/>
    <m/>
    <m/>
    <s v="Supplier"/>
    <m/>
    <x v="474"/>
    <s v="Junwei_SEF_Jun2012.xlsx"/>
    <s v=".xlsx"/>
    <d v="2014-04-08T00:00:00"/>
    <s v="as\afok"/>
    <m/>
    <s v="2012"/>
    <m/>
    <m/>
    <m/>
    <m/>
    <m/>
    <x v="0"/>
    <x v="0"/>
    <x v="0"/>
    <x v="13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36"/>
  </r>
  <r>
    <n v="1715"/>
    <x v="132"/>
    <x v="132"/>
    <x v="124"/>
    <x v="5"/>
    <x v="7"/>
    <n v="1672"/>
    <x v="2"/>
    <m/>
    <m/>
    <s v="Supplier"/>
    <m/>
    <x v="596"/>
    <s v="Junwill_SIF_20140402.xls"/>
    <s v=".xls"/>
    <d v="2014-04-08T00:00:00"/>
    <s v="as\afok"/>
    <m/>
    <s v="2014"/>
    <m/>
    <m/>
    <m/>
    <m/>
    <m/>
    <x v="0"/>
    <x v="0"/>
    <x v="0"/>
    <x v="0"/>
    <x v="3"/>
    <x v="58"/>
    <x v="132"/>
    <x v="122"/>
    <x v="108"/>
    <x v="101"/>
    <x v="24"/>
    <x v="74"/>
    <x v="66"/>
    <x v="58"/>
    <x v="35"/>
    <s v="CP Panel"/>
    <x v="0"/>
    <x v="0"/>
    <x v="1"/>
    <x v="3"/>
    <m/>
    <m/>
    <m/>
    <n v="1"/>
    <m/>
    <m/>
    <m/>
    <s v="CP"/>
    <m/>
    <m/>
    <s v="CP "/>
    <x v="2"/>
    <x v="1"/>
    <m/>
    <x v="36"/>
  </r>
  <r>
    <n v="1718"/>
    <x v="132"/>
    <x v="132"/>
    <x v="124"/>
    <x v="5"/>
    <x v="7"/>
    <n v="1675"/>
    <x v="2"/>
    <m/>
    <m/>
    <s v="Supplier"/>
    <m/>
    <x v="155"/>
    <s v="Junwill_SIF_28Jun2013.xls"/>
    <s v=".xls"/>
    <d v="2014-04-08T00:00:00"/>
    <s v="as\afok"/>
    <m/>
    <s v="2013"/>
    <m/>
    <m/>
    <m/>
    <m/>
    <m/>
    <x v="0"/>
    <x v="0"/>
    <x v="0"/>
    <x v="0"/>
    <x v="2"/>
    <x v="108"/>
    <x v="133"/>
    <x v="123"/>
    <x v="109"/>
    <x v="86"/>
    <x v="41"/>
    <x v="75"/>
    <x v="67"/>
    <x v="39"/>
    <x v="22"/>
    <s v="CP Panel"/>
    <x v="0"/>
    <x v="0"/>
    <x v="1"/>
    <x v="3"/>
    <m/>
    <m/>
    <m/>
    <n v="1"/>
    <m/>
    <m/>
    <m/>
    <s v="CP"/>
    <m/>
    <m/>
    <s v="CP "/>
    <x v="2"/>
    <x v="1"/>
    <m/>
    <x v="36"/>
  </r>
  <r>
    <n v="1727"/>
    <x v="132"/>
    <x v="132"/>
    <x v="124"/>
    <x v="5"/>
    <x v="7"/>
    <n v="1684"/>
    <x v="2"/>
    <n v="1"/>
    <m/>
    <s v="Supplier"/>
    <m/>
    <x v="159"/>
    <s v="Junwei_SIF_14MAY2012.xls"/>
    <s v=".xls"/>
    <d v="2014-04-08T00:00:00"/>
    <s v="as\afok"/>
    <m/>
    <s v="2012"/>
    <m/>
    <m/>
    <m/>
    <m/>
    <m/>
    <x v="0"/>
    <x v="0"/>
    <x v="0"/>
    <x v="0"/>
    <x v="1"/>
    <x v="98"/>
    <x v="75"/>
    <x v="123"/>
    <x v="109"/>
    <x v="86"/>
    <x v="41"/>
    <x v="76"/>
    <x v="67"/>
    <x v="39"/>
    <x v="22"/>
    <s v="CP Panel"/>
    <x v="0"/>
    <x v="0"/>
    <x v="1"/>
    <x v="3"/>
    <m/>
    <m/>
    <m/>
    <n v="1"/>
    <n v="1"/>
    <m/>
    <m/>
    <s v="CP"/>
    <m/>
    <m/>
    <s v="CP "/>
    <x v="2"/>
    <x v="1"/>
    <m/>
    <x v="36"/>
  </r>
  <r>
    <n v="1716"/>
    <x v="132"/>
    <x v="132"/>
    <x v="124"/>
    <x v="5"/>
    <x v="7"/>
    <n v="1673"/>
    <x v="3"/>
    <m/>
    <m/>
    <s v="Supplier"/>
    <m/>
    <x v="597"/>
    <s v="Junwill_SPR_2013Dec.ppt"/>
    <s v=".ppt"/>
    <d v="2014-04-08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36"/>
  </r>
  <r>
    <n v="1725"/>
    <x v="132"/>
    <x v="132"/>
    <x v="124"/>
    <x v="5"/>
    <x v="7"/>
    <n v="1682"/>
    <x v="3"/>
    <m/>
    <m/>
    <s v="Supplier"/>
    <m/>
    <x v="47"/>
    <s v="SPR Junwill 201207.pptx"/>
    <s v=".pptx"/>
    <d v="2014-04-08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36"/>
  </r>
  <r>
    <n v="1719"/>
    <x v="132"/>
    <x v="132"/>
    <x v="124"/>
    <x v="5"/>
    <x v="7"/>
    <n v="1676"/>
    <x v="3"/>
    <m/>
    <m/>
    <s v="Supplier"/>
    <m/>
    <x v="138"/>
    <s v="Junwill_SPR_2013May.pptx"/>
    <s v=".pptx"/>
    <d v="2014-04-08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36"/>
  </r>
  <r>
    <n v="2337"/>
    <x v="133"/>
    <x v="133"/>
    <x v="125"/>
    <x v="1"/>
    <x v="5"/>
    <n v="2278"/>
    <x v="7"/>
    <m/>
    <m/>
    <s v="Supplier"/>
    <m/>
    <x v="399"/>
    <s v="KAI_SUN_SUH_Env_Declaration.pdf"/>
    <s v=".pdf"/>
    <d v="2014-04-16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2338"/>
    <x v="133"/>
    <x v="133"/>
    <x v="125"/>
    <x v="1"/>
    <x v="5"/>
    <n v="2279"/>
    <x v="13"/>
    <m/>
    <m/>
    <s v="Supplier"/>
    <d v="2010-12-13T00:00:00"/>
    <x v="598"/>
    <s v="KAI_SUN_SUH_ISO14001.BMP"/>
    <s v=".BMP"/>
    <d v="2014-04-1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2339"/>
    <x v="133"/>
    <x v="133"/>
    <x v="125"/>
    <x v="1"/>
    <x v="5"/>
    <n v="2280"/>
    <x v="2"/>
    <m/>
    <m/>
    <s v="Supplier"/>
    <m/>
    <x v="79"/>
    <s v="KSS_SIF 2013.xls"/>
    <s v=".xls"/>
    <d v="2014-04-16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s v="CP"/>
    <m/>
    <m/>
    <s v="CP "/>
    <x v="2"/>
    <x v="1"/>
    <m/>
    <x v="8"/>
  </r>
  <r>
    <n v="1033"/>
    <x v="134"/>
    <x v="134"/>
    <x v="126"/>
    <x v="1"/>
    <x v="11"/>
    <n v="1010"/>
    <x v="13"/>
    <m/>
    <m/>
    <s v="Supplier"/>
    <d v="2010-01-12T00:00:00"/>
    <x v="599"/>
    <s v="FOshan_Kasco_ISO14001_23Mar2010.pdf"/>
    <s v=".pdf"/>
    <d v="2014-03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s v="CP"/>
    <m/>
    <m/>
    <s v="CP "/>
    <x v="0"/>
    <x v="1"/>
    <m/>
    <x v="8"/>
  </r>
  <r>
    <n v="1032"/>
    <x v="134"/>
    <x v="134"/>
    <x v="126"/>
    <x v="1"/>
    <x v="11"/>
    <n v="1009"/>
    <x v="14"/>
    <m/>
    <m/>
    <s v="Supplier"/>
    <d v="2009-09-30T00:00:00"/>
    <x v="355"/>
    <s v="FOshan_Kasco_ISO9001_23Mar2010.pdf"/>
    <s v=".pdf"/>
    <d v="2014-03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1030"/>
    <x v="134"/>
    <x v="134"/>
    <x v="126"/>
    <x v="1"/>
    <x v="11"/>
    <n v="1007"/>
    <x v="8"/>
    <m/>
    <m/>
    <s v="Supplier"/>
    <m/>
    <x v="254"/>
    <s v="Kasco_Responsible_Purchasing_Charter_02Aug12.pdf"/>
    <s v=".pdf"/>
    <d v="2014-03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1031"/>
    <x v="134"/>
    <x v="134"/>
    <x v="126"/>
    <x v="1"/>
    <x v="11"/>
    <n v="1008"/>
    <x v="2"/>
    <n v="1"/>
    <m/>
    <s v="Supplier"/>
    <m/>
    <x v="600"/>
    <s v="Kasco_SIF_2010.xls"/>
    <s v=".xls"/>
    <d v="2014-03-24T00:00:00"/>
    <s v="as\afok"/>
    <m/>
    <s v="2010"/>
    <m/>
    <m/>
    <m/>
    <m/>
    <m/>
    <x v="0"/>
    <x v="0"/>
    <x v="0"/>
    <x v="0"/>
    <x v="4"/>
    <x v="70"/>
    <x v="134"/>
    <x v="124"/>
    <x v="0"/>
    <x v="0"/>
    <x v="0"/>
    <x v="19"/>
    <x v="0"/>
    <x v="0"/>
    <x v="0"/>
    <m/>
    <x v="0"/>
    <x v="0"/>
    <x v="0"/>
    <x v="0"/>
    <m/>
    <m/>
    <m/>
    <n v="0"/>
    <m/>
    <m/>
    <m/>
    <s v="CP"/>
    <m/>
    <m/>
    <s v="CP "/>
    <x v="2"/>
    <x v="1"/>
    <m/>
    <x v="8"/>
  </r>
  <r>
    <n v="2634"/>
    <x v="135"/>
    <x v="135"/>
    <x v="127"/>
    <x v="0"/>
    <x v="0"/>
    <n v="2477"/>
    <x v="4"/>
    <m/>
    <m/>
    <s v="Supplier"/>
    <m/>
    <x v="184"/>
    <s v="KEEN HING_General Agreement_22Jun11.pdf"/>
    <s v=".pdf"/>
    <d v="2014-04-24T00:00:00"/>
    <s v="as\afok"/>
    <m/>
    <s v="FHA 00 016 ind.10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n v="1"/>
    <m/>
    <m/>
    <n v="1"/>
    <m/>
    <m/>
    <s v="FP"/>
    <s v="CP"/>
    <m/>
    <s v="MOULD"/>
    <s v="FP CP MOULD Both"/>
    <x v="0"/>
    <x v="1"/>
    <m/>
    <x v="0"/>
  </r>
  <r>
    <n v="2639"/>
    <x v="135"/>
    <x v="135"/>
    <x v="127"/>
    <x v="0"/>
    <x v="0"/>
    <n v="2482"/>
    <x v="4"/>
    <m/>
    <m/>
    <s v="Supplier"/>
    <m/>
    <x v="601"/>
    <s v="KEEN HING FHA000016 ind. 09 20081231.pdf"/>
    <s v=".pdf"/>
    <d v="2014-04-24T00:00:00"/>
    <s v="as\afok"/>
    <m/>
    <s v="FHA 00 016 ind.09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n v="1"/>
    <m/>
    <m/>
    <n v="1"/>
    <n v="1"/>
    <m/>
    <s v="FP"/>
    <s v="CP"/>
    <m/>
    <s v="MOULD"/>
    <s v="FP CP MOULD Both"/>
    <x v="0"/>
    <x v="1"/>
    <m/>
    <x v="0"/>
  </r>
  <r>
    <n v="2637"/>
    <x v="135"/>
    <x v="135"/>
    <x v="127"/>
    <x v="0"/>
    <x v="0"/>
    <n v="2480"/>
    <x v="5"/>
    <m/>
    <m/>
    <s v="Supplier"/>
    <m/>
    <x v="476"/>
    <s v="KEEN HING_General Agreement_22Jun11.pdf"/>
    <s v=".pdf"/>
    <d v="2014-04-24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n v="1"/>
    <m/>
    <n v="1"/>
    <m/>
    <m/>
    <s v="FP"/>
    <s v="CP"/>
    <m/>
    <s v="MOULD"/>
    <s v="FP CP MOULD Both"/>
    <x v="0"/>
    <x v="1"/>
    <m/>
    <x v="0"/>
  </r>
  <r>
    <n v="2636"/>
    <x v="135"/>
    <x v="135"/>
    <x v="127"/>
    <x v="0"/>
    <x v="0"/>
    <n v="2479"/>
    <x v="6"/>
    <m/>
    <m/>
    <s v="Supplier"/>
    <m/>
    <x v="476"/>
    <s v="KEEN HING_General Agreement_22Jun11.pdf"/>
    <s v=".pdf"/>
    <d v="2014-04-24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n v="1"/>
    <n v="1"/>
    <m/>
    <m/>
    <s v="FP"/>
    <s v="CP"/>
    <m/>
    <s v="MOULD"/>
    <s v="FP CP MOULD Both"/>
    <x v="0"/>
    <x v="1"/>
    <m/>
    <x v="0"/>
  </r>
  <r>
    <n v="2638"/>
    <x v="135"/>
    <x v="135"/>
    <x v="127"/>
    <x v="0"/>
    <x v="0"/>
    <n v="2481"/>
    <x v="10"/>
    <m/>
    <m/>
    <s v="Supplier"/>
    <m/>
    <x v="476"/>
    <s v="KEEN HING_General Agreement_22Jun11.pdf"/>
    <s v=".pdf"/>
    <d v="2014-04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s v="CP"/>
    <m/>
    <s v="MOULD"/>
    <s v="FP CP MOULD Both"/>
    <x v="0"/>
    <x v="1"/>
    <m/>
    <x v="0"/>
  </r>
  <r>
    <n v="2635"/>
    <x v="135"/>
    <x v="135"/>
    <x v="127"/>
    <x v="0"/>
    <x v="0"/>
    <n v="2478"/>
    <x v="7"/>
    <m/>
    <m/>
    <s v="Supplier"/>
    <m/>
    <x v="476"/>
    <s v="KEEN HING_General Agreement_22Jun11.pdf"/>
    <s v=".pdf"/>
    <d v="2014-04-24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s v="CP"/>
    <m/>
    <s v="MOULD"/>
    <s v="FP CP MOULD Both"/>
    <x v="0"/>
    <x v="1"/>
    <m/>
    <x v="0"/>
  </r>
  <r>
    <n v="2629"/>
    <x v="135"/>
    <x v="135"/>
    <x v="127"/>
    <x v="0"/>
    <x v="0"/>
    <n v="2472"/>
    <x v="1"/>
    <m/>
    <m/>
    <s v="Supplier"/>
    <m/>
    <x v="267"/>
    <s v="SEF - Keen Hing 2013.xlsx"/>
    <s v=".xlsx"/>
    <d v="2014-04-24T00:00:00"/>
    <s v="as\afok"/>
    <m/>
    <s v="2013"/>
    <m/>
    <m/>
    <m/>
    <m/>
    <m/>
    <x v="0"/>
    <x v="0"/>
    <x v="0"/>
    <x v="6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s v="CP"/>
    <m/>
    <s v="MOULD"/>
    <s v="FP CP MOULD Both"/>
    <x v="0"/>
    <x v="1"/>
    <m/>
    <x v="0"/>
  </r>
  <r>
    <n v="2631"/>
    <x v="135"/>
    <x v="135"/>
    <x v="127"/>
    <x v="0"/>
    <x v="0"/>
    <n v="2474"/>
    <x v="1"/>
    <m/>
    <m/>
    <s v="Supplier"/>
    <m/>
    <x v="354"/>
    <s v="SEF 2012 - Keen Hing.xlsx"/>
    <s v=".xlsx"/>
    <d v="2014-04-24T00:00:00"/>
    <s v="as\afok"/>
    <m/>
    <s v="2012"/>
    <m/>
    <m/>
    <m/>
    <m/>
    <m/>
    <x v="0"/>
    <x v="0"/>
    <x v="0"/>
    <x v="15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s v="CP"/>
    <m/>
    <s v="MOULD"/>
    <s v="FP CP MOULD Both"/>
    <x v="0"/>
    <x v="1"/>
    <m/>
    <x v="0"/>
  </r>
  <r>
    <n v="2633"/>
    <x v="135"/>
    <x v="135"/>
    <x v="127"/>
    <x v="0"/>
    <x v="0"/>
    <n v="2476"/>
    <x v="2"/>
    <m/>
    <m/>
    <s v="Supplier"/>
    <m/>
    <x v="529"/>
    <s v="Keen_Hing_SIF2012_28Feb2012.xls"/>
    <s v=".xls"/>
    <d v="2014-04-24T00:00:00"/>
    <s v="as\afok"/>
    <m/>
    <s v="2012"/>
    <m/>
    <m/>
    <m/>
    <m/>
    <m/>
    <x v="0"/>
    <x v="0"/>
    <x v="0"/>
    <x v="0"/>
    <x v="1"/>
    <x v="19"/>
    <x v="135"/>
    <x v="24"/>
    <x v="110"/>
    <x v="102"/>
    <x v="5"/>
    <x v="10"/>
    <x v="9"/>
    <x v="9"/>
    <x v="38"/>
    <s v="FP panel"/>
    <x v="1"/>
    <x v="3"/>
    <x v="0"/>
    <x v="0"/>
    <m/>
    <m/>
    <m/>
    <n v="1"/>
    <m/>
    <m/>
    <s v="FP"/>
    <s v="CP"/>
    <m/>
    <s v="MOULD"/>
    <s v="FP CP MOULD Both"/>
    <x v="1"/>
    <x v="1"/>
    <m/>
    <x v="0"/>
  </r>
  <r>
    <n v="2630"/>
    <x v="135"/>
    <x v="135"/>
    <x v="127"/>
    <x v="0"/>
    <x v="0"/>
    <n v="2473"/>
    <x v="2"/>
    <m/>
    <m/>
    <s v="Supplier"/>
    <m/>
    <x v="185"/>
    <s v="Keen_Hing_SIF2013.xls"/>
    <s v=".xls"/>
    <d v="2014-04-24T00:00:00"/>
    <s v="as\afok"/>
    <m/>
    <s v="2013"/>
    <m/>
    <m/>
    <m/>
    <m/>
    <m/>
    <x v="0"/>
    <x v="0"/>
    <x v="0"/>
    <x v="0"/>
    <x v="2"/>
    <x v="70"/>
    <x v="136"/>
    <x v="110"/>
    <x v="111"/>
    <x v="103"/>
    <x v="30"/>
    <x v="19"/>
    <x v="11"/>
    <x v="49"/>
    <x v="29"/>
    <s v="FP panel"/>
    <x v="1"/>
    <x v="3"/>
    <x v="0"/>
    <x v="0"/>
    <m/>
    <m/>
    <m/>
    <n v="1"/>
    <m/>
    <m/>
    <s v="FP"/>
    <s v="CP"/>
    <m/>
    <s v="MOULD"/>
    <s v="FP CP MOULD Both"/>
    <x v="1"/>
    <x v="1"/>
    <m/>
    <x v="0"/>
  </r>
  <r>
    <n v="2632"/>
    <x v="135"/>
    <x v="135"/>
    <x v="127"/>
    <x v="0"/>
    <x v="0"/>
    <n v="2475"/>
    <x v="3"/>
    <m/>
    <m/>
    <s v="Supplier"/>
    <m/>
    <x v="93"/>
    <s v="SPR - Keen Hing P2_9Aug12.ppt"/>
    <s v=".ppt"/>
    <d v="2014-04-24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s v="CP"/>
    <m/>
    <s v="MOULD"/>
    <s v="FP CP MOULD Both"/>
    <x v="0"/>
    <x v="1"/>
    <m/>
    <x v="0"/>
  </r>
  <r>
    <n v="2628"/>
    <x v="135"/>
    <x v="135"/>
    <x v="127"/>
    <x v="0"/>
    <x v="0"/>
    <n v="2471"/>
    <x v="3"/>
    <m/>
    <m/>
    <s v="Supplier"/>
    <m/>
    <x v="131"/>
    <s v="SPR - Keen Hing 2013.pdf"/>
    <s v=".pdf"/>
    <d v="2014-04-23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s v="CP"/>
    <m/>
    <s v="MOULD"/>
    <s v="FP CP MOULD Both"/>
    <x v="0"/>
    <x v="1"/>
    <m/>
    <x v="0"/>
  </r>
  <r>
    <n v="862"/>
    <x v="136"/>
    <x v="136"/>
    <x v="128"/>
    <x v="1"/>
    <x v="1"/>
    <n v="840"/>
    <x v="4"/>
    <m/>
    <m/>
    <s v="Supplier"/>
    <m/>
    <x v="602"/>
    <s v="Kelson_General_agreement_Jul12.pdf"/>
    <s v=".pdf"/>
    <d v="2014-03-21T00:00:00"/>
    <s v="as\afok"/>
    <m/>
    <s v="V7"/>
    <s v="37D6 - Within 60 days Due net on posting date 37D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n v="1"/>
    <m/>
    <m/>
    <n v="1"/>
    <m/>
    <m/>
    <m/>
    <s v="CP"/>
    <m/>
    <m/>
    <s v="CP "/>
    <x v="0"/>
    <x v="1"/>
    <m/>
    <x v="6"/>
  </r>
  <r>
    <n v="869"/>
    <x v="136"/>
    <x v="136"/>
    <x v="128"/>
    <x v="1"/>
    <x v="1"/>
    <n v="847"/>
    <x v="4"/>
    <m/>
    <m/>
    <s v="Supplier"/>
    <m/>
    <x v="603"/>
    <s v="Kelson_Purchase_Agreement_2008.pdf"/>
    <s v=".pdf"/>
    <d v="2014-03-21T00:00:00"/>
    <s v="as\afok"/>
    <m/>
    <s v="V5"/>
    <s v="37D6 - Within 60 days Due net on posting date 37D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n v="1"/>
    <m/>
    <m/>
    <n v="1"/>
    <m/>
    <m/>
    <m/>
    <s v="CP"/>
    <m/>
    <m/>
    <s v="CP "/>
    <x v="0"/>
    <x v="1"/>
    <m/>
    <x v="6"/>
  </r>
  <r>
    <n v="865"/>
    <x v="136"/>
    <x v="136"/>
    <x v="128"/>
    <x v="1"/>
    <x v="1"/>
    <n v="843"/>
    <x v="5"/>
    <m/>
    <m/>
    <s v="Supplier"/>
    <m/>
    <x v="602"/>
    <s v="Kelson_General_agreement_Jul12.pdf"/>
    <s v=".pdf"/>
    <d v="2014-03-21T00:00:00"/>
    <s v="as\afok"/>
    <m/>
    <m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n v="1"/>
    <m/>
    <n v="1"/>
    <m/>
    <m/>
    <m/>
    <s v="CP"/>
    <m/>
    <m/>
    <s v="CP "/>
    <x v="0"/>
    <x v="1"/>
    <m/>
    <x v="6"/>
  </r>
  <r>
    <n v="870"/>
    <x v="136"/>
    <x v="136"/>
    <x v="128"/>
    <x v="1"/>
    <x v="1"/>
    <n v="848"/>
    <x v="5"/>
    <m/>
    <m/>
    <s v="Supplier"/>
    <m/>
    <x v="603"/>
    <s v="Kelson_Purchase_Agreement_2008.pdf"/>
    <s v=".pdf"/>
    <d v="2014-03-21T00:00:00"/>
    <s v="as\afok"/>
    <m/>
    <s v="FHA 00 014"/>
    <m/>
    <m/>
    <m/>
    <n v="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n v="1"/>
    <m/>
    <n v="1"/>
    <m/>
    <m/>
    <m/>
    <s v="CP"/>
    <m/>
    <m/>
    <s v="CP "/>
    <x v="0"/>
    <x v="1"/>
    <m/>
    <x v="6"/>
  </r>
  <r>
    <n v="871"/>
    <x v="136"/>
    <x v="136"/>
    <x v="128"/>
    <x v="1"/>
    <x v="1"/>
    <n v="849"/>
    <x v="6"/>
    <m/>
    <m/>
    <s v="Supplier"/>
    <m/>
    <x v="15"/>
    <s v="Kelson_Purchase_Agreement_2008.pdf"/>
    <s v=".pdf"/>
    <d v="2014-03-21T00:00:00"/>
    <s v="as\afok"/>
    <m/>
    <m/>
    <m/>
    <n v="35"/>
    <n v="0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n v="1"/>
    <n v="1"/>
    <n v="1"/>
    <m/>
    <m/>
    <s v="CP"/>
    <m/>
    <m/>
    <s v="CP "/>
    <x v="0"/>
    <x v="1"/>
    <m/>
    <x v="6"/>
  </r>
  <r>
    <n v="864"/>
    <x v="136"/>
    <x v="136"/>
    <x v="128"/>
    <x v="1"/>
    <x v="1"/>
    <n v="842"/>
    <x v="6"/>
    <m/>
    <m/>
    <s v="Supplier"/>
    <m/>
    <x v="602"/>
    <s v="Kelson_General_agreement_Jul12.pdf"/>
    <s v=".pdf"/>
    <d v="2014-03-21T00:00:00"/>
    <s v="as\afok"/>
    <m/>
    <m/>
    <m/>
    <n v="4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n v="1"/>
    <n v="1"/>
    <m/>
    <m/>
    <m/>
    <s v="CP"/>
    <m/>
    <m/>
    <s v="CP "/>
    <x v="0"/>
    <x v="1"/>
    <m/>
    <x v="6"/>
  </r>
  <r>
    <n v="866"/>
    <x v="136"/>
    <x v="136"/>
    <x v="128"/>
    <x v="1"/>
    <x v="1"/>
    <n v="844"/>
    <x v="10"/>
    <m/>
    <m/>
    <s v="Supplier"/>
    <m/>
    <x v="37"/>
    <s v="Kelson_General_agreement_Jul12.pdf"/>
    <s v=".pdf"/>
    <d v="2014-03-2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6"/>
  </r>
  <r>
    <n v="863"/>
    <x v="136"/>
    <x v="136"/>
    <x v="128"/>
    <x v="1"/>
    <x v="1"/>
    <n v="841"/>
    <x v="7"/>
    <m/>
    <m/>
    <s v="Supplier"/>
    <m/>
    <x v="602"/>
    <s v="Kelson_General_agreement_Jul12.pdf"/>
    <s v=".pdf"/>
    <d v="2014-03-21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6"/>
  </r>
  <r>
    <n v="861"/>
    <x v="136"/>
    <x v="136"/>
    <x v="128"/>
    <x v="1"/>
    <x v="1"/>
    <n v="839"/>
    <x v="7"/>
    <m/>
    <m/>
    <s v="Supplier"/>
    <m/>
    <x v="86"/>
    <s v="Kelson_Env_Declaration_23Mar2010.xls"/>
    <s v=".xls"/>
    <d v="2014-03-21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6"/>
  </r>
  <r>
    <n v="860"/>
    <x v="136"/>
    <x v="136"/>
    <x v="128"/>
    <x v="1"/>
    <x v="1"/>
    <n v="838"/>
    <x v="8"/>
    <m/>
    <m/>
    <s v="Supplier"/>
    <m/>
    <x v="261"/>
    <s v="Kelson_Responsible_Purchasing_Charter_16Aug12.pdf"/>
    <s v=".pdf"/>
    <d v="2014-03-2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6"/>
  </r>
  <r>
    <n v="868"/>
    <x v="136"/>
    <x v="136"/>
    <x v="128"/>
    <x v="1"/>
    <x v="1"/>
    <n v="846"/>
    <x v="1"/>
    <m/>
    <m/>
    <s v="Supplier"/>
    <m/>
    <x v="10"/>
    <s v="Kelson_SEF_2012.xlsx"/>
    <s v=".xlsx"/>
    <d v="2014-03-21T00:00:00"/>
    <s v="as\afok"/>
    <m/>
    <s v="2012"/>
    <m/>
    <m/>
    <m/>
    <m/>
    <m/>
    <x v="0"/>
    <x v="0"/>
    <x v="0"/>
    <x v="12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6"/>
  </r>
  <r>
    <n v="858"/>
    <x v="136"/>
    <x v="136"/>
    <x v="128"/>
    <x v="1"/>
    <x v="1"/>
    <n v="836"/>
    <x v="1"/>
    <m/>
    <m/>
    <s v="Supplier"/>
    <m/>
    <x v="9"/>
    <s v="Kelson SEF 2013 -Manufacturer-20130601-70.xlsx"/>
    <s v=".xlsx"/>
    <d v="2014-03-21T00:00:00"/>
    <s v="as\afok"/>
    <m/>
    <s v="2013"/>
    <m/>
    <m/>
    <m/>
    <m/>
    <m/>
    <x v="0"/>
    <x v="0"/>
    <x v="0"/>
    <x v="26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6"/>
  </r>
  <r>
    <n v="867"/>
    <x v="136"/>
    <x v="136"/>
    <x v="128"/>
    <x v="1"/>
    <x v="1"/>
    <n v="845"/>
    <x v="2"/>
    <n v="1"/>
    <m/>
    <s v="Supplier"/>
    <m/>
    <x v="79"/>
    <s v="Kelson_SIF 2013.xls"/>
    <s v=".xls"/>
    <d v="2014-03-21T00:00:00"/>
    <s v="as\afok"/>
    <m/>
    <s v="2013"/>
    <m/>
    <m/>
    <m/>
    <m/>
    <m/>
    <x v="0"/>
    <x v="0"/>
    <x v="0"/>
    <x v="0"/>
    <x v="2"/>
    <x v="90"/>
    <x v="95"/>
    <x v="125"/>
    <x v="112"/>
    <x v="104"/>
    <x v="41"/>
    <x v="77"/>
    <x v="68"/>
    <x v="59"/>
    <x v="54"/>
    <s v="CP Panel"/>
    <x v="0"/>
    <x v="0"/>
    <x v="1"/>
    <x v="2"/>
    <m/>
    <m/>
    <m/>
    <n v="1"/>
    <m/>
    <m/>
    <m/>
    <s v="CP"/>
    <m/>
    <m/>
    <s v="CP "/>
    <x v="2"/>
    <x v="1"/>
    <m/>
    <x v="6"/>
  </r>
  <r>
    <n v="859"/>
    <x v="136"/>
    <x v="136"/>
    <x v="128"/>
    <x v="1"/>
    <x v="1"/>
    <n v="837"/>
    <x v="3"/>
    <m/>
    <m/>
    <s v="Supplier"/>
    <m/>
    <x v="14"/>
    <s v="Kelson SPR 2011.ppt"/>
    <s v=".ppt"/>
    <d v="2014-03-21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2"/>
    <m/>
    <m/>
    <m/>
    <n v="1"/>
    <m/>
    <m/>
    <m/>
    <s v="CP"/>
    <m/>
    <m/>
    <s v="CP "/>
    <x v="0"/>
    <x v="1"/>
    <m/>
    <x v="6"/>
  </r>
  <r>
    <n v="26"/>
    <x v="137"/>
    <x v="137"/>
    <x v="129"/>
    <x v="0"/>
    <x v="18"/>
    <n v="22"/>
    <x v="4"/>
    <m/>
    <m/>
    <s v="Supplier"/>
    <d v="2015-12-31T00:00:00"/>
    <x v="428"/>
    <s v="Kenford_General Agreement_28Jun12.pdf"/>
    <s v=".pdf"/>
    <d v="2014-03-04T00:00:00"/>
    <s v="as\afok"/>
    <m/>
    <s v="FHA00016 ind.11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n v="1"/>
    <m/>
    <m/>
    <n v="1"/>
    <m/>
    <m/>
    <s v="FP"/>
    <m/>
    <s v="SP"/>
    <s v="MOULD"/>
    <s v="FP SP MOULD "/>
    <x v="0"/>
    <x v="1"/>
    <n v="1"/>
    <x v="10"/>
  </r>
  <r>
    <n v="161"/>
    <x v="137"/>
    <x v="137"/>
    <x v="129"/>
    <x v="0"/>
    <x v="18"/>
    <n v="153"/>
    <x v="5"/>
    <m/>
    <m/>
    <s v="Supplier"/>
    <m/>
    <x v="428"/>
    <s v="Kenford_General Agreement_28Jun12.pdf"/>
    <s v=".pdf"/>
    <d v="2014-03-10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n v="1"/>
    <m/>
    <n v="1"/>
    <m/>
    <m/>
    <s v="FP"/>
    <m/>
    <s v="SP"/>
    <s v="MOULD"/>
    <s v="FP SP MOULD "/>
    <x v="0"/>
    <x v="1"/>
    <n v="1"/>
    <x v="10"/>
  </r>
  <r>
    <n v="160"/>
    <x v="137"/>
    <x v="137"/>
    <x v="129"/>
    <x v="0"/>
    <x v="18"/>
    <n v="152"/>
    <x v="6"/>
    <m/>
    <m/>
    <s v="Supplier"/>
    <m/>
    <x v="428"/>
    <s v="Kenford_General Agreement_28Jun12.pdf"/>
    <s v=".pdf"/>
    <d v="2014-03-10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n v="1"/>
    <n v="1"/>
    <m/>
    <m/>
    <s v="FP"/>
    <m/>
    <s v="SP"/>
    <s v="MOULD"/>
    <s v="FP SP MOULD "/>
    <x v="0"/>
    <x v="1"/>
    <n v="1"/>
    <x v="10"/>
  </r>
  <r>
    <n v="579"/>
    <x v="137"/>
    <x v="137"/>
    <x v="129"/>
    <x v="0"/>
    <x v="18"/>
    <n v="562"/>
    <x v="10"/>
    <m/>
    <m/>
    <s v="Supplier"/>
    <m/>
    <x v="604"/>
    <s v="Kenford_General Agreement_28Jun12.pdf"/>
    <s v=".pdf"/>
    <d v="2014-03-1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n v="1"/>
    <m/>
    <s v="FP"/>
    <m/>
    <s v="SP"/>
    <s v="MOULD"/>
    <s v="FP SP MOULD "/>
    <x v="0"/>
    <x v="1"/>
    <n v="1"/>
    <x v="10"/>
  </r>
  <r>
    <n v="164"/>
    <x v="137"/>
    <x v="137"/>
    <x v="129"/>
    <x v="0"/>
    <x v="18"/>
    <n v="156"/>
    <x v="7"/>
    <m/>
    <m/>
    <s v="Supplier"/>
    <m/>
    <x v="428"/>
    <s v="Kenford_General Agreement_28Jun12.pdf"/>
    <s v=".pdf"/>
    <d v="2014-03-10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0"/>
  </r>
  <r>
    <n v="165"/>
    <x v="137"/>
    <x v="137"/>
    <x v="129"/>
    <x v="0"/>
    <x v="18"/>
    <n v="157"/>
    <x v="13"/>
    <m/>
    <m/>
    <s v="Supplier"/>
    <d v="2012-11-24T00:00:00"/>
    <x v="605"/>
    <s v="Kenford_ISO14001_03Jan2011.tif"/>
    <s v=".tif"/>
    <d v="2014-03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0"/>
  </r>
  <r>
    <n v="162"/>
    <x v="137"/>
    <x v="137"/>
    <x v="129"/>
    <x v="0"/>
    <x v="18"/>
    <n v="154"/>
    <x v="9"/>
    <m/>
    <m/>
    <s v="Supplier"/>
    <m/>
    <x v="237"/>
    <s v="KENFORD  LOC - Straightener 14Jan11.pdf"/>
    <s v=".pdf"/>
    <d v="2014-03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0"/>
  </r>
  <r>
    <n v="166"/>
    <x v="137"/>
    <x v="137"/>
    <x v="129"/>
    <x v="0"/>
    <x v="18"/>
    <n v="158"/>
    <x v="8"/>
    <m/>
    <m/>
    <s v="Supplier"/>
    <m/>
    <x v="604"/>
    <s v="Kenford_Responsible Purchasing Charter Chinese_23Aug12.pdf"/>
    <s v=".pdf"/>
    <d v="2014-03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0"/>
  </r>
  <r>
    <n v="170"/>
    <x v="137"/>
    <x v="137"/>
    <x v="129"/>
    <x v="0"/>
    <x v="18"/>
    <n v="162"/>
    <x v="1"/>
    <m/>
    <m/>
    <s v="Supplier"/>
    <m/>
    <x v="397"/>
    <s v="SEF Kenford 2013.XLSX"/>
    <s v=".xlsx"/>
    <d v="2014-03-10T00:00:00"/>
    <s v="as\afok"/>
    <m/>
    <s v="2013"/>
    <m/>
    <m/>
    <m/>
    <m/>
    <m/>
    <x v="0"/>
    <x v="0"/>
    <x v="0"/>
    <x v="9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0"/>
  </r>
  <r>
    <n v="169"/>
    <x v="137"/>
    <x v="137"/>
    <x v="129"/>
    <x v="0"/>
    <x v="18"/>
    <n v="161"/>
    <x v="1"/>
    <m/>
    <m/>
    <s v="Supplier"/>
    <m/>
    <x v="47"/>
    <s v="SEF - Kenford 2012.xlsx"/>
    <s v=".xlsx"/>
    <d v="2014-03-10T00:00:00"/>
    <s v="as\afok"/>
    <m/>
    <s v="2012"/>
    <m/>
    <m/>
    <m/>
    <m/>
    <m/>
    <x v="0"/>
    <x v="0"/>
    <x v="0"/>
    <x v="15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0"/>
  </r>
  <r>
    <n v="168"/>
    <x v="137"/>
    <x v="137"/>
    <x v="129"/>
    <x v="0"/>
    <x v="18"/>
    <n v="160"/>
    <x v="2"/>
    <m/>
    <m/>
    <s v="Supplier"/>
    <m/>
    <x v="606"/>
    <s v="KENFORD_SIF2013_130305.xlsx"/>
    <s v=".xlsx"/>
    <d v="2014-03-10T00:00:00"/>
    <s v="as\afok"/>
    <m/>
    <s v="2013"/>
    <m/>
    <m/>
    <m/>
    <m/>
    <m/>
    <x v="0"/>
    <x v="0"/>
    <x v="0"/>
    <x v="0"/>
    <x v="2"/>
    <x v="0"/>
    <x v="33"/>
    <x v="126"/>
    <x v="113"/>
    <x v="105"/>
    <x v="0"/>
    <x v="6"/>
    <x v="3"/>
    <x v="3"/>
    <x v="3"/>
    <s v="FP panel Top 15"/>
    <x v="1"/>
    <x v="2"/>
    <x v="0"/>
    <x v="0"/>
    <m/>
    <m/>
    <m/>
    <n v="1"/>
    <m/>
    <m/>
    <s v="FP"/>
    <m/>
    <s v="SP"/>
    <s v="MOULD"/>
    <s v="FP SP MOULD "/>
    <x v="3"/>
    <x v="1"/>
    <n v="1"/>
    <x v="10"/>
  </r>
  <r>
    <n v="167"/>
    <x v="137"/>
    <x v="137"/>
    <x v="129"/>
    <x v="0"/>
    <x v="18"/>
    <n v="159"/>
    <x v="2"/>
    <n v="1"/>
    <m/>
    <s v="Supplier"/>
    <m/>
    <x v="522"/>
    <s v="Kenford_SIF2012_8Mar12.xls"/>
    <s v=".xls"/>
    <d v="2014-03-10T00:00:00"/>
    <s v="as\afok"/>
    <m/>
    <s v="2012"/>
    <m/>
    <m/>
    <m/>
    <m/>
    <m/>
    <x v="0"/>
    <x v="0"/>
    <x v="0"/>
    <x v="0"/>
    <x v="1"/>
    <x v="0"/>
    <x v="137"/>
    <x v="127"/>
    <x v="114"/>
    <x v="106"/>
    <x v="0"/>
    <x v="78"/>
    <x v="4"/>
    <x v="3"/>
    <x v="3"/>
    <s v="FP panel Top 15"/>
    <x v="1"/>
    <x v="2"/>
    <x v="0"/>
    <x v="0"/>
    <m/>
    <m/>
    <m/>
    <n v="1"/>
    <m/>
    <m/>
    <s v="FP"/>
    <m/>
    <s v="SP"/>
    <s v="MOULD"/>
    <s v="FP SP MOULD "/>
    <x v="3"/>
    <x v="1"/>
    <n v="1"/>
    <x v="10"/>
  </r>
  <r>
    <n v="163"/>
    <x v="137"/>
    <x v="137"/>
    <x v="129"/>
    <x v="0"/>
    <x v="18"/>
    <n v="155"/>
    <x v="3"/>
    <m/>
    <m/>
    <s v="Supplier"/>
    <m/>
    <x v="607"/>
    <s v="Kenford - SPR 2012.pptx"/>
    <s v=".pptx"/>
    <d v="2014-03-10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0"/>
  </r>
  <r>
    <n v="938"/>
    <x v="138"/>
    <x v="138"/>
    <x v="130"/>
    <x v="4"/>
    <x v="6"/>
    <n v="916"/>
    <x v="7"/>
    <m/>
    <m/>
    <s v="Supplier"/>
    <m/>
    <x v="351"/>
    <s v="Keung_sing_Env_Declaration_15May2010.xls"/>
    <s v=".xls"/>
    <d v="2014-03-24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m/>
    <m/>
    <s v="MOULD"/>
    <s v="MOULD "/>
    <x v="0"/>
    <x v="1"/>
    <m/>
    <x v="3"/>
  </r>
  <r>
    <n v="934"/>
    <x v="138"/>
    <x v="138"/>
    <x v="130"/>
    <x v="4"/>
    <x v="6"/>
    <n v="912"/>
    <x v="8"/>
    <m/>
    <m/>
    <s v="Supplier"/>
    <m/>
    <x v="261"/>
    <s v="Keung_Sing_Responsible_Purchasing_Charter_06Aug12.pdf"/>
    <s v=".pdf"/>
    <d v="2014-03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m/>
    <m/>
    <s v="MOULD"/>
    <s v="MOULD "/>
    <x v="0"/>
    <x v="1"/>
    <m/>
    <x v="3"/>
  </r>
  <r>
    <n v="935"/>
    <x v="138"/>
    <x v="138"/>
    <x v="130"/>
    <x v="4"/>
    <x v="6"/>
    <n v="913"/>
    <x v="1"/>
    <m/>
    <m/>
    <s v="Supplier"/>
    <m/>
    <x v="87"/>
    <s v="Keung Sing_SEF_May2011_R1.xlsx"/>
    <s v=".xlsx"/>
    <d v="2014-03-24T00:00:00"/>
    <s v="as\afok"/>
    <m/>
    <s v="2011"/>
    <m/>
    <m/>
    <m/>
    <m/>
    <m/>
    <x v="0"/>
    <x v="0"/>
    <x v="0"/>
    <x v="2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m/>
    <m/>
    <s v="MOULD"/>
    <s v="MOULD "/>
    <x v="0"/>
    <x v="1"/>
    <m/>
    <x v="3"/>
  </r>
  <r>
    <n v="936"/>
    <x v="138"/>
    <x v="138"/>
    <x v="130"/>
    <x v="4"/>
    <x v="6"/>
    <n v="914"/>
    <x v="2"/>
    <m/>
    <m/>
    <s v="Supplier"/>
    <m/>
    <x v="608"/>
    <s v="Keung_Sing_SIF2012_18Jul12.xlsx"/>
    <s v=".xlsx"/>
    <d v="2014-03-24T00:00:00"/>
    <s v="as\afok"/>
    <m/>
    <s v="2012"/>
    <m/>
    <m/>
    <m/>
    <m/>
    <m/>
    <x v="0"/>
    <x v="0"/>
    <x v="0"/>
    <x v="0"/>
    <x v="1"/>
    <x v="0"/>
    <x v="0"/>
    <x v="0"/>
    <x v="0"/>
    <x v="0"/>
    <x v="4"/>
    <x v="5"/>
    <x v="4"/>
    <x v="3"/>
    <x v="3"/>
    <m/>
    <x v="0"/>
    <x v="0"/>
    <x v="0"/>
    <x v="0"/>
    <m/>
    <m/>
    <m/>
    <n v="0"/>
    <m/>
    <m/>
    <m/>
    <m/>
    <m/>
    <s v="MOULD"/>
    <s v="MOULD "/>
    <x v="2"/>
    <x v="1"/>
    <m/>
    <x v="3"/>
  </r>
  <r>
    <n v="933"/>
    <x v="138"/>
    <x v="138"/>
    <x v="130"/>
    <x v="4"/>
    <x v="6"/>
    <n v="911"/>
    <x v="2"/>
    <m/>
    <m/>
    <s v="Supplier"/>
    <m/>
    <x v="25"/>
    <s v="Keung Sing_SIF2013.xlsx"/>
    <s v=".xlsx"/>
    <d v="2014-03-24T00:00:00"/>
    <s v="as\afok"/>
    <m/>
    <s v="2013"/>
    <m/>
    <m/>
    <m/>
    <m/>
    <m/>
    <x v="0"/>
    <x v="0"/>
    <x v="0"/>
    <x v="0"/>
    <x v="2"/>
    <x v="0"/>
    <x v="0"/>
    <x v="0"/>
    <x v="0"/>
    <x v="0"/>
    <x v="4"/>
    <x v="5"/>
    <x v="4"/>
    <x v="3"/>
    <x v="3"/>
    <m/>
    <x v="0"/>
    <x v="0"/>
    <x v="0"/>
    <x v="0"/>
    <m/>
    <m/>
    <m/>
    <n v="0"/>
    <m/>
    <m/>
    <m/>
    <m/>
    <m/>
    <s v="MOULD"/>
    <s v="MOULD "/>
    <x v="2"/>
    <x v="1"/>
    <m/>
    <x v="3"/>
  </r>
  <r>
    <n v="937"/>
    <x v="138"/>
    <x v="138"/>
    <x v="130"/>
    <x v="4"/>
    <x v="6"/>
    <n v="915"/>
    <x v="3"/>
    <m/>
    <m/>
    <s v="Supplier"/>
    <m/>
    <x v="90"/>
    <s v="SPR_Keung Sing June 2011.ppt"/>
    <s v=".ppt"/>
    <d v="2014-03-24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m/>
    <m/>
    <s v="MOULD"/>
    <s v="MOULD "/>
    <x v="0"/>
    <x v="1"/>
    <m/>
    <x v="3"/>
  </r>
  <r>
    <n v="2232"/>
    <x v="139"/>
    <x v="139"/>
    <x v="131"/>
    <x v="4"/>
    <x v="8"/>
    <n v="2174"/>
    <x v="4"/>
    <m/>
    <m/>
    <s v="Supplier"/>
    <m/>
    <x v="388"/>
    <s v="KinSun_SupplyAgreementV8.pdf"/>
    <s v=".pdf"/>
    <d v="2014-04-16T00:00:00"/>
    <s v="as\afok"/>
    <m/>
    <s v="V8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0"/>
    <m/>
    <m/>
    <m/>
    <s v="CP"/>
    <m/>
    <m/>
    <s v="CP "/>
    <x v="0"/>
    <x v="1"/>
    <m/>
    <x v="8"/>
  </r>
  <r>
    <n v="2231"/>
    <x v="139"/>
    <x v="139"/>
    <x v="131"/>
    <x v="4"/>
    <x v="8"/>
    <n v="2173"/>
    <x v="6"/>
    <m/>
    <m/>
    <s v="Supplier"/>
    <m/>
    <x v="609"/>
    <s v="KinSun_SupplyChainV10_25Sep2013.pdf"/>
    <s v=".pdf"/>
    <d v="2014-04-16T00:00:00"/>
    <s v="as\afok"/>
    <m/>
    <s v="V10"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0"/>
    <m/>
    <m/>
    <m/>
    <s v="CP"/>
    <m/>
    <m/>
    <s v="CP "/>
    <x v="0"/>
    <x v="1"/>
    <m/>
    <x v="8"/>
  </r>
  <r>
    <n v="2229"/>
    <x v="139"/>
    <x v="139"/>
    <x v="131"/>
    <x v="4"/>
    <x v="8"/>
    <n v="2171"/>
    <x v="9"/>
    <m/>
    <m/>
    <s v="Product / Project"/>
    <m/>
    <x v="610"/>
    <s v="LOC_Kin_Sun(Nara_project).pdf"/>
    <s v=".pdf"/>
    <d v="2014-04-16T00:00:00"/>
    <s v="as\afok"/>
    <m/>
    <m/>
    <m/>
    <m/>
    <m/>
    <m/>
    <s v="Nara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2230"/>
    <x v="139"/>
    <x v="139"/>
    <x v="131"/>
    <x v="4"/>
    <x v="8"/>
    <n v="2172"/>
    <x v="8"/>
    <m/>
    <m/>
    <s v="Supplier"/>
    <m/>
    <x v="288"/>
    <s v="Kin_Sun_Responsible_Purchasing_Charter_28Aug12.pdf"/>
    <s v=".pdf"/>
    <d v="2014-04-1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2234"/>
    <x v="139"/>
    <x v="139"/>
    <x v="131"/>
    <x v="4"/>
    <x v="8"/>
    <n v="2176"/>
    <x v="1"/>
    <m/>
    <m/>
    <s v="Supplier"/>
    <m/>
    <x v="503"/>
    <s v="KIN_SUN_Supplier_Evaluation_May_2012.xlsx"/>
    <s v=".xlsx"/>
    <d v="2014-04-16T00:00:00"/>
    <s v="as\afok"/>
    <m/>
    <s v="2012"/>
    <m/>
    <m/>
    <m/>
    <m/>
    <m/>
    <x v="0"/>
    <x v="0"/>
    <x v="0"/>
    <x v="26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s v="CP"/>
    <m/>
    <m/>
    <s v="CP "/>
    <x v="0"/>
    <x v="1"/>
    <m/>
    <x v="8"/>
  </r>
  <r>
    <n v="2233"/>
    <x v="139"/>
    <x v="139"/>
    <x v="131"/>
    <x v="4"/>
    <x v="8"/>
    <n v="2175"/>
    <x v="2"/>
    <n v="1"/>
    <m/>
    <s v="Supplier"/>
    <m/>
    <x v="611"/>
    <s v="KIN_SUN_SIF_10Jun2010.xls"/>
    <s v=".xls"/>
    <d v="2014-04-16T00:00:00"/>
    <s v="as\afok"/>
    <m/>
    <s v="2010"/>
    <m/>
    <m/>
    <m/>
    <m/>
    <m/>
    <x v="0"/>
    <x v="0"/>
    <x v="0"/>
    <x v="0"/>
    <x v="4"/>
    <x v="68"/>
    <x v="67"/>
    <x v="128"/>
    <x v="115"/>
    <x v="107"/>
    <x v="0"/>
    <x v="0"/>
    <x v="0"/>
    <x v="0"/>
    <x v="0"/>
    <m/>
    <x v="0"/>
    <x v="0"/>
    <x v="0"/>
    <x v="0"/>
    <m/>
    <m/>
    <m/>
    <n v="0"/>
    <m/>
    <m/>
    <m/>
    <s v="CP"/>
    <m/>
    <m/>
    <s v="CP "/>
    <x v="2"/>
    <x v="1"/>
    <m/>
    <x v="8"/>
  </r>
  <r>
    <n v="2414"/>
    <x v="140"/>
    <x v="140"/>
    <x v="132"/>
    <x v="5"/>
    <x v="16"/>
    <n v="2355"/>
    <x v="4"/>
    <m/>
    <m/>
    <s v="Supplier"/>
    <m/>
    <x v="612"/>
    <s v="Kingclean FHA6E022_EN 7Apr10.pdf"/>
    <s v=".pdf"/>
    <d v="2014-04-17T00:00:00"/>
    <s v="as\afok"/>
    <m/>
    <s v="FHA6E022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m/>
    <s v="SP"/>
    <m/>
    <s v="FP SP "/>
    <x v="0"/>
    <x v="1"/>
    <m/>
    <x v="5"/>
  </r>
  <r>
    <n v="2421"/>
    <x v="140"/>
    <x v="140"/>
    <x v="132"/>
    <x v="5"/>
    <x v="16"/>
    <n v="2362"/>
    <x v="4"/>
    <m/>
    <m/>
    <s v="Supplier"/>
    <m/>
    <x v="613"/>
    <s v="KingClean FHA00016 ind.05 20060831.pdf"/>
    <s v=".pdf"/>
    <d v="2014-04-17T00:00:00"/>
    <s v="as\afok"/>
    <m/>
    <s v="FHA 00 016 ind.05"/>
    <s v="37D6 - Within 60 days Due net on posting date 37D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n v="1"/>
    <m/>
    <s v="FP"/>
    <m/>
    <s v="SP"/>
    <m/>
    <s v="FP SP "/>
    <x v="0"/>
    <x v="1"/>
    <m/>
    <x v="5"/>
  </r>
  <r>
    <n v="2415"/>
    <x v="140"/>
    <x v="140"/>
    <x v="132"/>
    <x v="5"/>
    <x v="16"/>
    <n v="2356"/>
    <x v="5"/>
    <m/>
    <m/>
    <s v="Supplier"/>
    <m/>
    <x v="61"/>
    <s v="Kingclean FHA6E022_EN 7Apr10.pdf"/>
    <s v=".pdf"/>
    <d v="2014-04-17T00:00:00"/>
    <s v="as\afok"/>
    <m/>
    <s v="FHA 00 014"/>
    <m/>
    <m/>
    <m/>
    <n v="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m/>
    <s v="SP"/>
    <m/>
    <s v="FP SP "/>
    <x v="0"/>
    <x v="1"/>
    <m/>
    <x v="5"/>
  </r>
  <r>
    <n v="2416"/>
    <x v="140"/>
    <x v="140"/>
    <x v="132"/>
    <x v="5"/>
    <x v="16"/>
    <n v="2357"/>
    <x v="6"/>
    <m/>
    <m/>
    <s v="Supplier"/>
    <m/>
    <x v="61"/>
    <s v="Kingclean FHA6E022_EN 7Apr10.pdf"/>
    <s v=".pdf"/>
    <d v="2014-04-17T00:00:00"/>
    <s v="as\afok"/>
    <m/>
    <s v="FHA6E022"/>
    <m/>
    <n v="40"/>
    <n v="0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m/>
    <s v="SP"/>
    <m/>
    <s v="FP SP "/>
    <x v="0"/>
    <x v="1"/>
    <m/>
    <x v="5"/>
  </r>
  <r>
    <n v="2417"/>
    <x v="140"/>
    <x v="140"/>
    <x v="132"/>
    <x v="5"/>
    <x v="16"/>
    <n v="2358"/>
    <x v="13"/>
    <m/>
    <m/>
    <s v="Supplier"/>
    <d v="2012-11-04T00:00:00"/>
    <x v="614"/>
    <s v="Kingclean_ISO14001_24May2010.JPG"/>
    <s v=".jpg"/>
    <d v="2014-04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5"/>
  </r>
  <r>
    <n v="2413"/>
    <x v="140"/>
    <x v="140"/>
    <x v="132"/>
    <x v="5"/>
    <x v="16"/>
    <n v="2354"/>
    <x v="15"/>
    <m/>
    <m/>
    <s v="Supplier"/>
    <m/>
    <x v="102"/>
    <s v="Kingclean_NDA_18Jul2013.pdf"/>
    <s v=".pdf"/>
    <d v="2014-04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5"/>
  </r>
  <r>
    <n v="2418"/>
    <x v="140"/>
    <x v="140"/>
    <x v="132"/>
    <x v="5"/>
    <x v="16"/>
    <n v="2359"/>
    <x v="8"/>
    <m/>
    <m/>
    <s v="Supplier"/>
    <m/>
    <x v="261"/>
    <s v="KINGCLEAN_Responsible Purchasing Charter_6Aug2012.pdf"/>
    <s v=".pdf"/>
    <d v="2014-04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5"/>
  </r>
  <r>
    <n v="2420"/>
    <x v="140"/>
    <x v="140"/>
    <x v="132"/>
    <x v="5"/>
    <x v="16"/>
    <n v="2361"/>
    <x v="1"/>
    <m/>
    <m/>
    <s v="Supplier"/>
    <m/>
    <x v="615"/>
    <s v="SEF Kingclean2011 Nov.xlsx"/>
    <s v=".xlsx"/>
    <d v="2014-04-17T00:00:00"/>
    <s v="as\afok"/>
    <m/>
    <s v="2011"/>
    <m/>
    <m/>
    <m/>
    <m/>
    <m/>
    <x v="0"/>
    <x v="0"/>
    <x v="0"/>
    <x v="25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5"/>
  </r>
  <r>
    <n v="2410"/>
    <x v="140"/>
    <x v="140"/>
    <x v="132"/>
    <x v="5"/>
    <x v="16"/>
    <n v="2351"/>
    <x v="2"/>
    <m/>
    <m/>
    <s v="Supplier"/>
    <m/>
    <x v="616"/>
    <s v="Kingclean_SIF_20140217.xlsx"/>
    <s v=".xlsx"/>
    <d v="2014-04-17T00:00:00"/>
    <s v="as\afok"/>
    <m/>
    <s v="2014"/>
    <m/>
    <m/>
    <m/>
    <m/>
    <m/>
    <x v="0"/>
    <x v="0"/>
    <x v="0"/>
    <x v="0"/>
    <x v="3"/>
    <x v="109"/>
    <x v="138"/>
    <x v="129"/>
    <x v="116"/>
    <x v="108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3"/>
    <x v="1"/>
    <m/>
    <x v="5"/>
  </r>
  <r>
    <n v="2412"/>
    <x v="140"/>
    <x v="140"/>
    <x v="132"/>
    <x v="5"/>
    <x v="16"/>
    <n v="2353"/>
    <x v="2"/>
    <n v="1"/>
    <m/>
    <s v="Supplier"/>
    <m/>
    <x v="617"/>
    <s v="Kingclean_SIF_08 Oct2013.xls"/>
    <s v=".xls"/>
    <d v="2014-04-17T00:00:00"/>
    <s v="as\afok"/>
    <m/>
    <s v="2013"/>
    <m/>
    <m/>
    <m/>
    <m/>
    <m/>
    <x v="0"/>
    <x v="0"/>
    <x v="0"/>
    <x v="0"/>
    <x v="2"/>
    <x v="110"/>
    <x v="139"/>
    <x v="130"/>
    <x v="117"/>
    <x v="109"/>
    <x v="0"/>
    <x v="0"/>
    <x v="0"/>
    <x v="60"/>
    <x v="55"/>
    <m/>
    <x v="0"/>
    <x v="0"/>
    <x v="0"/>
    <x v="0"/>
    <m/>
    <m/>
    <m/>
    <n v="1"/>
    <m/>
    <m/>
    <s v="FP"/>
    <m/>
    <s v="SP"/>
    <m/>
    <s v="FP SP "/>
    <x v="3"/>
    <x v="1"/>
    <m/>
    <x v="5"/>
  </r>
  <r>
    <n v="2419"/>
    <x v="140"/>
    <x v="140"/>
    <x v="132"/>
    <x v="5"/>
    <x v="16"/>
    <n v="2360"/>
    <x v="2"/>
    <m/>
    <m/>
    <s v="Supplier"/>
    <m/>
    <x v="205"/>
    <s v="Kingclean_SIF_10May2012.xls"/>
    <s v=".xls"/>
    <d v="2014-04-17T00:00:00"/>
    <s v="as\afok"/>
    <m/>
    <s v="2012"/>
    <m/>
    <m/>
    <m/>
    <m/>
    <m/>
    <x v="0"/>
    <x v="0"/>
    <x v="0"/>
    <x v="0"/>
    <x v="1"/>
    <x v="0"/>
    <x v="139"/>
    <x v="130"/>
    <x v="117"/>
    <x v="109"/>
    <x v="0"/>
    <x v="0"/>
    <x v="0"/>
    <x v="60"/>
    <x v="55"/>
    <m/>
    <x v="0"/>
    <x v="0"/>
    <x v="0"/>
    <x v="0"/>
    <m/>
    <m/>
    <m/>
    <n v="1"/>
    <m/>
    <m/>
    <s v="FP"/>
    <m/>
    <s v="SP"/>
    <m/>
    <s v="FP SP "/>
    <x v="3"/>
    <x v="1"/>
    <m/>
    <x v="5"/>
  </r>
  <r>
    <n v="27"/>
    <x v="141"/>
    <x v="141"/>
    <x v="133"/>
    <x v="2"/>
    <x v="15"/>
    <n v="23"/>
    <x v="4"/>
    <m/>
    <m/>
    <s v="Supplier"/>
    <d v="2014-12-31T00:00:00"/>
    <x v="261"/>
    <s v="KJI_General Agreement_20120806 (except appendix 7).pdf"/>
    <s v=".pdf"/>
    <d v="2014-03-04T00:00:00"/>
    <s v="as\afok"/>
    <m/>
    <s v="FHA00016 ind.10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0"/>
    <m/>
    <m/>
    <s v="FP"/>
    <m/>
    <s v="SP"/>
    <s v="MOULD"/>
    <s v="FP SP MOULD "/>
    <x v="0"/>
    <x v="1"/>
    <m/>
    <x v="41"/>
  </r>
  <r>
    <n v="342"/>
    <x v="141"/>
    <x v="141"/>
    <x v="133"/>
    <x v="2"/>
    <x v="15"/>
    <n v="329"/>
    <x v="6"/>
    <m/>
    <m/>
    <s v="Supplier"/>
    <m/>
    <x v="414"/>
    <s v="KJI_General Agreement_2012-08-07 (except appendix 7).pdf"/>
    <s v=".pdf"/>
    <d v="2014-03-14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0"/>
    <m/>
    <m/>
    <s v="FP"/>
    <m/>
    <s v="SP"/>
    <s v="MOULD"/>
    <s v="FP SP MOULD "/>
    <x v="0"/>
    <x v="1"/>
    <m/>
    <x v="41"/>
  </r>
  <r>
    <n v="588"/>
    <x v="141"/>
    <x v="141"/>
    <x v="133"/>
    <x v="2"/>
    <x v="15"/>
    <n v="571"/>
    <x v="10"/>
    <m/>
    <m/>
    <s v="Supplier"/>
    <m/>
    <x v="72"/>
    <s v="KJI_General Agreement_2012-08-07 (except appendix 7).pdf"/>
    <s v=".pdf"/>
    <d v="2014-03-1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s v="FP"/>
    <m/>
    <s v="SP"/>
    <s v="MOULD"/>
    <s v="FP SP MOULD "/>
    <x v="0"/>
    <x v="1"/>
    <m/>
    <x v="41"/>
  </r>
  <r>
    <n v="343"/>
    <x v="141"/>
    <x v="141"/>
    <x v="133"/>
    <x v="2"/>
    <x v="15"/>
    <n v="330"/>
    <x v="7"/>
    <m/>
    <m/>
    <s v="Supplier"/>
    <m/>
    <x v="414"/>
    <s v="KJI_General Agreement_2012-08-07 (except appendix 7).pdf"/>
    <s v=".pdf"/>
    <d v="2014-03-14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41"/>
  </r>
  <r>
    <n v="345"/>
    <x v="141"/>
    <x v="141"/>
    <x v="133"/>
    <x v="2"/>
    <x v="15"/>
    <n v="332"/>
    <x v="11"/>
    <m/>
    <m/>
    <s v="Supplier"/>
    <m/>
    <x v="618"/>
    <s v="Exclusivity Summary KJI 2013-05-10.xls"/>
    <s v=".xls"/>
    <d v="2014-03-14T00:00:00"/>
    <s v="as\afok"/>
    <s v="Exclusivity Summary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41"/>
  </r>
  <r>
    <n v="346"/>
    <x v="141"/>
    <x v="141"/>
    <x v="133"/>
    <x v="2"/>
    <x v="15"/>
    <n v="333"/>
    <x v="11"/>
    <m/>
    <m/>
    <s v="Product / Project"/>
    <m/>
    <x v="19"/>
    <s v="KJI_EA _Momenta blender - 2012-08-07.pdf"/>
    <s v=".pdf"/>
    <d v="2014-03-14T00:00:00"/>
    <s v="as\afok"/>
    <m/>
    <m/>
    <m/>
    <m/>
    <m/>
    <m/>
    <s v="Momenta blender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41"/>
  </r>
  <r>
    <n v="344"/>
    <x v="141"/>
    <x v="141"/>
    <x v="133"/>
    <x v="2"/>
    <x v="15"/>
    <n v="331"/>
    <x v="11"/>
    <m/>
    <m/>
    <s v="Product / Project"/>
    <m/>
    <x v="382"/>
    <s v="MOMENTA_KJI_EA 2012-03-19.pdf"/>
    <s v=".pdf"/>
    <d v="2014-03-14T00:00:00"/>
    <s v="as\afok"/>
    <s v="_x000d__x000a_"/>
    <m/>
    <m/>
    <m/>
    <m/>
    <m/>
    <s v="MOMENTA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41"/>
  </r>
  <r>
    <n v="349"/>
    <x v="141"/>
    <x v="141"/>
    <x v="133"/>
    <x v="2"/>
    <x v="15"/>
    <n v="336"/>
    <x v="12"/>
    <m/>
    <m/>
    <s v="Product / Project"/>
    <m/>
    <x v="382"/>
    <s v="MOMENTA_KJI_IP 2012-03-19.pdf"/>
    <s v=".pdf"/>
    <d v="2014-03-14T00:00:00"/>
    <s v="as\afok"/>
    <s v="_x000d__x000a_"/>
    <m/>
    <m/>
    <m/>
    <m/>
    <m/>
    <s v="MOMENTA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41"/>
  </r>
  <r>
    <n v="347"/>
    <x v="141"/>
    <x v="141"/>
    <x v="133"/>
    <x v="2"/>
    <x v="15"/>
    <n v="334"/>
    <x v="13"/>
    <m/>
    <m/>
    <s v="Supplier"/>
    <d v="2012-12-11T00:00:00"/>
    <x v="619"/>
    <s v="KJI_ISO14001_Expired 11Dec12.pdf"/>
    <s v=".pdf"/>
    <d v="2014-03-1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41"/>
  </r>
  <r>
    <n v="348"/>
    <x v="141"/>
    <x v="141"/>
    <x v="133"/>
    <x v="2"/>
    <x v="15"/>
    <n v="335"/>
    <x v="14"/>
    <m/>
    <m/>
    <s v="Supplier"/>
    <d v="2012-12-11T00:00:00"/>
    <x v="619"/>
    <s v="KJI_ISO9001_Expired 11Dec12.pdf"/>
    <s v=".pdf"/>
    <d v="2014-03-1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41"/>
  </r>
  <r>
    <n v="350"/>
    <x v="141"/>
    <x v="141"/>
    <x v="133"/>
    <x v="2"/>
    <x v="15"/>
    <n v="337"/>
    <x v="16"/>
    <m/>
    <m/>
    <s v="Supplier"/>
    <m/>
    <x v="216"/>
    <s v="MOMENTA_KJI_NON COUNTERFEITING 2012-03-09.pdf"/>
    <s v=".pdf"/>
    <d v="2014-03-14T00:00:00"/>
    <s v="as\afok"/>
    <s v="NON COUNTERFEITING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41"/>
  </r>
  <r>
    <n v="351"/>
    <x v="141"/>
    <x v="141"/>
    <x v="133"/>
    <x v="2"/>
    <x v="15"/>
    <n v="338"/>
    <x v="8"/>
    <m/>
    <m/>
    <s v="Supplier"/>
    <m/>
    <x v="454"/>
    <s v="KJI - Responsible Purchasing Charter (ENG).pdf"/>
    <s v=".pdf"/>
    <d v="2014-03-1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41"/>
  </r>
  <r>
    <n v="352"/>
    <x v="141"/>
    <x v="141"/>
    <x v="133"/>
    <x v="2"/>
    <x v="15"/>
    <n v="339"/>
    <x v="1"/>
    <m/>
    <m/>
    <s v="Supplier"/>
    <m/>
    <x v="620"/>
    <s v="SEF-KJI  2013 Jun.xlsx"/>
    <s v=".xlsx"/>
    <d v="2014-03-14T00:00:00"/>
    <s v="as\afok"/>
    <m/>
    <s v="2013"/>
    <m/>
    <m/>
    <m/>
    <m/>
    <m/>
    <x v="0"/>
    <x v="0"/>
    <x v="0"/>
    <x v="16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41"/>
  </r>
  <r>
    <n v="354"/>
    <x v="141"/>
    <x v="141"/>
    <x v="133"/>
    <x v="2"/>
    <x v="15"/>
    <n v="341"/>
    <x v="2"/>
    <n v="1"/>
    <m/>
    <s v="Supplier"/>
    <m/>
    <x v="327"/>
    <s v="KJI - FHA6E502_EN - SIF 2013.XLSX"/>
    <s v=".xlsx"/>
    <d v="2014-03-14T00:00:00"/>
    <s v="as\afok"/>
    <m/>
    <s v="2013"/>
    <m/>
    <m/>
    <m/>
    <m/>
    <m/>
    <x v="0"/>
    <x v="0"/>
    <x v="0"/>
    <x v="0"/>
    <x v="2"/>
    <x v="111"/>
    <x v="68"/>
    <x v="131"/>
    <x v="91"/>
    <x v="57"/>
    <x v="0"/>
    <x v="0"/>
    <x v="69"/>
    <x v="61"/>
    <x v="56"/>
    <m/>
    <x v="0"/>
    <x v="0"/>
    <x v="0"/>
    <x v="0"/>
    <m/>
    <m/>
    <m/>
    <n v="0"/>
    <m/>
    <m/>
    <s v="FP"/>
    <m/>
    <s v="SP"/>
    <s v="MOULD"/>
    <s v="FP SP MOULD "/>
    <x v="3"/>
    <x v="1"/>
    <m/>
    <x v="41"/>
  </r>
  <r>
    <n v="353"/>
    <x v="141"/>
    <x v="141"/>
    <x v="133"/>
    <x v="2"/>
    <x v="15"/>
    <n v="340"/>
    <x v="2"/>
    <m/>
    <m/>
    <s v="Supplier"/>
    <m/>
    <x v="106"/>
    <s v="KJI_SIF 2012_1Mar12.pdf"/>
    <s v=".pdf"/>
    <d v="2014-03-14T00:00:00"/>
    <s v="as\afok"/>
    <m/>
    <s v="2012"/>
    <m/>
    <m/>
    <m/>
    <m/>
    <m/>
    <x v="0"/>
    <x v="0"/>
    <x v="0"/>
    <x v="0"/>
    <x v="1"/>
    <x v="0"/>
    <x v="16"/>
    <x v="131"/>
    <x v="91"/>
    <x v="57"/>
    <x v="0"/>
    <x v="0"/>
    <x v="69"/>
    <x v="61"/>
    <x v="56"/>
    <m/>
    <x v="0"/>
    <x v="0"/>
    <x v="0"/>
    <x v="0"/>
    <m/>
    <m/>
    <m/>
    <n v="0"/>
    <m/>
    <m/>
    <s v="FP"/>
    <m/>
    <s v="SP"/>
    <s v="MOULD"/>
    <s v="FP SP MOULD "/>
    <x v="3"/>
    <x v="1"/>
    <m/>
    <x v="41"/>
  </r>
  <r>
    <n v="2641"/>
    <x v="142"/>
    <x v="142"/>
    <x v="134"/>
    <x v="0"/>
    <x v="0"/>
    <n v="2484"/>
    <x v="7"/>
    <m/>
    <m/>
    <s v="Supplier"/>
    <m/>
    <x v="14"/>
    <s v="Konstar_Environment Declaration_2011.pdf"/>
    <s v=".pdf"/>
    <d v="2014-04-24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0"/>
    <m/>
    <m/>
    <s v="FP"/>
    <m/>
    <m/>
    <m/>
    <s v="FP "/>
    <x v="0"/>
    <x v="1"/>
    <m/>
    <x v="0"/>
  </r>
  <r>
    <n v="2640"/>
    <x v="142"/>
    <x v="142"/>
    <x v="134"/>
    <x v="0"/>
    <x v="0"/>
    <n v="2483"/>
    <x v="1"/>
    <m/>
    <m/>
    <s v="Supplier"/>
    <m/>
    <x v="267"/>
    <s v="SEF - Konstar 2013.xlsx"/>
    <s v=".xlsx"/>
    <d v="2014-04-24T00:00:00"/>
    <s v="as\afok"/>
    <m/>
    <s v="2013"/>
    <m/>
    <m/>
    <m/>
    <m/>
    <m/>
    <x v="0"/>
    <x v="0"/>
    <x v="0"/>
    <x v="23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0"/>
    <m/>
    <m/>
    <s v="FP"/>
    <m/>
    <m/>
    <m/>
    <s v="FP "/>
    <x v="0"/>
    <x v="1"/>
    <m/>
    <x v="0"/>
  </r>
  <r>
    <n v="2643"/>
    <x v="142"/>
    <x v="142"/>
    <x v="134"/>
    <x v="0"/>
    <x v="0"/>
    <n v="2486"/>
    <x v="2"/>
    <m/>
    <m/>
    <s v="Supplier"/>
    <m/>
    <x v="551"/>
    <s v="Prodoo_SIF_2013.xls"/>
    <s v=".xls"/>
    <d v="2014-04-24T00:00:00"/>
    <s v="as\afok"/>
    <m/>
    <s v="2013"/>
    <m/>
    <m/>
    <m/>
    <m/>
    <m/>
    <x v="0"/>
    <x v="0"/>
    <x v="0"/>
    <x v="0"/>
    <x v="2"/>
    <x v="112"/>
    <x v="140"/>
    <x v="132"/>
    <x v="0"/>
    <x v="0"/>
    <x v="0"/>
    <x v="79"/>
    <x v="38"/>
    <x v="0"/>
    <x v="0"/>
    <s v="FP panel"/>
    <x v="1"/>
    <x v="1"/>
    <x v="0"/>
    <x v="0"/>
    <m/>
    <m/>
    <m/>
    <n v="0"/>
    <m/>
    <n v="1"/>
    <s v="FP"/>
    <m/>
    <m/>
    <m/>
    <s v="FP "/>
    <x v="1"/>
    <x v="1"/>
    <m/>
    <x v="0"/>
  </r>
  <r>
    <n v="2642"/>
    <x v="142"/>
    <x v="142"/>
    <x v="134"/>
    <x v="0"/>
    <x v="0"/>
    <n v="2485"/>
    <x v="2"/>
    <n v="1"/>
    <m/>
    <s v="Supplier"/>
    <m/>
    <x v="606"/>
    <s v="Konstar_SIF2013 (2013-03-05).xls"/>
    <s v=".xls"/>
    <d v="2014-04-24T00:00:00"/>
    <s v="as\afok"/>
    <m/>
    <s v="2013"/>
    <m/>
    <m/>
    <m/>
    <m/>
    <m/>
    <x v="0"/>
    <x v="0"/>
    <x v="0"/>
    <x v="0"/>
    <x v="2"/>
    <x v="113"/>
    <x v="15"/>
    <x v="30"/>
    <x v="5"/>
    <x v="0"/>
    <x v="0"/>
    <x v="48"/>
    <x v="0"/>
    <x v="0"/>
    <x v="0"/>
    <s v="FP panel"/>
    <x v="1"/>
    <x v="1"/>
    <x v="0"/>
    <x v="0"/>
    <m/>
    <m/>
    <m/>
    <n v="0"/>
    <m/>
    <m/>
    <s v="FP"/>
    <m/>
    <m/>
    <m/>
    <s v="FP "/>
    <x v="1"/>
    <x v="1"/>
    <m/>
    <x v="0"/>
  </r>
  <r>
    <n v="2242"/>
    <x v="143"/>
    <x v="143"/>
    <x v="135"/>
    <x v="4"/>
    <x v="8"/>
    <n v="2184"/>
    <x v="6"/>
    <m/>
    <m/>
    <s v="Supplier"/>
    <m/>
    <x v="621"/>
    <s v="Supply_Chain_Appendix_V.10_KCT_22AUG2013.pdf"/>
    <s v=".pdf"/>
    <d v="2014-04-16T00:00:00"/>
    <s v="as\afok"/>
    <m/>
    <s v="V10"/>
    <m/>
    <n v="45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0"/>
    <m/>
    <n v="1"/>
    <m/>
    <s v="CP"/>
    <m/>
    <m/>
    <s v="CP "/>
    <x v="0"/>
    <x v="1"/>
    <m/>
    <x v="0"/>
  </r>
  <r>
    <n v="2238"/>
    <x v="143"/>
    <x v="143"/>
    <x v="135"/>
    <x v="4"/>
    <x v="8"/>
    <n v="2180"/>
    <x v="7"/>
    <m/>
    <m/>
    <s v="Supplier"/>
    <m/>
    <x v="622"/>
    <s v="KCT_Env_Declaration_20100426.pdf"/>
    <s v=".pdf"/>
    <d v="2014-04-16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0"/>
  </r>
  <r>
    <n v="2239"/>
    <x v="143"/>
    <x v="143"/>
    <x v="135"/>
    <x v="4"/>
    <x v="8"/>
    <n v="2181"/>
    <x v="8"/>
    <m/>
    <m/>
    <s v="Supplier"/>
    <m/>
    <x v="8"/>
    <s v="Korea_Clad_Responsible_Purchasing_Charter_08Aug12.pdf"/>
    <s v=".pdf"/>
    <d v="2014-04-1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0"/>
  </r>
  <r>
    <n v="2240"/>
    <x v="143"/>
    <x v="143"/>
    <x v="135"/>
    <x v="4"/>
    <x v="8"/>
    <n v="2182"/>
    <x v="1"/>
    <m/>
    <m/>
    <s v="Supplier"/>
    <m/>
    <x v="587"/>
    <s v="KCT Supplier Evaluation Form Apr 2013.xlsx"/>
    <s v=".xlsx"/>
    <d v="2014-04-16T00:00:00"/>
    <s v="as\afok"/>
    <m/>
    <s v="2013"/>
    <m/>
    <m/>
    <m/>
    <m/>
    <m/>
    <x v="0"/>
    <x v="0"/>
    <x v="0"/>
    <x v="19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0"/>
  </r>
  <r>
    <n v="2237"/>
    <x v="143"/>
    <x v="143"/>
    <x v="135"/>
    <x v="4"/>
    <x v="8"/>
    <n v="2179"/>
    <x v="1"/>
    <m/>
    <m/>
    <s v="Supplier"/>
    <m/>
    <x v="623"/>
    <s v="KCT_SEF_Oct2012.xlsx"/>
    <s v=".xlsx"/>
    <d v="2014-04-16T00:00:00"/>
    <s v="as\afok"/>
    <m/>
    <s v="2012"/>
    <m/>
    <m/>
    <m/>
    <m/>
    <m/>
    <x v="0"/>
    <x v="0"/>
    <x v="0"/>
    <x v="25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0"/>
  </r>
  <r>
    <n v="2236"/>
    <x v="143"/>
    <x v="143"/>
    <x v="135"/>
    <x v="4"/>
    <x v="8"/>
    <n v="2178"/>
    <x v="1"/>
    <m/>
    <m/>
    <s v="Supplier"/>
    <m/>
    <x v="340"/>
    <s v="KCT_SEF_May2012.xlsx"/>
    <s v=".xlsx"/>
    <d v="2014-04-16T00:00:00"/>
    <s v="as\afok"/>
    <m/>
    <s v="2012"/>
    <m/>
    <m/>
    <m/>
    <m/>
    <m/>
    <x v="0"/>
    <x v="0"/>
    <x v="0"/>
    <x v="32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0"/>
  </r>
  <r>
    <n v="2235"/>
    <x v="143"/>
    <x v="143"/>
    <x v="135"/>
    <x v="4"/>
    <x v="8"/>
    <n v="2177"/>
    <x v="2"/>
    <m/>
    <m/>
    <s v="Supplier"/>
    <m/>
    <x v="337"/>
    <s v="KCT_SIF2012_19Apr12.xlsx"/>
    <s v=".xlsx"/>
    <d v="2014-04-16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2"/>
    <x v="1"/>
    <m/>
    <x v="0"/>
  </r>
  <r>
    <n v="2241"/>
    <x v="143"/>
    <x v="143"/>
    <x v="135"/>
    <x v="4"/>
    <x v="8"/>
    <n v="2183"/>
    <x v="2"/>
    <n v="1"/>
    <m/>
    <s v="Supplier"/>
    <m/>
    <x v="624"/>
    <s v="KCT-SIF2013.xlsx"/>
    <s v=".xlsx"/>
    <d v="2014-04-16T00:00:00"/>
    <s v="as\afok"/>
    <m/>
    <s v="2013"/>
    <m/>
    <m/>
    <m/>
    <m/>
    <m/>
    <x v="0"/>
    <x v="0"/>
    <x v="0"/>
    <x v="0"/>
    <x v="2"/>
    <x v="82"/>
    <x v="141"/>
    <x v="133"/>
    <x v="118"/>
    <x v="110"/>
    <x v="42"/>
    <x v="80"/>
    <x v="70"/>
    <x v="62"/>
    <x v="57"/>
    <m/>
    <x v="0"/>
    <x v="0"/>
    <x v="0"/>
    <x v="0"/>
    <m/>
    <m/>
    <m/>
    <n v="0"/>
    <m/>
    <m/>
    <m/>
    <s v="CP"/>
    <m/>
    <m/>
    <s v="CP "/>
    <x v="2"/>
    <x v="1"/>
    <m/>
    <x v="0"/>
  </r>
  <r>
    <n v="2431"/>
    <x v="144"/>
    <x v="144"/>
    <x v="136"/>
    <x v="5"/>
    <x v="16"/>
    <n v="2372"/>
    <x v="4"/>
    <m/>
    <m/>
    <s v="Supplier"/>
    <m/>
    <x v="625"/>
    <s v="Krell_General Agreement_20131025(contract body).pdf"/>
    <s v=".pdf"/>
    <d v="2014-04-17T00:00:00"/>
    <s v="as\afok"/>
    <m/>
    <s v="FHA 00 016 ind.12"/>
    <s v="37D6 - Within 60 days Due net on posting date 37D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n v="1"/>
    <m/>
    <m/>
    <n v="1"/>
    <m/>
    <m/>
    <s v="FP"/>
    <s v="CP"/>
    <s v="SP"/>
    <s v="MOULD"/>
    <s v="FP CP SP MOULD Both"/>
    <x v="0"/>
    <x v="1"/>
    <m/>
    <x v="10"/>
  </r>
  <r>
    <n v="2432"/>
    <x v="144"/>
    <x v="144"/>
    <x v="136"/>
    <x v="5"/>
    <x v="16"/>
    <n v="2373"/>
    <x v="5"/>
    <m/>
    <m/>
    <s v="Supplier"/>
    <m/>
    <x v="625"/>
    <s v="Krell_Quality Appendix_20131025.pdf"/>
    <s v=".pdf"/>
    <d v="2014-04-17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n v="1"/>
    <m/>
    <n v="1"/>
    <m/>
    <m/>
    <s v="FP"/>
    <s v="CP"/>
    <s v="SP"/>
    <s v="MOULD"/>
    <s v="FP CP SP MOULD Both"/>
    <x v="0"/>
    <x v="1"/>
    <m/>
    <x v="10"/>
  </r>
  <r>
    <n v="2425"/>
    <x v="144"/>
    <x v="144"/>
    <x v="136"/>
    <x v="5"/>
    <x v="16"/>
    <n v="2366"/>
    <x v="6"/>
    <m/>
    <m/>
    <s v="Supplier"/>
    <m/>
    <x v="159"/>
    <s v="Krell_Supply Chain Agreement_1Apr12.pdf"/>
    <s v=".pdf"/>
    <d v="2014-04-17T00:00:00"/>
    <s v="as\afok"/>
    <m/>
    <m/>
    <m/>
    <n v="42"/>
    <n v="85"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n v="1"/>
    <n v="1"/>
    <m/>
    <m/>
    <s v="FP"/>
    <s v="CP"/>
    <s v="SP"/>
    <s v="MOULD"/>
    <s v="FP CP SP MOULD Both"/>
    <x v="0"/>
    <x v="1"/>
    <m/>
    <x v="10"/>
  </r>
  <r>
    <n v="2433"/>
    <x v="144"/>
    <x v="144"/>
    <x v="136"/>
    <x v="5"/>
    <x v="16"/>
    <n v="2374"/>
    <x v="7"/>
    <m/>
    <m/>
    <s v="Supplier"/>
    <m/>
    <x v="406"/>
    <s v="Krell_Environmental Declaration_20131025.pdf"/>
    <s v=".pdf"/>
    <d v="2014-04-17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n v="1"/>
    <m/>
    <s v="FP"/>
    <s v="CP"/>
    <s v="SP"/>
    <s v="MOULD"/>
    <s v="FP CP SP MOULD Both"/>
    <x v="0"/>
    <x v="1"/>
    <m/>
    <x v="10"/>
  </r>
  <r>
    <n v="2427"/>
    <x v="144"/>
    <x v="144"/>
    <x v="136"/>
    <x v="5"/>
    <x v="16"/>
    <n v="2368"/>
    <x v="13"/>
    <m/>
    <m/>
    <s v="Supplier"/>
    <d v="2011-12-25T00:00:00"/>
    <x v="626"/>
    <s v="Krell_ISO14001_201105.jpg"/>
    <s v=".jpg"/>
    <d v="2014-04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s v="CP"/>
    <s v="SP"/>
    <s v="MOULD"/>
    <s v="FP CP SP MOULD Both"/>
    <x v="0"/>
    <x v="1"/>
    <m/>
    <x v="10"/>
  </r>
  <r>
    <n v="2426"/>
    <x v="144"/>
    <x v="144"/>
    <x v="136"/>
    <x v="5"/>
    <x v="16"/>
    <n v="2367"/>
    <x v="9"/>
    <m/>
    <m/>
    <s v="Supplier"/>
    <m/>
    <x v="124"/>
    <s v="KRELL_LOC_24May2010.pdf"/>
    <s v=".pdf"/>
    <d v="2014-04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s v="CP"/>
    <s v="SP"/>
    <s v="MOULD"/>
    <s v="FP CP SP MOULD Both"/>
    <x v="0"/>
    <x v="1"/>
    <m/>
    <x v="10"/>
  </r>
  <r>
    <n v="2424"/>
    <x v="144"/>
    <x v="144"/>
    <x v="136"/>
    <x v="5"/>
    <x v="16"/>
    <n v="2365"/>
    <x v="8"/>
    <m/>
    <m/>
    <s v="Supplier"/>
    <m/>
    <x v="126"/>
    <s v="KRELL_RESPONSIBLE PURCHASING CHARTER_16Aug2012.pdf"/>
    <s v=".pdf"/>
    <d v="2014-04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s v="CP"/>
    <s v="SP"/>
    <s v="MOULD"/>
    <s v="FP CP SP MOULD Both"/>
    <x v="0"/>
    <x v="1"/>
    <m/>
    <x v="10"/>
  </r>
  <r>
    <n v="2423"/>
    <x v="144"/>
    <x v="144"/>
    <x v="136"/>
    <x v="5"/>
    <x v="16"/>
    <n v="2364"/>
    <x v="1"/>
    <m/>
    <m/>
    <s v="Supplier"/>
    <m/>
    <x v="145"/>
    <s v="KRELL_SEF_ 2012May.xlsx"/>
    <s v=".xlsx"/>
    <d v="2014-04-17T00:00:00"/>
    <s v="as\afok"/>
    <m/>
    <s v="2012"/>
    <m/>
    <m/>
    <m/>
    <m/>
    <m/>
    <x v="0"/>
    <x v="0"/>
    <x v="0"/>
    <x v="13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s v="CP"/>
    <s v="SP"/>
    <s v="MOULD"/>
    <s v="FP CP SP MOULD Both"/>
    <x v="0"/>
    <x v="1"/>
    <m/>
    <x v="10"/>
  </r>
  <r>
    <n v="2422"/>
    <x v="144"/>
    <x v="144"/>
    <x v="136"/>
    <x v="5"/>
    <x v="16"/>
    <n v="2363"/>
    <x v="2"/>
    <m/>
    <m/>
    <s v="Supplier"/>
    <m/>
    <x v="627"/>
    <s v="Krell_SIF_14May2012.xls"/>
    <s v=".xls"/>
    <d v="2014-04-17T00:00:00"/>
    <s v="as\afok"/>
    <m/>
    <s v="2012"/>
    <m/>
    <m/>
    <m/>
    <m/>
    <m/>
    <x v="0"/>
    <x v="0"/>
    <x v="0"/>
    <x v="0"/>
    <x v="1"/>
    <x v="63"/>
    <x v="142"/>
    <x v="57"/>
    <x v="119"/>
    <x v="111"/>
    <x v="5"/>
    <x v="8"/>
    <x v="7"/>
    <x v="6"/>
    <x v="58"/>
    <s v="FP panel"/>
    <x v="1"/>
    <x v="2"/>
    <x v="0"/>
    <x v="0"/>
    <m/>
    <m/>
    <m/>
    <n v="1"/>
    <m/>
    <m/>
    <s v="FP"/>
    <s v="CP"/>
    <s v="SP"/>
    <s v="MOULD"/>
    <s v="FP CP SP MOULD Both"/>
    <x v="1"/>
    <x v="1"/>
    <m/>
    <x v="10"/>
  </r>
  <r>
    <n v="2430"/>
    <x v="144"/>
    <x v="144"/>
    <x v="136"/>
    <x v="5"/>
    <x v="16"/>
    <n v="2371"/>
    <x v="2"/>
    <n v="1"/>
    <m/>
    <s v="Supplier"/>
    <m/>
    <x v="45"/>
    <s v="Krell_SIF_Jan2014.xlsx"/>
    <s v=".xlsx"/>
    <d v="2014-04-17T00:00:00"/>
    <s v="as\afok"/>
    <m/>
    <s v="2014"/>
    <m/>
    <m/>
    <m/>
    <m/>
    <m/>
    <x v="0"/>
    <x v="0"/>
    <x v="0"/>
    <x v="0"/>
    <x v="3"/>
    <x v="114"/>
    <x v="68"/>
    <x v="134"/>
    <x v="120"/>
    <x v="77"/>
    <x v="5"/>
    <x v="81"/>
    <x v="71"/>
    <x v="26"/>
    <x v="9"/>
    <s v="FP panel"/>
    <x v="1"/>
    <x v="2"/>
    <x v="0"/>
    <x v="0"/>
    <m/>
    <m/>
    <m/>
    <n v="1"/>
    <m/>
    <m/>
    <s v="FP"/>
    <s v="CP"/>
    <s v="SP"/>
    <s v="MOULD"/>
    <s v="FP CP SP MOULD Both"/>
    <x v="1"/>
    <x v="1"/>
    <m/>
    <x v="10"/>
  </r>
  <r>
    <n v="2429"/>
    <x v="144"/>
    <x v="144"/>
    <x v="136"/>
    <x v="5"/>
    <x v="16"/>
    <n v="2370"/>
    <x v="2"/>
    <m/>
    <m/>
    <s v="Supplier"/>
    <m/>
    <x v="628"/>
    <s v="Krell_SIF_20130905.xls"/>
    <s v=".xls"/>
    <d v="2014-04-17T00:00:00"/>
    <s v="as\afok"/>
    <m/>
    <s v="2013"/>
    <m/>
    <m/>
    <m/>
    <m/>
    <m/>
    <x v="0"/>
    <x v="0"/>
    <x v="0"/>
    <x v="0"/>
    <x v="2"/>
    <x v="62"/>
    <x v="143"/>
    <x v="57"/>
    <x v="119"/>
    <x v="111"/>
    <x v="5"/>
    <x v="81"/>
    <x v="7"/>
    <x v="6"/>
    <x v="58"/>
    <s v="FP panel"/>
    <x v="1"/>
    <x v="2"/>
    <x v="0"/>
    <x v="0"/>
    <m/>
    <m/>
    <m/>
    <n v="1"/>
    <m/>
    <m/>
    <s v="FP"/>
    <s v="CP"/>
    <s v="SP"/>
    <s v="MOULD"/>
    <s v="FP CP SP MOULD Both"/>
    <x v="1"/>
    <x v="1"/>
    <m/>
    <x v="10"/>
  </r>
  <r>
    <n v="2428"/>
    <x v="144"/>
    <x v="144"/>
    <x v="136"/>
    <x v="5"/>
    <x v="16"/>
    <n v="2369"/>
    <x v="3"/>
    <m/>
    <m/>
    <s v="Supplier"/>
    <m/>
    <x v="551"/>
    <s v="SPR 2013-MAR KRELL.pptx"/>
    <s v=".pptx"/>
    <d v="2014-04-17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s v="CP"/>
    <s v="SP"/>
    <s v="MOULD"/>
    <s v="FP CP SP MOULD Both"/>
    <x v="0"/>
    <x v="1"/>
    <m/>
    <x v="10"/>
  </r>
  <r>
    <n v="1482"/>
    <x v="145"/>
    <x v="145"/>
    <x v="137"/>
    <x v="5"/>
    <x v="12"/>
    <n v="1445"/>
    <x v="4"/>
    <m/>
    <m/>
    <s v="Supplier"/>
    <m/>
    <x v="35"/>
    <s v="Xinbao_Supply Agreement_15Aug12.pdf"/>
    <s v=".pdf"/>
    <d v="2014-04-02T00:00:00"/>
    <s v="as\afok"/>
    <m/>
    <s v="V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n v="1"/>
    <m/>
    <m/>
    <n v="1"/>
    <m/>
    <m/>
    <m/>
    <s v="CP"/>
    <m/>
    <s v="MOULD"/>
    <s v="CP MOULD "/>
    <x v="0"/>
    <x v="1"/>
    <m/>
    <x v="42"/>
  </r>
  <r>
    <n v="1488"/>
    <x v="145"/>
    <x v="145"/>
    <x v="137"/>
    <x v="5"/>
    <x v="12"/>
    <n v="1451"/>
    <x v="4"/>
    <m/>
    <m/>
    <s v="Supplier"/>
    <m/>
    <x v="486"/>
    <s v="Xinbao_Purchase_Agreement_2009.pdf"/>
    <s v=".pdf"/>
    <d v="2014-04-02T00:00:00"/>
    <s v="as\afok"/>
    <m/>
    <s v="V5"/>
    <s v="37D6 - Within 60 days Due net on posting date 37D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n v="1"/>
    <m/>
    <m/>
    <n v="1"/>
    <n v="1"/>
    <m/>
    <m/>
    <s v="CP"/>
    <m/>
    <s v="MOULD"/>
    <s v="CP MOULD "/>
    <x v="0"/>
    <x v="1"/>
    <m/>
    <x v="42"/>
  </r>
  <r>
    <n v="1481"/>
    <x v="145"/>
    <x v="145"/>
    <x v="137"/>
    <x v="5"/>
    <x v="12"/>
    <n v="1444"/>
    <x v="5"/>
    <m/>
    <m/>
    <s v="Supplier"/>
    <m/>
    <x v="132"/>
    <s v="XINBAO_Quality Appendix_4Sep12.pdf"/>
    <s v=".pdf"/>
    <d v="2014-04-02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n v="1"/>
    <m/>
    <n v="1"/>
    <m/>
    <m/>
    <m/>
    <s v="CP"/>
    <m/>
    <s v="MOULD"/>
    <s v="CP MOULD "/>
    <x v="0"/>
    <x v="1"/>
    <m/>
    <x v="42"/>
  </r>
  <r>
    <n v="1478"/>
    <x v="145"/>
    <x v="145"/>
    <x v="137"/>
    <x v="5"/>
    <x v="12"/>
    <n v="1441"/>
    <x v="6"/>
    <m/>
    <m/>
    <s v="Supplier"/>
    <m/>
    <x v="629"/>
    <s v="Xinbao_Supply Chain Appendix V8_12Aug2013 (50d LT 5 percent panelty).pdf"/>
    <s v=".pdf"/>
    <d v="2014-04-02T00:00:00"/>
    <s v="as\afok"/>
    <m/>
    <m/>
    <m/>
    <n v="50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n v="1"/>
    <n v="1"/>
    <m/>
    <m/>
    <m/>
    <s v="CP"/>
    <m/>
    <s v="MOULD"/>
    <s v="CP MOULD "/>
    <x v="0"/>
    <x v="1"/>
    <m/>
    <x v="42"/>
  </r>
  <r>
    <n v="1480"/>
    <x v="145"/>
    <x v="145"/>
    <x v="137"/>
    <x v="5"/>
    <x v="12"/>
    <n v="1443"/>
    <x v="6"/>
    <m/>
    <m/>
    <s v="Supplier"/>
    <m/>
    <x v="132"/>
    <s v="XINBAO_Supply Chain Appendix_22Nov12.pdf"/>
    <s v=".pdf"/>
    <d v="2014-04-02T00:00:00"/>
    <s v="as\afok"/>
    <m/>
    <m/>
    <m/>
    <n v="0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n v="1"/>
    <n v="1"/>
    <m/>
    <m/>
    <m/>
    <s v="CP"/>
    <m/>
    <s v="MOULD"/>
    <s v="CP MOULD "/>
    <x v="0"/>
    <x v="1"/>
    <m/>
    <x v="42"/>
  </r>
  <r>
    <n v="1483"/>
    <x v="145"/>
    <x v="145"/>
    <x v="137"/>
    <x v="5"/>
    <x v="12"/>
    <n v="1446"/>
    <x v="10"/>
    <m/>
    <m/>
    <s v="Supplier"/>
    <m/>
    <x v="630"/>
    <s v="Xinbao_Supply Agreement_15Aug12.pdf"/>
    <s v=".pdf"/>
    <d v="2014-04-02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1"/>
    <m/>
    <m/>
    <m/>
    <s v="CP"/>
    <m/>
    <s v="MOULD"/>
    <s v="CP MOULD "/>
    <x v="0"/>
    <x v="1"/>
    <m/>
    <x v="42"/>
  </r>
  <r>
    <n v="1484"/>
    <x v="145"/>
    <x v="145"/>
    <x v="137"/>
    <x v="5"/>
    <x v="12"/>
    <n v="1447"/>
    <x v="7"/>
    <m/>
    <m/>
    <s v="Supplier"/>
    <m/>
    <x v="631"/>
    <s v="Xinbao_EnvN_Declaration_16Apr2010.xlsx"/>
    <s v=".xlsx"/>
    <d v="2014-04-02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1"/>
    <m/>
    <m/>
    <m/>
    <s v="CP"/>
    <m/>
    <s v="MOULD"/>
    <s v="CP MOULD "/>
    <x v="0"/>
    <x v="1"/>
    <m/>
    <x v="42"/>
  </r>
  <r>
    <n v="1486"/>
    <x v="145"/>
    <x v="145"/>
    <x v="137"/>
    <x v="5"/>
    <x v="12"/>
    <n v="1449"/>
    <x v="8"/>
    <m/>
    <m/>
    <s v="Supplier"/>
    <m/>
    <x v="35"/>
    <s v="XINBAO_Responsible Purchaser Charter_15Aug2012.pdf"/>
    <s v=".pdf"/>
    <d v="2014-04-02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1"/>
    <m/>
    <m/>
    <m/>
    <s v="CP"/>
    <m/>
    <s v="MOULD"/>
    <s v="CP MOULD "/>
    <x v="0"/>
    <x v="1"/>
    <m/>
    <x v="42"/>
  </r>
  <r>
    <n v="1485"/>
    <x v="145"/>
    <x v="145"/>
    <x v="137"/>
    <x v="5"/>
    <x v="12"/>
    <n v="1448"/>
    <x v="1"/>
    <m/>
    <m/>
    <s v="Supplier"/>
    <m/>
    <x v="501"/>
    <s v="Xinbao_SEF_Jun2012.xlsx"/>
    <s v=".xlsx"/>
    <d v="2014-04-02T00:00:00"/>
    <s v="as\afok"/>
    <m/>
    <s v="2012"/>
    <m/>
    <m/>
    <m/>
    <m/>
    <m/>
    <x v="0"/>
    <x v="0"/>
    <x v="0"/>
    <x v="3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1"/>
    <m/>
    <m/>
    <m/>
    <s v="CP"/>
    <m/>
    <s v="MOULD"/>
    <s v="CP MOULD "/>
    <x v="0"/>
    <x v="1"/>
    <m/>
    <x v="42"/>
  </r>
  <r>
    <n v="1479"/>
    <x v="145"/>
    <x v="145"/>
    <x v="137"/>
    <x v="5"/>
    <x v="12"/>
    <n v="1442"/>
    <x v="2"/>
    <m/>
    <m/>
    <s v="Supplier"/>
    <m/>
    <x v="431"/>
    <s v="XINBAO_SIF_20130516.xls"/>
    <s v=".xls"/>
    <d v="2014-04-02T00:00:00"/>
    <s v="as\afok"/>
    <m/>
    <s v="2013"/>
    <m/>
    <m/>
    <m/>
    <m/>
    <m/>
    <x v="0"/>
    <x v="0"/>
    <x v="0"/>
    <x v="0"/>
    <x v="2"/>
    <x v="115"/>
    <x v="144"/>
    <x v="60"/>
    <x v="24"/>
    <x v="112"/>
    <x v="6"/>
    <x v="33"/>
    <x v="9"/>
    <x v="9"/>
    <x v="38"/>
    <s v="CP Panel"/>
    <x v="0"/>
    <x v="0"/>
    <x v="1"/>
    <x v="6"/>
    <m/>
    <m/>
    <m/>
    <n v="1"/>
    <m/>
    <m/>
    <m/>
    <s v="CP"/>
    <m/>
    <s v="MOULD"/>
    <s v="CP MOULD "/>
    <x v="2"/>
    <x v="1"/>
    <m/>
    <x v="42"/>
  </r>
  <r>
    <n v="1487"/>
    <x v="145"/>
    <x v="145"/>
    <x v="137"/>
    <x v="5"/>
    <x v="12"/>
    <n v="1450"/>
    <x v="2"/>
    <n v="1"/>
    <m/>
    <s v="Supplier"/>
    <m/>
    <x v="206"/>
    <s v="XINBAO_SIF_07May2012.xls"/>
    <s v=".xls"/>
    <d v="2014-04-02T00:00:00"/>
    <s v="as\afok"/>
    <m/>
    <s v="2012"/>
    <m/>
    <m/>
    <m/>
    <m/>
    <m/>
    <x v="0"/>
    <x v="0"/>
    <x v="0"/>
    <x v="0"/>
    <x v="1"/>
    <x v="57"/>
    <x v="145"/>
    <x v="60"/>
    <x v="24"/>
    <x v="112"/>
    <x v="6"/>
    <x v="10"/>
    <x v="9"/>
    <x v="9"/>
    <x v="38"/>
    <s v="CP Panel"/>
    <x v="0"/>
    <x v="0"/>
    <x v="1"/>
    <x v="6"/>
    <m/>
    <m/>
    <m/>
    <n v="1"/>
    <m/>
    <m/>
    <m/>
    <s v="CP"/>
    <m/>
    <s v="MOULD"/>
    <s v="CP MOULD "/>
    <x v="2"/>
    <x v="1"/>
    <m/>
    <x v="42"/>
  </r>
  <r>
    <n v="1476"/>
    <x v="145"/>
    <x v="145"/>
    <x v="137"/>
    <x v="5"/>
    <x v="12"/>
    <n v="1439"/>
    <x v="2"/>
    <n v="1"/>
    <m/>
    <s v="Supplier"/>
    <m/>
    <x v="23"/>
    <s v="XINBAO_SIF_Jan2014.xls"/>
    <s v=".xls"/>
    <d v="2014-04-02T00:00:00"/>
    <s v="as\afok"/>
    <m/>
    <s v="2014"/>
    <m/>
    <m/>
    <m/>
    <m/>
    <m/>
    <x v="0"/>
    <x v="0"/>
    <x v="0"/>
    <x v="0"/>
    <x v="3"/>
    <x v="57"/>
    <x v="62"/>
    <x v="50"/>
    <x v="4"/>
    <x v="3"/>
    <x v="6"/>
    <x v="11"/>
    <x v="29"/>
    <x v="9"/>
    <x v="38"/>
    <s v="CP Panel"/>
    <x v="0"/>
    <x v="0"/>
    <x v="1"/>
    <x v="6"/>
    <m/>
    <m/>
    <m/>
    <n v="1"/>
    <m/>
    <m/>
    <m/>
    <s v="CP"/>
    <m/>
    <s v="MOULD"/>
    <s v="CP MOULD "/>
    <x v="2"/>
    <x v="1"/>
    <m/>
    <x v="42"/>
  </r>
  <r>
    <n v="1477"/>
    <x v="145"/>
    <x v="145"/>
    <x v="137"/>
    <x v="5"/>
    <x v="12"/>
    <n v="1440"/>
    <x v="3"/>
    <m/>
    <m/>
    <s v="Supplier"/>
    <m/>
    <x v="597"/>
    <s v="Xinbao_SPR_2013.ppt"/>
    <s v=".ppt"/>
    <d v="2014-04-02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1"/>
    <m/>
    <m/>
    <m/>
    <s v="CP"/>
    <m/>
    <s v="MOULD"/>
    <s v="CP MOULD "/>
    <x v="0"/>
    <x v="1"/>
    <m/>
    <x v="42"/>
  </r>
  <r>
    <n v="446"/>
    <x v="146"/>
    <x v="146"/>
    <x v="138"/>
    <x v="1"/>
    <x v="1"/>
    <n v="432"/>
    <x v="13"/>
    <m/>
    <m/>
    <s v="Supplier"/>
    <d v="2012-07-16T00:00:00"/>
    <x v="632"/>
    <s v="KUPO_ISO14001_29Mar2010.pdf"/>
    <s v=".pdf"/>
    <d v="2014-03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s v="FP"/>
    <s v="CP"/>
    <m/>
    <m/>
    <s v="FP CP Both"/>
    <x v="0"/>
    <x v="1"/>
    <m/>
    <x v="43"/>
  </r>
  <r>
    <n v="447"/>
    <x v="146"/>
    <x v="146"/>
    <x v="138"/>
    <x v="1"/>
    <x v="1"/>
    <n v="433"/>
    <x v="8"/>
    <m/>
    <m/>
    <s v="Supplier"/>
    <m/>
    <x v="84"/>
    <s v="KUPO_Responsible_Purchasing_Charter_20Aug12.pdf"/>
    <s v=".pdf"/>
    <d v="2014-03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s v="FP"/>
    <s v="CP"/>
    <m/>
    <m/>
    <s v="FP CP Both"/>
    <x v="0"/>
    <x v="1"/>
    <m/>
    <x v="43"/>
  </r>
  <r>
    <n v="445"/>
    <x v="146"/>
    <x v="146"/>
    <x v="138"/>
    <x v="1"/>
    <x v="1"/>
    <n v="431"/>
    <x v="1"/>
    <m/>
    <m/>
    <s v="Supplier"/>
    <m/>
    <x v="9"/>
    <s v="Kupo SEF 2013-Manufacturer-20130601-75.xlsx"/>
    <s v=".xlsx"/>
    <d v="2014-03-17T00:00:00"/>
    <s v="as\afok"/>
    <m/>
    <s v="2013"/>
    <m/>
    <m/>
    <m/>
    <m/>
    <m/>
    <x v="0"/>
    <x v="0"/>
    <x v="0"/>
    <x v="1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s v="FP"/>
    <s v="CP"/>
    <m/>
    <m/>
    <s v="FP CP Both"/>
    <x v="0"/>
    <x v="1"/>
    <m/>
    <x v="43"/>
  </r>
  <r>
    <n v="448"/>
    <x v="146"/>
    <x v="146"/>
    <x v="138"/>
    <x v="1"/>
    <x v="1"/>
    <n v="434"/>
    <x v="1"/>
    <m/>
    <m/>
    <s v="Supplier"/>
    <m/>
    <x v="10"/>
    <s v="KUPO_SEF_2012.xlsx"/>
    <s v=".xlsx"/>
    <d v="2014-03-17T00:00:00"/>
    <s v="as\afok"/>
    <m/>
    <s v="2012"/>
    <m/>
    <m/>
    <m/>
    <m/>
    <m/>
    <x v="0"/>
    <x v="0"/>
    <x v="0"/>
    <x v="32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s v="FP"/>
    <s v="CP"/>
    <m/>
    <m/>
    <s v="FP CP Both"/>
    <x v="0"/>
    <x v="1"/>
    <m/>
    <x v="43"/>
  </r>
  <r>
    <n v="449"/>
    <x v="146"/>
    <x v="146"/>
    <x v="138"/>
    <x v="1"/>
    <x v="1"/>
    <n v="435"/>
    <x v="2"/>
    <m/>
    <m/>
    <s v="Supplier"/>
    <m/>
    <x v="633"/>
    <s v="KUPO_SIF2013.xlsx"/>
    <s v=".xlsx"/>
    <d v="2014-03-17T00:00:00"/>
    <s v="as\afok"/>
    <m/>
    <s v="2013"/>
    <m/>
    <m/>
    <m/>
    <m/>
    <m/>
    <x v="0"/>
    <x v="0"/>
    <x v="0"/>
    <x v="0"/>
    <x v="2"/>
    <x v="73"/>
    <x v="146"/>
    <x v="135"/>
    <x v="121"/>
    <x v="113"/>
    <x v="12"/>
    <x v="82"/>
    <x v="54"/>
    <x v="63"/>
    <x v="59"/>
    <s v="CP Panel"/>
    <x v="0"/>
    <x v="0"/>
    <x v="1"/>
    <x v="1"/>
    <m/>
    <m/>
    <m/>
    <n v="0"/>
    <m/>
    <n v="1"/>
    <s v="FP"/>
    <s v="CP"/>
    <m/>
    <m/>
    <s v="FP CP Both"/>
    <x v="1"/>
    <x v="1"/>
    <m/>
    <x v="43"/>
  </r>
  <r>
    <n v="2734"/>
    <x v="147"/>
    <x v="147"/>
    <x v="139"/>
    <x v="3"/>
    <x v="4"/>
    <n v="2577"/>
    <x v="7"/>
    <m/>
    <m/>
    <s v="Supplier"/>
    <m/>
    <x v="86"/>
    <s v="Kwonnie_Tai_Env_declaration_23Mar2010.xls"/>
    <s v=".xls"/>
    <d v="2014-04-25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s v="FP"/>
    <m/>
    <m/>
    <m/>
    <s v="FP "/>
    <x v="0"/>
    <x v="1"/>
    <m/>
    <x v="17"/>
  </r>
  <r>
    <n v="2732"/>
    <x v="147"/>
    <x v="147"/>
    <x v="139"/>
    <x v="3"/>
    <x v="4"/>
    <n v="2575"/>
    <x v="2"/>
    <n v="1"/>
    <m/>
    <s v="Supplier"/>
    <m/>
    <x v="566"/>
    <s v="Kwong_Tai_SIF_2010.xlsx"/>
    <s v=".xlsx"/>
    <d v="2014-04-25T00:00:00"/>
    <s v="as\afok"/>
    <m/>
    <s v="2010"/>
    <m/>
    <m/>
    <m/>
    <m/>
    <m/>
    <x v="0"/>
    <x v="0"/>
    <x v="0"/>
    <x v="0"/>
    <x v="4"/>
    <x v="0"/>
    <x v="147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m/>
    <m/>
    <s v="FP "/>
    <x v="1"/>
    <x v="1"/>
    <m/>
    <x v="17"/>
  </r>
  <r>
    <n v="2733"/>
    <x v="147"/>
    <x v="147"/>
    <x v="139"/>
    <x v="3"/>
    <x v="4"/>
    <n v="2576"/>
    <x v="3"/>
    <m/>
    <m/>
    <s v="Supplier"/>
    <m/>
    <x v="341"/>
    <s v="Kwong Tai-SPR-May_2010.PPT"/>
    <s v=".ppt"/>
    <d v="2014-04-25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m/>
    <m/>
    <s v="FP "/>
    <x v="0"/>
    <x v="1"/>
    <m/>
    <x v="17"/>
  </r>
  <r>
    <n v="2564"/>
    <x v="148"/>
    <x v="148"/>
    <x v="140"/>
    <x v="2"/>
    <x v="2"/>
    <n v="24"/>
    <x v="4"/>
    <m/>
    <m/>
    <s v="Supplier"/>
    <d v="2015-12-31T00:00:00"/>
    <x v="48"/>
    <s v="KWONNIE_GENERAL AGREEMENT FHA00016 ind.09 20120420.pdf"/>
    <s v=".pdf"/>
    <d v="2014-03-04T00:00:00"/>
    <s v="as\afok"/>
    <m/>
    <s v="FHA00016 ind.09"/>
    <s v="37D9 - Within 90 days Due net on posting date 37D9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n v="1"/>
    <m/>
    <m/>
    <n v="1"/>
    <m/>
    <m/>
    <s v="FP"/>
    <s v="CP"/>
    <s v="SP"/>
    <s v="MOULD"/>
    <s v="FP CP SP MOULD Both"/>
    <x v="0"/>
    <x v="1"/>
    <n v="1"/>
    <x v="33"/>
  </r>
  <r>
    <n v="2565"/>
    <x v="149"/>
    <x v="149"/>
    <x v="140"/>
    <x v="2"/>
    <x v="2"/>
    <n v="24"/>
    <x v="4"/>
    <m/>
    <m/>
    <s v="Supplier"/>
    <d v="2015-12-31T00:00:00"/>
    <x v="48"/>
    <s v="KWONNIE_GENERAL AGREEMENT FHA00016 ind.09 20120420.pdf"/>
    <s v=".pdf"/>
    <d v="2014-03-04T00:00:00"/>
    <s v="as\afok"/>
    <m/>
    <s v="FHA00016 ind.09"/>
    <s v="37D9 - Within 90 days Due net on posting date 37D9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n v="1"/>
    <m/>
    <m/>
    <n v="1"/>
    <n v="1"/>
    <m/>
    <s v="FP"/>
    <m/>
    <m/>
    <m/>
    <s v="FP Both"/>
    <x v="0"/>
    <x v="1"/>
    <n v="1"/>
    <x v="10"/>
  </r>
  <r>
    <n v="2546"/>
    <x v="148"/>
    <x v="148"/>
    <x v="140"/>
    <x v="2"/>
    <x v="2"/>
    <n v="164"/>
    <x v="5"/>
    <m/>
    <m/>
    <s v="Supplier"/>
    <m/>
    <x v="283"/>
    <s v="KWONNIE_GENERAL AGREEMENT ind.11 2012-12-24.pdf"/>
    <s v=".pdf"/>
    <d v="2014-03-10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n v="1"/>
    <m/>
    <n v="1"/>
    <m/>
    <m/>
    <s v="FP"/>
    <s v="CP"/>
    <s v="SP"/>
    <s v="MOULD"/>
    <s v="FP CP SP MOULD Both"/>
    <x v="0"/>
    <x v="1"/>
    <n v="1"/>
    <x v="33"/>
  </r>
  <r>
    <n v="2547"/>
    <x v="149"/>
    <x v="149"/>
    <x v="140"/>
    <x v="2"/>
    <x v="2"/>
    <n v="164"/>
    <x v="5"/>
    <m/>
    <m/>
    <s v="Supplier"/>
    <m/>
    <x v="283"/>
    <s v="KWONNIE_GENERAL AGREEMENT ind.11 2012-12-24.pdf"/>
    <s v=".pdf"/>
    <d v="2014-03-10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n v="1"/>
    <m/>
    <n v="1"/>
    <m/>
    <m/>
    <s v="FP"/>
    <m/>
    <m/>
    <m/>
    <s v="FP Both"/>
    <x v="0"/>
    <x v="1"/>
    <n v="1"/>
    <x v="10"/>
  </r>
  <r>
    <n v="2540"/>
    <x v="148"/>
    <x v="148"/>
    <x v="140"/>
    <x v="2"/>
    <x v="2"/>
    <n v="163"/>
    <x v="6"/>
    <m/>
    <m/>
    <s v="Supplier"/>
    <m/>
    <x v="523"/>
    <s v="KWONNIE_GENERAL AGREEMENT ind.11 2012-12-24.pdf"/>
    <s v=".pdf"/>
    <d v="2014-03-10T00:00:00"/>
    <s v="as\afok"/>
    <m/>
    <m/>
    <m/>
    <n v="0"/>
    <n v="85"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n v="1"/>
    <n v="1"/>
    <m/>
    <m/>
    <s v="FP"/>
    <s v="CP"/>
    <s v="SP"/>
    <s v="MOULD"/>
    <s v="FP CP SP MOULD Both"/>
    <x v="0"/>
    <x v="1"/>
    <n v="1"/>
    <x v="33"/>
  </r>
  <r>
    <n v="2541"/>
    <x v="149"/>
    <x v="149"/>
    <x v="140"/>
    <x v="2"/>
    <x v="2"/>
    <n v="163"/>
    <x v="6"/>
    <m/>
    <m/>
    <s v="Supplier"/>
    <m/>
    <x v="523"/>
    <s v="KWONNIE_GENERAL AGREEMENT ind.11 2012-12-24.pdf"/>
    <s v=".pdf"/>
    <d v="2014-03-10T00:00:00"/>
    <s v="as\afok"/>
    <m/>
    <m/>
    <m/>
    <n v="0"/>
    <n v="85"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n v="1"/>
    <n v="1"/>
    <m/>
    <m/>
    <s v="FP"/>
    <m/>
    <m/>
    <m/>
    <s v="FP Both"/>
    <x v="0"/>
    <x v="1"/>
    <n v="1"/>
    <x v="10"/>
  </r>
  <r>
    <n v="2544"/>
    <x v="148"/>
    <x v="148"/>
    <x v="140"/>
    <x v="2"/>
    <x v="2"/>
    <n v="165"/>
    <x v="13"/>
    <m/>
    <m/>
    <s v="Supplier"/>
    <d v="2010-10-10T00:00:00"/>
    <x v="634"/>
    <s v="Kwonnie_ISO14001_26Mar2010.pdf"/>
    <s v=".pdf"/>
    <d v="2014-03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s v="CP"/>
    <s v="SP"/>
    <s v="MOULD"/>
    <s v="FP CP SP MOULD Both"/>
    <x v="0"/>
    <x v="1"/>
    <n v="1"/>
    <x v="33"/>
  </r>
  <r>
    <n v="2545"/>
    <x v="149"/>
    <x v="149"/>
    <x v="140"/>
    <x v="2"/>
    <x v="2"/>
    <n v="165"/>
    <x v="13"/>
    <m/>
    <m/>
    <s v="Supplier"/>
    <d v="2010-10-10T00:00:00"/>
    <x v="634"/>
    <s v="Kwonnie_ISO14001_26Mar2010.pdf"/>
    <s v=".pdf"/>
    <d v="2014-03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m/>
    <m/>
    <s v="FP Both"/>
    <x v="0"/>
    <x v="1"/>
    <n v="1"/>
    <x v="10"/>
  </r>
  <r>
    <n v="2538"/>
    <x v="148"/>
    <x v="148"/>
    <x v="140"/>
    <x v="2"/>
    <x v="2"/>
    <n v="167"/>
    <x v="9"/>
    <m/>
    <m/>
    <s v="Supplier"/>
    <m/>
    <x v="635"/>
    <s v="Kwonnie LOC 10112008.pdf"/>
    <s v=".pdf"/>
    <d v="2014-03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s v="CP"/>
    <s v="SP"/>
    <s v="MOULD"/>
    <s v="FP CP SP MOULD Both"/>
    <x v="0"/>
    <x v="1"/>
    <n v="1"/>
    <x v="33"/>
  </r>
  <r>
    <n v="2536"/>
    <x v="148"/>
    <x v="148"/>
    <x v="140"/>
    <x v="2"/>
    <x v="2"/>
    <n v="168"/>
    <x v="9"/>
    <m/>
    <m/>
    <s v="Supplier"/>
    <m/>
    <x v="636"/>
    <s v="Kwonnie_LOC_PONANT.6A12-020_29Jun2010.pdf"/>
    <s v=".pdf"/>
    <d v="2014-03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s v="CP"/>
    <s v="SP"/>
    <s v="MOULD"/>
    <s v="FP CP SP MOULD Both"/>
    <x v="0"/>
    <x v="1"/>
    <n v="1"/>
    <x v="33"/>
  </r>
  <r>
    <n v="2537"/>
    <x v="149"/>
    <x v="149"/>
    <x v="140"/>
    <x v="2"/>
    <x v="2"/>
    <n v="168"/>
    <x v="9"/>
    <m/>
    <m/>
    <s v="Supplier"/>
    <m/>
    <x v="636"/>
    <s v="Kwonnie_LOC_PONANT.6A12-020_29Jun2010.pdf"/>
    <s v=".pdf"/>
    <d v="2014-03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m/>
    <m/>
    <s v="FP Both"/>
    <x v="0"/>
    <x v="1"/>
    <n v="1"/>
    <x v="10"/>
  </r>
  <r>
    <n v="2539"/>
    <x v="149"/>
    <x v="149"/>
    <x v="140"/>
    <x v="2"/>
    <x v="2"/>
    <n v="167"/>
    <x v="9"/>
    <m/>
    <m/>
    <s v="Supplier"/>
    <m/>
    <x v="635"/>
    <s v="Kwonnie LOC 10112008.pdf"/>
    <s v=".pdf"/>
    <d v="2014-03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m/>
    <m/>
    <s v="FP Both"/>
    <x v="0"/>
    <x v="1"/>
    <n v="1"/>
    <x v="10"/>
  </r>
  <r>
    <n v="2556"/>
    <x v="148"/>
    <x v="148"/>
    <x v="140"/>
    <x v="2"/>
    <x v="2"/>
    <n v="166"/>
    <x v="15"/>
    <m/>
    <m/>
    <s v="Supplier"/>
    <m/>
    <x v="637"/>
    <s v="Kwonnie NDA 22092007.pdf"/>
    <s v=".pdf"/>
    <d v="2014-03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s v="CP"/>
    <s v="SP"/>
    <s v="MOULD"/>
    <s v="FP CP SP MOULD Both"/>
    <x v="0"/>
    <x v="1"/>
    <n v="1"/>
    <x v="33"/>
  </r>
  <r>
    <n v="2557"/>
    <x v="149"/>
    <x v="149"/>
    <x v="140"/>
    <x v="2"/>
    <x v="2"/>
    <n v="166"/>
    <x v="15"/>
    <m/>
    <m/>
    <s v="Supplier"/>
    <m/>
    <x v="637"/>
    <s v="Kwonnie NDA 22092007.pdf"/>
    <s v=".pdf"/>
    <d v="2014-03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m/>
    <m/>
    <s v="FP Both"/>
    <x v="0"/>
    <x v="1"/>
    <n v="1"/>
    <x v="10"/>
  </r>
  <r>
    <n v="2560"/>
    <x v="148"/>
    <x v="148"/>
    <x v="140"/>
    <x v="2"/>
    <x v="2"/>
    <n v="169"/>
    <x v="8"/>
    <m/>
    <m/>
    <s v="Supplier"/>
    <m/>
    <x v="8"/>
    <s v="Kwonnie - Responsible Purchasing Charter.pdf"/>
    <s v=".pdf"/>
    <d v="2014-03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s v="CP"/>
    <s v="SP"/>
    <s v="MOULD"/>
    <s v="FP CP SP MOULD Both"/>
    <x v="0"/>
    <x v="1"/>
    <n v="1"/>
    <x v="33"/>
  </r>
  <r>
    <n v="2561"/>
    <x v="149"/>
    <x v="149"/>
    <x v="140"/>
    <x v="2"/>
    <x v="2"/>
    <n v="169"/>
    <x v="8"/>
    <m/>
    <m/>
    <s v="Supplier"/>
    <m/>
    <x v="8"/>
    <s v="Kwonnie - Responsible Purchasing Charter.pdf"/>
    <s v=".pdf"/>
    <d v="2014-03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m/>
    <m/>
    <s v="FP Both"/>
    <x v="0"/>
    <x v="1"/>
    <n v="1"/>
    <x v="10"/>
  </r>
  <r>
    <n v="2550"/>
    <x v="148"/>
    <x v="148"/>
    <x v="140"/>
    <x v="2"/>
    <x v="2"/>
    <n v="170"/>
    <x v="1"/>
    <m/>
    <m/>
    <s v="Supplier"/>
    <m/>
    <x v="620"/>
    <s v="SEF-Kwonnie 2013 Jun.xlsx"/>
    <s v=".xlsx"/>
    <d v="2014-03-10T00:00:00"/>
    <s v="as\afok"/>
    <m/>
    <s v="2013"/>
    <m/>
    <m/>
    <m/>
    <m/>
    <m/>
    <x v="0"/>
    <x v="0"/>
    <x v="0"/>
    <x v="24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s v="CP"/>
    <s v="SP"/>
    <s v="MOULD"/>
    <s v="FP CP SP MOULD Both"/>
    <x v="0"/>
    <x v="1"/>
    <n v="1"/>
    <x v="33"/>
  </r>
  <r>
    <n v="2554"/>
    <x v="148"/>
    <x v="148"/>
    <x v="140"/>
    <x v="2"/>
    <x v="2"/>
    <n v="171"/>
    <x v="1"/>
    <m/>
    <m/>
    <s v="Supplier"/>
    <m/>
    <x v="583"/>
    <s v="KWONNIE_ SEF_JUN 2012.xlsx"/>
    <s v=".xlsx"/>
    <d v="2014-03-10T00:00:00"/>
    <s v="as\afok"/>
    <m/>
    <s v="2012"/>
    <m/>
    <m/>
    <m/>
    <m/>
    <m/>
    <x v="0"/>
    <x v="0"/>
    <x v="0"/>
    <x v="14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s v="CP"/>
    <s v="SP"/>
    <s v="MOULD"/>
    <s v="FP CP SP MOULD Both"/>
    <x v="0"/>
    <x v="1"/>
    <n v="1"/>
    <x v="33"/>
  </r>
  <r>
    <n v="2555"/>
    <x v="149"/>
    <x v="149"/>
    <x v="140"/>
    <x v="2"/>
    <x v="2"/>
    <n v="171"/>
    <x v="1"/>
    <m/>
    <m/>
    <s v="Supplier"/>
    <m/>
    <x v="583"/>
    <s v="KWONNIE_ SEF_JUN 2012.xlsx"/>
    <s v=".xlsx"/>
    <d v="2014-03-10T00:00:00"/>
    <s v="as\afok"/>
    <m/>
    <s v="2012"/>
    <m/>
    <m/>
    <m/>
    <m/>
    <m/>
    <x v="0"/>
    <x v="0"/>
    <x v="0"/>
    <x v="14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m/>
    <m/>
    <s v="FP Both"/>
    <x v="0"/>
    <x v="1"/>
    <n v="1"/>
    <x v="10"/>
  </r>
  <r>
    <n v="2551"/>
    <x v="149"/>
    <x v="149"/>
    <x v="140"/>
    <x v="2"/>
    <x v="2"/>
    <n v="170"/>
    <x v="1"/>
    <m/>
    <m/>
    <s v="Supplier"/>
    <m/>
    <x v="620"/>
    <s v="SEF-Kwonnie 2013 Jun.xlsx"/>
    <s v=".xlsx"/>
    <d v="2014-03-10T00:00:00"/>
    <s v="as\afok"/>
    <m/>
    <s v="2013"/>
    <m/>
    <m/>
    <m/>
    <m/>
    <m/>
    <x v="0"/>
    <x v="0"/>
    <x v="0"/>
    <x v="24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m/>
    <m/>
    <s v="FP Both"/>
    <x v="0"/>
    <x v="1"/>
    <n v="1"/>
    <x v="10"/>
  </r>
  <r>
    <n v="2562"/>
    <x v="148"/>
    <x v="148"/>
    <x v="140"/>
    <x v="2"/>
    <x v="2"/>
    <n v="173"/>
    <x v="2"/>
    <m/>
    <m/>
    <s v="Supplier"/>
    <m/>
    <x v="299"/>
    <s v="KWONNIE_SIF 2012_3Sep12.xls"/>
    <s v=".xls"/>
    <d v="2014-03-10T00:00:00"/>
    <s v="as\afok"/>
    <m/>
    <s v="2012"/>
    <m/>
    <m/>
    <m/>
    <m/>
    <m/>
    <x v="0"/>
    <x v="0"/>
    <x v="0"/>
    <x v="0"/>
    <x v="1"/>
    <x v="78"/>
    <x v="37"/>
    <x v="111"/>
    <x v="122"/>
    <x v="0"/>
    <x v="5"/>
    <x v="34"/>
    <x v="62"/>
    <x v="9"/>
    <x v="0"/>
    <s v="FP panel Top 15"/>
    <x v="1"/>
    <x v="2"/>
    <x v="0"/>
    <x v="0"/>
    <m/>
    <m/>
    <m/>
    <n v="1"/>
    <m/>
    <m/>
    <s v="FP"/>
    <s v="CP"/>
    <s v="SP"/>
    <s v="MOULD"/>
    <s v="FP CP SP MOULD Both"/>
    <x v="1"/>
    <x v="1"/>
    <n v="1"/>
    <x v="33"/>
  </r>
  <r>
    <n v="2558"/>
    <x v="148"/>
    <x v="148"/>
    <x v="140"/>
    <x v="2"/>
    <x v="2"/>
    <n v="176"/>
    <x v="2"/>
    <n v="1"/>
    <m/>
    <s v="Supplier"/>
    <m/>
    <x v="638"/>
    <s v="Kwonnie - FHA6E502_EN_-_SIF 2013.xlsx"/>
    <s v=".xlsx"/>
    <d v="2014-03-10T00:00:00"/>
    <s v="as\afok"/>
    <m/>
    <s v="2013"/>
    <m/>
    <m/>
    <m/>
    <m/>
    <m/>
    <x v="0"/>
    <x v="0"/>
    <x v="0"/>
    <x v="0"/>
    <x v="2"/>
    <x v="116"/>
    <x v="148"/>
    <x v="111"/>
    <x v="82"/>
    <x v="96"/>
    <x v="5"/>
    <x v="6"/>
    <x v="7"/>
    <x v="30"/>
    <x v="38"/>
    <s v="FP panel Top 15"/>
    <x v="1"/>
    <x v="2"/>
    <x v="0"/>
    <x v="0"/>
    <m/>
    <m/>
    <m/>
    <n v="1"/>
    <m/>
    <m/>
    <s v="FP"/>
    <s v="CP"/>
    <s v="SP"/>
    <s v="MOULD"/>
    <s v="FP CP SP MOULD Both"/>
    <x v="1"/>
    <x v="1"/>
    <n v="1"/>
    <x v="33"/>
  </r>
  <r>
    <n v="2548"/>
    <x v="148"/>
    <x v="148"/>
    <x v="140"/>
    <x v="2"/>
    <x v="2"/>
    <n v="172"/>
    <x v="2"/>
    <m/>
    <m/>
    <s v="Supplier"/>
    <m/>
    <x v="435"/>
    <s v="KWONNIE_SIF 2012_7Mar12.xls"/>
    <s v=".xls"/>
    <d v="2014-03-10T00:00:00"/>
    <s v="as\afok"/>
    <m/>
    <s v="2012"/>
    <m/>
    <m/>
    <m/>
    <m/>
    <m/>
    <x v="0"/>
    <x v="0"/>
    <x v="0"/>
    <x v="0"/>
    <x v="1"/>
    <x v="116"/>
    <x v="42"/>
    <x v="111"/>
    <x v="122"/>
    <x v="0"/>
    <x v="5"/>
    <x v="12"/>
    <x v="62"/>
    <x v="9"/>
    <x v="0"/>
    <s v="FP panel Top 15"/>
    <x v="1"/>
    <x v="2"/>
    <x v="0"/>
    <x v="0"/>
    <m/>
    <m/>
    <m/>
    <n v="1"/>
    <m/>
    <m/>
    <s v="FP"/>
    <s v="CP"/>
    <s v="SP"/>
    <s v="MOULD"/>
    <s v="FP CP SP MOULD Both"/>
    <x v="1"/>
    <x v="1"/>
    <n v="1"/>
    <x v="33"/>
  </r>
  <r>
    <n v="2563"/>
    <x v="149"/>
    <x v="149"/>
    <x v="140"/>
    <x v="2"/>
    <x v="2"/>
    <n v="173"/>
    <x v="2"/>
    <m/>
    <m/>
    <s v="Supplier"/>
    <m/>
    <x v="299"/>
    <s v="KWONNIE_SIF 2012_3Sep12.xls"/>
    <s v=".xls"/>
    <d v="2014-03-10T00:00:00"/>
    <s v="as\afok"/>
    <m/>
    <s v="2012"/>
    <m/>
    <m/>
    <m/>
    <m/>
    <m/>
    <x v="0"/>
    <x v="0"/>
    <x v="0"/>
    <x v="0"/>
    <x v="1"/>
    <x v="78"/>
    <x v="37"/>
    <x v="111"/>
    <x v="122"/>
    <x v="0"/>
    <x v="5"/>
    <x v="34"/>
    <x v="62"/>
    <x v="9"/>
    <x v="0"/>
    <s v="FP panel Top 15"/>
    <x v="1"/>
    <x v="2"/>
    <x v="0"/>
    <x v="0"/>
    <m/>
    <m/>
    <m/>
    <n v="1"/>
    <m/>
    <m/>
    <s v="FP"/>
    <m/>
    <m/>
    <m/>
    <s v="FP Both"/>
    <x v="1"/>
    <x v="1"/>
    <n v="1"/>
    <x v="10"/>
  </r>
  <r>
    <n v="2559"/>
    <x v="149"/>
    <x v="149"/>
    <x v="140"/>
    <x v="2"/>
    <x v="2"/>
    <n v="176"/>
    <x v="2"/>
    <m/>
    <m/>
    <s v="Supplier"/>
    <m/>
    <x v="638"/>
    <s v="Kwonnie - FHA6E502_EN_-_SIF 2013.xlsx"/>
    <s v=".xlsx"/>
    <d v="2014-03-10T00:00:00"/>
    <s v="as\afok"/>
    <m/>
    <s v="2013"/>
    <m/>
    <m/>
    <m/>
    <m/>
    <m/>
    <x v="0"/>
    <x v="0"/>
    <x v="0"/>
    <x v="0"/>
    <x v="2"/>
    <x v="116"/>
    <x v="148"/>
    <x v="111"/>
    <x v="82"/>
    <x v="96"/>
    <x v="5"/>
    <x v="6"/>
    <x v="7"/>
    <x v="30"/>
    <x v="38"/>
    <s v="FP panel Top 15"/>
    <x v="1"/>
    <x v="2"/>
    <x v="0"/>
    <x v="0"/>
    <m/>
    <m/>
    <m/>
    <n v="1"/>
    <m/>
    <m/>
    <s v="FP"/>
    <m/>
    <m/>
    <m/>
    <s v="FP Both"/>
    <x v="1"/>
    <x v="1"/>
    <n v="1"/>
    <x v="10"/>
  </r>
  <r>
    <n v="2549"/>
    <x v="149"/>
    <x v="149"/>
    <x v="140"/>
    <x v="2"/>
    <x v="2"/>
    <n v="172"/>
    <x v="2"/>
    <n v="1"/>
    <m/>
    <s v="Supplier"/>
    <m/>
    <x v="435"/>
    <s v="KWONNIE_SIF 2012_7Mar12.xls"/>
    <s v=".xls"/>
    <d v="2014-03-10T00:00:00"/>
    <s v="as\afok"/>
    <m/>
    <s v="2012"/>
    <m/>
    <m/>
    <m/>
    <m/>
    <m/>
    <x v="0"/>
    <x v="0"/>
    <x v="0"/>
    <x v="0"/>
    <x v="1"/>
    <x v="116"/>
    <x v="42"/>
    <x v="111"/>
    <x v="122"/>
    <x v="0"/>
    <x v="5"/>
    <x v="12"/>
    <x v="62"/>
    <x v="9"/>
    <x v="0"/>
    <s v="FP panel Top 15"/>
    <x v="1"/>
    <x v="2"/>
    <x v="0"/>
    <x v="0"/>
    <m/>
    <m/>
    <m/>
    <n v="1"/>
    <m/>
    <m/>
    <s v="FP"/>
    <m/>
    <m/>
    <m/>
    <s v="FP Both"/>
    <x v="1"/>
    <x v="1"/>
    <n v="1"/>
    <x v="10"/>
  </r>
  <r>
    <n v="2534"/>
    <x v="148"/>
    <x v="148"/>
    <x v="140"/>
    <x v="2"/>
    <x v="2"/>
    <n v="174"/>
    <x v="17"/>
    <m/>
    <m/>
    <s v="Supplier"/>
    <m/>
    <x v="639"/>
    <s v="Kwonnie Social Audit Warning Letter on 20120919.pdf"/>
    <s v=".pdf"/>
    <d v="2014-03-10T00:00:00"/>
    <s v="as\afok"/>
    <s v=" Warning Letter_x000d__x000a_"/>
    <m/>
    <m/>
    <m/>
    <m/>
    <m/>
    <m/>
    <x v="1"/>
    <x v="1"/>
    <x v="1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s v="CP"/>
    <s v="SP"/>
    <s v="MOULD"/>
    <s v="FP CP SP MOULD Both"/>
    <x v="0"/>
    <x v="1"/>
    <n v="1"/>
    <x v="33"/>
  </r>
  <r>
    <n v="2535"/>
    <x v="149"/>
    <x v="149"/>
    <x v="140"/>
    <x v="2"/>
    <x v="2"/>
    <n v="174"/>
    <x v="17"/>
    <m/>
    <m/>
    <s v="Supplier"/>
    <m/>
    <x v="639"/>
    <s v="Kwonnie Social Audit Warning Letter on 20120919.pdf"/>
    <s v=".pdf"/>
    <d v="2014-03-10T00:00:00"/>
    <s v="as\afok"/>
    <s v=" Warning Letter_x000d__x000a_"/>
    <m/>
    <m/>
    <m/>
    <m/>
    <m/>
    <m/>
    <x v="1"/>
    <x v="1"/>
    <x v="1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m/>
    <m/>
    <s v="FP Both"/>
    <x v="0"/>
    <x v="1"/>
    <n v="1"/>
    <x v="10"/>
  </r>
  <r>
    <n v="2552"/>
    <x v="148"/>
    <x v="148"/>
    <x v="140"/>
    <x v="2"/>
    <x v="2"/>
    <n v="175"/>
    <x v="3"/>
    <m/>
    <m/>
    <s v="Supplier"/>
    <m/>
    <x v="149"/>
    <s v="Kwonnie VPI Sept Sept_2012 v2 - SPR.pptx"/>
    <s v=".pptx"/>
    <d v="2014-03-10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s v="CP"/>
    <s v="SP"/>
    <s v="MOULD"/>
    <s v="FP CP SP MOULD Both"/>
    <x v="0"/>
    <x v="1"/>
    <n v="1"/>
    <x v="33"/>
  </r>
  <r>
    <n v="2542"/>
    <x v="148"/>
    <x v="148"/>
    <x v="140"/>
    <x v="2"/>
    <x v="2"/>
    <n v="177"/>
    <x v="3"/>
    <m/>
    <m/>
    <s v="Supplier"/>
    <m/>
    <x v="142"/>
    <s v="Kwonnie SPR 2013 v1 after meeting on 20131107 for Supplier.pptx"/>
    <s v=".pptx"/>
    <d v="2014-03-10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s v="CP"/>
    <s v="SP"/>
    <s v="MOULD"/>
    <s v="FP CP SP MOULD Both"/>
    <x v="0"/>
    <x v="1"/>
    <n v="1"/>
    <x v="33"/>
  </r>
  <r>
    <n v="2553"/>
    <x v="149"/>
    <x v="149"/>
    <x v="140"/>
    <x v="2"/>
    <x v="2"/>
    <n v="175"/>
    <x v="3"/>
    <m/>
    <m/>
    <s v="Supplier"/>
    <m/>
    <x v="149"/>
    <s v="Kwonnie VPI Sept Sept_2012 v2 - SPR.pptx"/>
    <s v=".pptx"/>
    <d v="2014-03-10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m/>
    <m/>
    <s v="FP Both"/>
    <x v="0"/>
    <x v="1"/>
    <n v="1"/>
    <x v="10"/>
  </r>
  <r>
    <n v="2543"/>
    <x v="149"/>
    <x v="149"/>
    <x v="140"/>
    <x v="2"/>
    <x v="2"/>
    <n v="177"/>
    <x v="3"/>
    <m/>
    <m/>
    <s v="Supplier"/>
    <m/>
    <x v="142"/>
    <s v="Kwonnie SPR 2013 v1 after meeting on 20131107 for Supplier.pptx"/>
    <s v=".pptx"/>
    <d v="2014-03-10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m/>
    <m/>
    <s v="FP Both"/>
    <x v="0"/>
    <x v="1"/>
    <n v="1"/>
    <x v="10"/>
  </r>
  <r>
    <n v="1492"/>
    <x v="150"/>
    <x v="150"/>
    <x v="141"/>
    <x v="5"/>
    <x v="12"/>
    <n v="1455"/>
    <x v="13"/>
    <m/>
    <m/>
    <s v="Supplier"/>
    <d v="2011-01-10T00:00:00"/>
    <x v="640"/>
    <s v="LEONI_ISO14001_10Jan2011.pdf"/>
    <s v=".pdf"/>
    <d v="2014-04-02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s v="SP"/>
    <m/>
    <s v="CP SP "/>
    <x v="0"/>
    <x v="1"/>
    <m/>
    <x v="39"/>
  </r>
  <r>
    <n v="1489"/>
    <x v="150"/>
    <x v="150"/>
    <x v="141"/>
    <x v="5"/>
    <x v="12"/>
    <n v="1452"/>
    <x v="8"/>
    <m/>
    <m/>
    <s v="Supplier"/>
    <m/>
    <x v="641"/>
    <s v="LEONI_Responsible Purchasing Charter_20140303.pdf"/>
    <s v=".pdf"/>
    <d v="2014-04-02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s v="SP"/>
    <m/>
    <s v="CP SP "/>
    <x v="0"/>
    <x v="1"/>
    <m/>
    <x v="39"/>
  </r>
  <r>
    <n v="1493"/>
    <x v="150"/>
    <x v="150"/>
    <x v="141"/>
    <x v="5"/>
    <x v="12"/>
    <n v="1456"/>
    <x v="1"/>
    <m/>
    <m/>
    <s v="Supplier"/>
    <m/>
    <x v="418"/>
    <s v="Leoni_SEF_ 201207.xlsx"/>
    <s v=".xlsx"/>
    <d v="2014-04-02T00:00:00"/>
    <s v="as\afok"/>
    <m/>
    <s v="2012"/>
    <m/>
    <m/>
    <m/>
    <m/>
    <m/>
    <x v="0"/>
    <x v="0"/>
    <x v="0"/>
    <x v="5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s v="SP"/>
    <m/>
    <s v="CP SP "/>
    <x v="0"/>
    <x v="1"/>
    <m/>
    <x v="39"/>
  </r>
  <r>
    <n v="1491"/>
    <x v="150"/>
    <x v="150"/>
    <x v="141"/>
    <x v="5"/>
    <x v="12"/>
    <n v="1454"/>
    <x v="2"/>
    <n v="1"/>
    <m/>
    <s v="Supplier"/>
    <m/>
    <x v="642"/>
    <s v="LEONI_PerformanceReview_2012.pdf"/>
    <s v=".pdf"/>
    <d v="2014-04-02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s v="SP"/>
    <m/>
    <s v="CP SP "/>
    <x v="2"/>
    <x v="1"/>
    <m/>
    <x v="39"/>
  </r>
  <r>
    <n v="1490"/>
    <x v="150"/>
    <x v="150"/>
    <x v="141"/>
    <x v="5"/>
    <x v="12"/>
    <n v="1453"/>
    <x v="2"/>
    <m/>
    <m/>
    <s v="Supplier"/>
    <m/>
    <x v="43"/>
    <s v="Leoni Changzhou_SIF_Jan2014.xls"/>
    <s v=".xls"/>
    <d v="2014-04-02T00:00:00"/>
    <s v="as\afok"/>
    <m/>
    <s v="2014"/>
    <m/>
    <m/>
    <m/>
    <m/>
    <m/>
    <x v="0"/>
    <x v="0"/>
    <x v="0"/>
    <x v="0"/>
    <x v="3"/>
    <x v="78"/>
    <x v="37"/>
    <x v="38"/>
    <x v="123"/>
    <x v="114"/>
    <x v="0"/>
    <x v="83"/>
    <x v="72"/>
    <x v="64"/>
    <x v="60"/>
    <m/>
    <x v="0"/>
    <x v="0"/>
    <x v="0"/>
    <x v="0"/>
    <m/>
    <m/>
    <m/>
    <n v="0"/>
    <m/>
    <m/>
    <m/>
    <s v="CP"/>
    <s v="SP"/>
    <m/>
    <s v="CP SP "/>
    <x v="2"/>
    <x v="1"/>
    <m/>
    <x v="39"/>
  </r>
  <r>
    <n v="1494"/>
    <x v="150"/>
    <x v="150"/>
    <x v="141"/>
    <x v="5"/>
    <x v="12"/>
    <n v="1457"/>
    <x v="2"/>
    <m/>
    <m/>
    <s v="Supplier"/>
    <m/>
    <x v="220"/>
    <s v="LEONI_SIF_20Apr2012.xls"/>
    <s v=".xls"/>
    <d v="2014-04-02T00:00:00"/>
    <s v="as\afok"/>
    <m/>
    <s v="2012"/>
    <m/>
    <m/>
    <m/>
    <m/>
    <m/>
    <x v="0"/>
    <x v="0"/>
    <x v="0"/>
    <x v="0"/>
    <x v="1"/>
    <x v="0"/>
    <x v="8"/>
    <x v="136"/>
    <x v="41"/>
    <x v="38"/>
    <x v="0"/>
    <x v="35"/>
    <x v="73"/>
    <x v="65"/>
    <x v="61"/>
    <m/>
    <x v="0"/>
    <x v="0"/>
    <x v="0"/>
    <x v="0"/>
    <m/>
    <m/>
    <m/>
    <n v="0"/>
    <m/>
    <n v="1"/>
    <m/>
    <s v="CP"/>
    <s v="SP"/>
    <m/>
    <s v="CP SP "/>
    <x v="2"/>
    <x v="1"/>
    <m/>
    <x v="39"/>
  </r>
  <r>
    <n v="1035"/>
    <x v="151"/>
    <x v="151"/>
    <x v="142"/>
    <x v="1"/>
    <x v="11"/>
    <n v="1012"/>
    <x v="8"/>
    <m/>
    <m/>
    <s v="Supplier"/>
    <m/>
    <x v="283"/>
    <s v="Leoni_Xiamen_Responsible Purchasing Charter_18dec2012.pdf"/>
    <s v=".pdf"/>
    <d v="2014-03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s v="CP"/>
    <m/>
    <m/>
    <s v="CP "/>
    <x v="0"/>
    <x v="1"/>
    <m/>
    <x v="8"/>
  </r>
  <r>
    <n v="1034"/>
    <x v="151"/>
    <x v="151"/>
    <x v="142"/>
    <x v="1"/>
    <x v="11"/>
    <n v="1011"/>
    <x v="2"/>
    <n v="1"/>
    <m/>
    <s v="Supplier"/>
    <m/>
    <x v="643"/>
    <s v="Leoni Xiamen_SIF_2012 (Revised).XLSX"/>
    <s v=".xlsx"/>
    <d v="2014-03-25T00:00:00"/>
    <s v="as\afok"/>
    <m/>
    <s v="2013"/>
    <m/>
    <m/>
    <m/>
    <m/>
    <m/>
    <x v="0"/>
    <x v="0"/>
    <x v="0"/>
    <x v="0"/>
    <x v="1"/>
    <x v="4"/>
    <x v="5"/>
    <x v="88"/>
    <x v="55"/>
    <x v="115"/>
    <x v="0"/>
    <x v="0"/>
    <x v="0"/>
    <x v="0"/>
    <x v="0"/>
    <m/>
    <x v="0"/>
    <x v="0"/>
    <x v="0"/>
    <x v="0"/>
    <m/>
    <m/>
    <m/>
    <n v="0"/>
    <m/>
    <m/>
    <m/>
    <s v="CP"/>
    <m/>
    <m/>
    <s v="CP "/>
    <x v="2"/>
    <x v="1"/>
    <m/>
    <x v="8"/>
  </r>
  <r>
    <n v="703"/>
    <x v="152"/>
    <x v="152"/>
    <x v="143"/>
    <x v="2"/>
    <x v="15"/>
    <n v="686"/>
    <x v="4"/>
    <m/>
    <m/>
    <s v="Supplier"/>
    <m/>
    <x v="499"/>
    <s v="Liantek_FHA6E022_20090323.pdf"/>
    <s v=".pdf"/>
    <d v="2014-03-20T00:00:00"/>
    <s v="as\afok"/>
    <m/>
    <m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m/>
    <s v="SP"/>
    <m/>
    <s v="FP SP "/>
    <x v="0"/>
    <x v="1"/>
    <m/>
    <x v="41"/>
  </r>
  <r>
    <n v="704"/>
    <x v="152"/>
    <x v="152"/>
    <x v="143"/>
    <x v="2"/>
    <x v="15"/>
    <n v="687"/>
    <x v="5"/>
    <m/>
    <m/>
    <s v="Supplier"/>
    <m/>
    <x v="499"/>
    <s v="Liantek_FHA6E022_20090323.pdf"/>
    <s v=".pdf"/>
    <d v="2014-03-20T00:00:00"/>
    <s v="as\afok"/>
    <m/>
    <s v="FHA 00 014"/>
    <m/>
    <m/>
    <m/>
    <n v="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m/>
    <s v="SP"/>
    <m/>
    <s v="FP SP "/>
    <x v="0"/>
    <x v="1"/>
    <m/>
    <x v="41"/>
  </r>
  <r>
    <n v="705"/>
    <x v="152"/>
    <x v="152"/>
    <x v="143"/>
    <x v="2"/>
    <x v="15"/>
    <n v="688"/>
    <x v="6"/>
    <m/>
    <m/>
    <s v="Supplier"/>
    <m/>
    <x v="499"/>
    <s v="Liantek_FHA6E022_20090323.pdf"/>
    <s v=".pdf"/>
    <d v="2014-03-20T00:00:00"/>
    <s v="as\afok"/>
    <m/>
    <m/>
    <m/>
    <n v="40"/>
    <n v="0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m/>
    <s v="SP"/>
    <m/>
    <s v="FP SP "/>
    <x v="0"/>
    <x v="1"/>
    <m/>
    <x v="41"/>
  </r>
  <r>
    <n v="701"/>
    <x v="152"/>
    <x v="152"/>
    <x v="143"/>
    <x v="2"/>
    <x v="15"/>
    <n v="684"/>
    <x v="7"/>
    <m/>
    <m/>
    <s v="Supplier"/>
    <m/>
    <x v="133"/>
    <s v="Liantek_Env_Declaration_31May2010.xls"/>
    <s v=".xls"/>
    <d v="2014-03-20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41"/>
  </r>
  <r>
    <n v="700"/>
    <x v="152"/>
    <x v="152"/>
    <x v="143"/>
    <x v="2"/>
    <x v="15"/>
    <n v="683"/>
    <x v="11"/>
    <m/>
    <m/>
    <s v="Supplier"/>
    <m/>
    <x v="117"/>
    <s v="Exclusivity Summary from liantek 130121.xlsx"/>
    <s v=".xlsx"/>
    <d v="2014-03-20T00:00:00"/>
    <s v="as\afok"/>
    <s v="Exclusivity Summary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41"/>
  </r>
  <r>
    <n v="702"/>
    <x v="152"/>
    <x v="152"/>
    <x v="143"/>
    <x v="2"/>
    <x v="15"/>
    <n v="685"/>
    <x v="0"/>
    <m/>
    <m/>
    <s v="Supplier"/>
    <m/>
    <x v="644"/>
    <s v="Liantek FRD00069 ind.04 20090427.pdf"/>
    <s v=".pdf"/>
    <d v="2014-03-20T00:00:00"/>
    <s v="as\afok"/>
    <m/>
    <s v="FRD00 069 ind.04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41"/>
  </r>
  <r>
    <n v="698"/>
    <x v="152"/>
    <x v="152"/>
    <x v="143"/>
    <x v="2"/>
    <x v="15"/>
    <n v="681"/>
    <x v="1"/>
    <m/>
    <m/>
    <s v="Supplier"/>
    <m/>
    <x v="620"/>
    <s v="SEF-Liantek 2013 Jun.xlsx"/>
    <s v=".xlsx"/>
    <d v="2014-03-20T00:00:00"/>
    <s v="as\afok"/>
    <m/>
    <s v="2013"/>
    <m/>
    <m/>
    <m/>
    <m/>
    <m/>
    <x v="0"/>
    <x v="0"/>
    <x v="0"/>
    <x v="15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41"/>
  </r>
  <r>
    <n v="699"/>
    <x v="152"/>
    <x v="152"/>
    <x v="143"/>
    <x v="2"/>
    <x v="15"/>
    <n v="682"/>
    <x v="2"/>
    <m/>
    <m/>
    <s v="Supplier"/>
    <m/>
    <x v="638"/>
    <s v="Liantek 130521 - FHA6E502-EN SIF 2013.xlsx"/>
    <s v=".xlsx"/>
    <d v="2014-03-20T00:00:00"/>
    <s v="as\afok"/>
    <m/>
    <s v="2013"/>
    <m/>
    <m/>
    <m/>
    <m/>
    <m/>
    <x v="0"/>
    <x v="0"/>
    <x v="0"/>
    <x v="0"/>
    <x v="2"/>
    <x v="117"/>
    <x v="149"/>
    <x v="137"/>
    <x v="124"/>
    <x v="116"/>
    <x v="0"/>
    <x v="52"/>
    <x v="23"/>
    <x v="66"/>
    <x v="62"/>
    <m/>
    <x v="0"/>
    <x v="0"/>
    <x v="0"/>
    <x v="0"/>
    <m/>
    <m/>
    <m/>
    <n v="1"/>
    <m/>
    <m/>
    <s v="FP"/>
    <m/>
    <s v="SP"/>
    <m/>
    <s v="FP SP "/>
    <x v="3"/>
    <x v="1"/>
    <m/>
    <x v="41"/>
  </r>
  <r>
    <n v="706"/>
    <x v="152"/>
    <x v="152"/>
    <x v="143"/>
    <x v="2"/>
    <x v="15"/>
    <n v="689"/>
    <x v="3"/>
    <m/>
    <m/>
    <s v="Supplier"/>
    <m/>
    <x v="548"/>
    <s v="Liantek_SPR_2009.xlsx"/>
    <s v=".xlsx"/>
    <d v="2014-03-20T00:00:00"/>
    <s v="as\afok"/>
    <m/>
    <s v="2009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n v="1"/>
    <m/>
    <s v="FP"/>
    <m/>
    <s v="SP"/>
    <m/>
    <s v="FP SP "/>
    <x v="0"/>
    <x v="1"/>
    <m/>
    <x v="41"/>
  </r>
  <r>
    <n v="13"/>
    <x v="153"/>
    <x v="153"/>
    <x v="144"/>
    <x v="0"/>
    <x v="9"/>
    <n v="10"/>
    <x v="4"/>
    <m/>
    <m/>
    <s v="Supplier"/>
    <d v="2015-12-31T00:00:00"/>
    <x v="510"/>
    <s v="Linkfair_General Agreement_28Nov11.pdf"/>
    <s v=".pdf"/>
    <d v="2014-03-04T00:00:00"/>
    <s v="as\afok"/>
    <m/>
    <s v="FHA00016 ind.10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 and CP panel"/>
    <x v="1"/>
    <x v="3"/>
    <x v="1"/>
    <x v="1"/>
    <n v="1"/>
    <m/>
    <m/>
    <n v="1"/>
    <m/>
    <m/>
    <s v="FP"/>
    <s v="CP"/>
    <s v="SP"/>
    <s v="MOULD"/>
    <s v="FP CP SP MOULD Both"/>
    <x v="0"/>
    <x v="1"/>
    <n v="1"/>
    <x v="44"/>
  </r>
  <r>
    <n v="190"/>
    <x v="153"/>
    <x v="153"/>
    <x v="144"/>
    <x v="0"/>
    <x v="9"/>
    <n v="181"/>
    <x v="5"/>
    <m/>
    <m/>
    <s v="Supplier"/>
    <m/>
    <x v="645"/>
    <s v="Linkfair_Quality Policy_6Mar13.pdf"/>
    <s v=".pdf"/>
    <d v="2014-03-11T00:00:00"/>
    <s v="as\afok"/>
    <m/>
    <m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FP panel Top 15 and CP panel"/>
    <x v="1"/>
    <x v="3"/>
    <x v="1"/>
    <x v="1"/>
    <m/>
    <n v="1"/>
    <m/>
    <n v="1"/>
    <m/>
    <m/>
    <s v="FP"/>
    <s v="CP"/>
    <s v="SP"/>
    <s v="MOULD"/>
    <s v="FP CP SP MOULD Both"/>
    <x v="0"/>
    <x v="1"/>
    <n v="1"/>
    <x v="44"/>
  </r>
  <r>
    <n v="189"/>
    <x v="153"/>
    <x v="153"/>
    <x v="144"/>
    <x v="0"/>
    <x v="9"/>
    <n v="180"/>
    <x v="6"/>
    <m/>
    <m/>
    <s v="Supplier"/>
    <m/>
    <x v="510"/>
    <s v="Linkfair_General Agreement_28Nov11.pdf"/>
    <s v=".pdf"/>
    <d v="2014-03-11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s v="FP panel Top 15 and CP panel"/>
    <x v="1"/>
    <x v="3"/>
    <x v="1"/>
    <x v="1"/>
    <m/>
    <m/>
    <n v="1"/>
    <n v="1"/>
    <m/>
    <m/>
    <s v="FP"/>
    <s v="CP"/>
    <s v="SP"/>
    <s v="MOULD"/>
    <s v="FP CP SP MOULD Both"/>
    <x v="0"/>
    <x v="1"/>
    <n v="1"/>
    <x v="44"/>
  </r>
  <r>
    <n v="581"/>
    <x v="153"/>
    <x v="153"/>
    <x v="144"/>
    <x v="0"/>
    <x v="9"/>
    <n v="564"/>
    <x v="10"/>
    <m/>
    <m/>
    <s v="Supplier"/>
    <m/>
    <x v="510"/>
    <s v="Linkfair_General Agreement_28Nov11.pdf"/>
    <s v=".pdf"/>
    <d v="2014-03-1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 and CP panel"/>
    <x v="1"/>
    <x v="3"/>
    <x v="1"/>
    <x v="1"/>
    <m/>
    <m/>
    <m/>
    <n v="1"/>
    <n v="1"/>
    <m/>
    <s v="FP"/>
    <s v="CP"/>
    <s v="SP"/>
    <s v="MOULD"/>
    <s v="FP CP SP MOULD Both"/>
    <x v="0"/>
    <x v="1"/>
    <n v="1"/>
    <x v="44"/>
  </r>
  <r>
    <n v="191"/>
    <x v="153"/>
    <x v="153"/>
    <x v="144"/>
    <x v="0"/>
    <x v="9"/>
    <n v="182"/>
    <x v="7"/>
    <m/>
    <m/>
    <s v="Supplier"/>
    <m/>
    <x v="510"/>
    <s v="Linkfair_General Agreement_28Nov11.pdf"/>
    <s v=".pdf"/>
    <d v="2014-03-11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187"/>
    <x v="153"/>
    <x v="153"/>
    <x v="144"/>
    <x v="0"/>
    <x v="9"/>
    <n v="178"/>
    <x v="0"/>
    <m/>
    <m/>
    <s v="Supplier"/>
    <m/>
    <x v="646"/>
    <s v="Foodstuffs_FRD00069_EN certificato alimentarietà.pdf"/>
    <s v=".pdf"/>
    <d v="2014-03-11T00:00:00"/>
    <s v="as\afok"/>
    <m/>
    <s v="FRD00069 ind.04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188"/>
    <x v="153"/>
    <x v="153"/>
    <x v="144"/>
    <x v="0"/>
    <x v="9"/>
    <n v="179"/>
    <x v="13"/>
    <m/>
    <m/>
    <s v="Supplier"/>
    <d v="2012-11-11T00:00:00"/>
    <x v="647"/>
    <s v="Link_Fair_ISO14001_11Nov2012.pdf"/>
    <s v=".pdf"/>
    <d v="2014-03-1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197"/>
    <x v="153"/>
    <x v="153"/>
    <x v="144"/>
    <x v="0"/>
    <x v="9"/>
    <n v="188"/>
    <x v="15"/>
    <m/>
    <m/>
    <s v="Supplier"/>
    <m/>
    <x v="648"/>
    <s v="NDA_LinkFair_22Jun12.tif"/>
    <s v=".tif"/>
    <d v="2014-03-1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192"/>
    <x v="153"/>
    <x v="153"/>
    <x v="144"/>
    <x v="0"/>
    <x v="9"/>
    <n v="183"/>
    <x v="16"/>
    <m/>
    <m/>
    <s v="Supplier"/>
    <m/>
    <x v="418"/>
    <s v="Linkfair_Material Purchasing Agreement for SEB_17Jan2012.pdf"/>
    <s v=".pdf"/>
    <d v="2014-03-11T00:00:00"/>
    <s v="as\afok"/>
    <s v="Material Purchasing Agreement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193"/>
    <x v="153"/>
    <x v="153"/>
    <x v="144"/>
    <x v="0"/>
    <x v="9"/>
    <n v="184"/>
    <x v="8"/>
    <m/>
    <m/>
    <s v="Supplier"/>
    <m/>
    <x v="338"/>
    <s v="Linkfair_Responsible Purchasing Charter_14Aug12.pdf"/>
    <s v=".pdf"/>
    <d v="2014-03-1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198"/>
    <x v="153"/>
    <x v="153"/>
    <x v="144"/>
    <x v="0"/>
    <x v="9"/>
    <n v="189"/>
    <x v="1"/>
    <m/>
    <m/>
    <s v="Supplier"/>
    <m/>
    <x v="649"/>
    <s v="SEF 2012 - Linkfair (Casting handles) Sep2012.xlsx"/>
    <s v=".xlsx"/>
    <d v="2014-03-11T00:00:00"/>
    <s v="as\afok"/>
    <s v="cast handles_x000d__x000a_"/>
    <s v="2012"/>
    <m/>
    <m/>
    <m/>
    <m/>
    <m/>
    <x v="0"/>
    <x v="0"/>
    <x v="0"/>
    <x v="3"/>
    <x v="0"/>
    <x v="0"/>
    <x v="0"/>
    <x v="0"/>
    <x v="0"/>
    <x v="0"/>
    <x v="0"/>
    <x v="0"/>
    <x v="0"/>
    <x v="0"/>
    <x v="0"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199"/>
    <x v="153"/>
    <x v="153"/>
    <x v="144"/>
    <x v="0"/>
    <x v="9"/>
    <n v="190"/>
    <x v="1"/>
    <m/>
    <m/>
    <s v="Supplier"/>
    <m/>
    <x v="264"/>
    <s v="SEF 2012 - Linkfair cast handles 20120810.xlsx"/>
    <s v=".xlsx"/>
    <d v="2014-03-11T00:00:00"/>
    <s v="as\afok"/>
    <s v="cast handles_x000d__x000a_"/>
    <s v="2012"/>
    <m/>
    <m/>
    <m/>
    <m/>
    <m/>
    <x v="0"/>
    <x v="0"/>
    <x v="0"/>
    <x v="25"/>
    <x v="0"/>
    <x v="0"/>
    <x v="0"/>
    <x v="0"/>
    <x v="0"/>
    <x v="0"/>
    <x v="0"/>
    <x v="0"/>
    <x v="0"/>
    <x v="0"/>
    <x v="0"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200"/>
    <x v="153"/>
    <x v="153"/>
    <x v="144"/>
    <x v="0"/>
    <x v="9"/>
    <n v="191"/>
    <x v="1"/>
    <m/>
    <m/>
    <s v="Supplier"/>
    <m/>
    <x v="264"/>
    <s v="SEF 2012 - Linkfair FP 20120810.xlsx"/>
    <s v=".xlsx"/>
    <d v="2014-03-11T00:00:00"/>
    <s v="as\afok"/>
    <s v="FP"/>
    <s v="2012"/>
    <m/>
    <m/>
    <m/>
    <m/>
    <m/>
    <x v="0"/>
    <x v="0"/>
    <x v="0"/>
    <x v="43"/>
    <x v="0"/>
    <x v="0"/>
    <x v="0"/>
    <x v="0"/>
    <x v="0"/>
    <x v="0"/>
    <x v="0"/>
    <x v="0"/>
    <x v="0"/>
    <x v="0"/>
    <x v="0"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194"/>
    <x v="153"/>
    <x v="153"/>
    <x v="144"/>
    <x v="0"/>
    <x v="9"/>
    <n v="185"/>
    <x v="2"/>
    <m/>
    <m/>
    <s v="Supplier"/>
    <m/>
    <x v="506"/>
    <s v="Linkfair_SIF2012_15Feb12.xls"/>
    <s v=".xls"/>
    <d v="2014-03-11T00:00:00"/>
    <s v="as\afok"/>
    <m/>
    <s v="2012"/>
    <m/>
    <m/>
    <m/>
    <m/>
    <m/>
    <x v="0"/>
    <x v="0"/>
    <x v="0"/>
    <x v="0"/>
    <x v="1"/>
    <x v="36"/>
    <x v="150"/>
    <x v="54"/>
    <x v="82"/>
    <x v="96"/>
    <x v="43"/>
    <x v="84"/>
    <x v="15"/>
    <x v="67"/>
    <x v="63"/>
    <s v="FP panel Top 15 and CP panel"/>
    <x v="1"/>
    <x v="3"/>
    <x v="1"/>
    <x v="1"/>
    <m/>
    <m/>
    <m/>
    <n v="1"/>
    <m/>
    <m/>
    <s v="FP"/>
    <s v="CP"/>
    <s v="SP"/>
    <s v="MOULD"/>
    <s v="FP CP SP MOULD Both"/>
    <x v="1"/>
    <x v="1"/>
    <n v="1"/>
    <x v="44"/>
  </r>
  <r>
    <n v="195"/>
    <x v="153"/>
    <x v="153"/>
    <x v="144"/>
    <x v="0"/>
    <x v="9"/>
    <n v="186"/>
    <x v="2"/>
    <m/>
    <m/>
    <s v="Supplier"/>
    <m/>
    <x v="650"/>
    <s v="Linkfair_SIF2013.xls"/>
    <s v=".xls"/>
    <d v="2014-03-11T00:00:00"/>
    <s v="as\afok"/>
    <m/>
    <s v="2013"/>
    <m/>
    <m/>
    <m/>
    <m/>
    <m/>
    <x v="0"/>
    <x v="0"/>
    <x v="0"/>
    <x v="0"/>
    <x v="2"/>
    <x v="37"/>
    <x v="151"/>
    <x v="92"/>
    <x v="122"/>
    <x v="38"/>
    <x v="35"/>
    <x v="1"/>
    <x v="74"/>
    <x v="67"/>
    <x v="64"/>
    <s v="FP panel Top 15 and CP panel"/>
    <x v="1"/>
    <x v="3"/>
    <x v="1"/>
    <x v="1"/>
    <m/>
    <m/>
    <m/>
    <n v="1"/>
    <m/>
    <m/>
    <s v="FP"/>
    <s v="CP"/>
    <s v="SP"/>
    <s v="MOULD"/>
    <s v="FP CP SP MOULD Both"/>
    <x v="1"/>
    <x v="1"/>
    <n v="1"/>
    <x v="44"/>
  </r>
  <r>
    <n v="196"/>
    <x v="153"/>
    <x v="153"/>
    <x v="144"/>
    <x v="0"/>
    <x v="9"/>
    <n v="187"/>
    <x v="3"/>
    <m/>
    <m/>
    <s v="Supplier"/>
    <m/>
    <x v="164"/>
    <s v="LINKFAIR_SPR_2013.pptx"/>
    <s v=".pptx"/>
    <d v="2014-03-11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202"/>
    <x v="153"/>
    <x v="153"/>
    <x v="144"/>
    <x v="0"/>
    <x v="9"/>
    <n v="193"/>
    <x v="3"/>
    <m/>
    <m/>
    <s v="Supplier"/>
    <m/>
    <x v="284"/>
    <s v="SPR - Linkfair_ 6Nov12.ppt"/>
    <s v=".ppt"/>
    <d v="2014-03-11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201"/>
    <x v="153"/>
    <x v="153"/>
    <x v="144"/>
    <x v="0"/>
    <x v="9"/>
    <n v="192"/>
    <x v="3"/>
    <m/>
    <m/>
    <s v="Supplier"/>
    <m/>
    <x v="206"/>
    <s v="SPR - Linkfair (handle 7May12).pptx"/>
    <s v=".pptx"/>
    <d v="2014-03-11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2651"/>
    <x v="154"/>
    <x v="154"/>
    <x v="145"/>
    <x v="0"/>
    <x v="0"/>
    <n v="2494"/>
    <x v="4"/>
    <m/>
    <m/>
    <s v="Supplier"/>
    <m/>
    <x v="639"/>
    <s v="Magician_General Agreement_11Sep12.pdf"/>
    <s v=".pdf"/>
    <d v="2014-04-24T00:00:00"/>
    <s v="as\afok"/>
    <s v="Magician Industrial Co. Ltd"/>
    <m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s v="CP"/>
    <m/>
    <m/>
    <s v="FP CP Both"/>
    <x v="0"/>
    <x v="1"/>
    <m/>
    <x v="0"/>
  </r>
  <r>
    <n v="2646"/>
    <x v="154"/>
    <x v="154"/>
    <x v="145"/>
    <x v="0"/>
    <x v="0"/>
    <n v="2489"/>
    <x v="4"/>
    <m/>
    <m/>
    <s v="Supplier"/>
    <m/>
    <x v="29"/>
    <s v="Lisi_General Agreement_9Jul12.pdf"/>
    <s v=".pdf"/>
    <d v="2014-04-24T00:00:00"/>
    <s v="as\afok"/>
    <s v="Lisi Group (Holdings) Limited"/>
    <m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s v="CP"/>
    <m/>
    <m/>
    <s v="FP CP Both"/>
    <x v="0"/>
    <x v="1"/>
    <m/>
    <x v="0"/>
  </r>
  <r>
    <n v="2649"/>
    <x v="154"/>
    <x v="154"/>
    <x v="145"/>
    <x v="0"/>
    <x v="0"/>
    <n v="2492"/>
    <x v="5"/>
    <m/>
    <m/>
    <s v="Supplier"/>
    <m/>
    <x v="29"/>
    <s v="Lisi_General Agreement_9Jul12.pdf"/>
    <s v=".pdf"/>
    <d v="2014-04-24T00:00:00"/>
    <s v="as\afok"/>
    <s v="Lisi Group (Holdings) Limited"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s v="CP"/>
    <m/>
    <m/>
    <s v="FP CP Both"/>
    <x v="0"/>
    <x v="1"/>
    <m/>
    <x v="0"/>
  </r>
  <r>
    <n v="2654"/>
    <x v="154"/>
    <x v="154"/>
    <x v="145"/>
    <x v="0"/>
    <x v="0"/>
    <n v="2497"/>
    <x v="5"/>
    <m/>
    <m/>
    <s v="Supplier"/>
    <m/>
    <x v="639"/>
    <s v="Magician_General Agreement_11Sep12.pdf"/>
    <s v=".pdf"/>
    <d v="2014-04-24T00:00:00"/>
    <s v="as\afok"/>
    <s v="Magician Industrial Co. Ltd"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s v="CP"/>
    <m/>
    <m/>
    <s v="FP CP Both"/>
    <x v="0"/>
    <x v="1"/>
    <m/>
    <x v="0"/>
  </r>
  <r>
    <n v="2648"/>
    <x v="154"/>
    <x v="154"/>
    <x v="145"/>
    <x v="0"/>
    <x v="0"/>
    <n v="2491"/>
    <x v="6"/>
    <m/>
    <m/>
    <s v="Supplier"/>
    <m/>
    <x v="29"/>
    <s v="Lisi_General Agreement_9Jul12.pdf"/>
    <s v=".pdf"/>
    <d v="2014-04-24T00:00:00"/>
    <s v="as\afok"/>
    <s v="Lisi Group (Holdings) Limited"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s v="CP"/>
    <m/>
    <m/>
    <s v="FP CP Both"/>
    <x v="0"/>
    <x v="1"/>
    <m/>
    <x v="0"/>
  </r>
  <r>
    <n v="2653"/>
    <x v="154"/>
    <x v="154"/>
    <x v="145"/>
    <x v="0"/>
    <x v="0"/>
    <n v="2496"/>
    <x v="6"/>
    <m/>
    <m/>
    <s v="Supplier"/>
    <m/>
    <x v="639"/>
    <s v="Magician_General Agreement_11Sep12.pdf"/>
    <s v=".pdf"/>
    <d v="2014-04-24T00:00:00"/>
    <s v="as\afok"/>
    <s v="Magician Industrial Co. Ltd"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s v="CP"/>
    <m/>
    <m/>
    <s v="FP CP Both"/>
    <x v="0"/>
    <x v="1"/>
    <m/>
    <x v="0"/>
  </r>
  <r>
    <n v="2655"/>
    <x v="154"/>
    <x v="154"/>
    <x v="145"/>
    <x v="0"/>
    <x v="0"/>
    <n v="2498"/>
    <x v="10"/>
    <m/>
    <m/>
    <s v="Supplier"/>
    <m/>
    <x v="651"/>
    <s v="Magician_General Agreement_11Sep12.pdf"/>
    <s v=".pdf"/>
    <d v="2014-04-24T00:00:00"/>
    <s v="as\afok"/>
    <s v="Magician Industrial Co. Ltd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n v="1"/>
    <m/>
    <s v="FP"/>
    <s v="CP"/>
    <m/>
    <m/>
    <s v="FP CP Both"/>
    <x v="0"/>
    <x v="1"/>
    <m/>
    <x v="0"/>
  </r>
  <r>
    <n v="2650"/>
    <x v="154"/>
    <x v="154"/>
    <x v="145"/>
    <x v="0"/>
    <x v="0"/>
    <n v="2493"/>
    <x v="10"/>
    <m/>
    <m/>
    <s v="Supplier"/>
    <m/>
    <x v="340"/>
    <s v="Lisi_General Agreement_9Jul12.pdf"/>
    <s v=".pdf"/>
    <d v="2014-04-24T00:00:00"/>
    <s v="as\afok"/>
    <s v="Lisi Group (Holdings) Limited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m/>
    <m/>
    <s v="FP CP Both"/>
    <x v="0"/>
    <x v="1"/>
    <m/>
    <x v="0"/>
  </r>
  <r>
    <n v="2647"/>
    <x v="154"/>
    <x v="154"/>
    <x v="145"/>
    <x v="0"/>
    <x v="0"/>
    <n v="2490"/>
    <x v="7"/>
    <m/>
    <m/>
    <s v="Supplier"/>
    <m/>
    <x v="652"/>
    <s v="Lisi_General Agreement_9Jul12.pdf"/>
    <s v=".pdf"/>
    <d v="2014-04-24T00:00:00"/>
    <s v="as\afok"/>
    <s v="Lisi Household (Shenzhen) Co., Ltd"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m/>
    <m/>
    <s v="FP CP Both"/>
    <x v="0"/>
    <x v="1"/>
    <m/>
    <x v="0"/>
  </r>
  <r>
    <n v="2652"/>
    <x v="154"/>
    <x v="154"/>
    <x v="145"/>
    <x v="0"/>
    <x v="0"/>
    <n v="2495"/>
    <x v="7"/>
    <m/>
    <m/>
    <s v="Supplier"/>
    <m/>
    <x v="651"/>
    <s v="Magician_General Agreement_11Sep12.pdf"/>
    <s v=".pdf"/>
    <d v="2014-04-24T00:00:00"/>
    <s v="as\afok"/>
    <s v="Magician Industrial Co. Ltd"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m/>
    <m/>
    <s v="FP CP Both"/>
    <x v="0"/>
    <x v="1"/>
    <m/>
    <x v="0"/>
  </r>
  <r>
    <n v="2645"/>
    <x v="154"/>
    <x v="154"/>
    <x v="145"/>
    <x v="0"/>
    <x v="0"/>
    <n v="2488"/>
    <x v="8"/>
    <m/>
    <m/>
    <s v="Supplier"/>
    <m/>
    <x v="97"/>
    <s v="Magician_Responsible Purchasing Charter_24Sep12.pdf"/>
    <s v=".pdf"/>
    <d v="2014-04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m/>
    <m/>
    <s v="FP CP Both"/>
    <x v="0"/>
    <x v="1"/>
    <m/>
    <x v="0"/>
  </r>
  <r>
    <n v="2644"/>
    <x v="154"/>
    <x v="154"/>
    <x v="145"/>
    <x v="0"/>
    <x v="0"/>
    <n v="2487"/>
    <x v="2"/>
    <n v="1"/>
    <m/>
    <s v="Supplier"/>
    <m/>
    <x v="551"/>
    <s v="Magician_SIF2013.xls"/>
    <s v=".xls"/>
    <d v="2014-04-24T00:00:00"/>
    <s v="as\afok"/>
    <m/>
    <s v="2013"/>
    <m/>
    <m/>
    <m/>
    <m/>
    <m/>
    <x v="0"/>
    <x v="0"/>
    <x v="0"/>
    <x v="0"/>
    <x v="2"/>
    <x v="118"/>
    <x v="55"/>
    <x v="100"/>
    <x v="125"/>
    <x v="117"/>
    <x v="0"/>
    <x v="0"/>
    <x v="0"/>
    <x v="0"/>
    <x v="0"/>
    <m/>
    <x v="0"/>
    <x v="0"/>
    <x v="0"/>
    <x v="0"/>
    <m/>
    <m/>
    <m/>
    <n v="1"/>
    <m/>
    <m/>
    <s v="FP"/>
    <s v="CP"/>
    <m/>
    <m/>
    <s v="FP CP Both"/>
    <x v="1"/>
    <x v="1"/>
    <m/>
    <x v="0"/>
  </r>
  <r>
    <n v="1809"/>
    <x v="155"/>
    <x v="155"/>
    <x v="146"/>
    <x v="0"/>
    <x v="18"/>
    <n v="1766"/>
    <x v="4"/>
    <m/>
    <m/>
    <s v="Supplier"/>
    <m/>
    <x v="653"/>
    <s v="LOMAK-DEVELOPMENT AND SUPPLY AGREEMENT-12032009.pdf"/>
    <s v=".pdf"/>
    <d v="2014-04-09T00:00:00"/>
    <s v="as\afok"/>
    <m/>
    <s v="FHA 00 016 ind.0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n v="1"/>
    <m/>
    <m/>
    <n v="1"/>
    <m/>
    <m/>
    <s v="FP"/>
    <m/>
    <s v="SP"/>
    <s v="MOULD"/>
    <s v="FP SP MOULD "/>
    <x v="0"/>
    <x v="1"/>
    <m/>
    <x v="10"/>
  </r>
  <r>
    <n v="1802"/>
    <x v="155"/>
    <x v="155"/>
    <x v="146"/>
    <x v="0"/>
    <x v="18"/>
    <n v="1759"/>
    <x v="4"/>
    <m/>
    <m/>
    <s v="Supplier"/>
    <m/>
    <x v="11"/>
    <s v="Lomak_General Agreement_17Feb12.pdf"/>
    <s v=".pdf"/>
    <d v="2014-04-09T00:00:00"/>
    <s v="as\afok"/>
    <m/>
    <s v="FHA 00 016 ind.11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n v="1"/>
    <m/>
    <m/>
    <n v="1"/>
    <m/>
    <m/>
    <s v="FP"/>
    <m/>
    <s v="SP"/>
    <s v="MOULD"/>
    <s v="FP SP MOULD "/>
    <x v="0"/>
    <x v="1"/>
    <m/>
    <x v="10"/>
  </r>
  <r>
    <n v="1810"/>
    <x v="155"/>
    <x v="155"/>
    <x v="146"/>
    <x v="0"/>
    <x v="18"/>
    <n v="1767"/>
    <x v="5"/>
    <m/>
    <m/>
    <s v="Supplier"/>
    <m/>
    <x v="653"/>
    <s v="LOMAK-APPENDIX 3-12032009.PDF"/>
    <s v=".pdf"/>
    <d v="2014-04-09T00:00:00"/>
    <s v="as\afok"/>
    <m/>
    <m/>
    <m/>
    <m/>
    <m/>
    <n v="0"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n v="1"/>
    <m/>
    <n v="1"/>
    <n v="1"/>
    <m/>
    <s v="FP"/>
    <m/>
    <s v="SP"/>
    <s v="MOULD"/>
    <s v="FP SP MOULD "/>
    <x v="0"/>
    <x v="1"/>
    <m/>
    <x v="10"/>
  </r>
  <r>
    <n v="1805"/>
    <x v="155"/>
    <x v="155"/>
    <x v="146"/>
    <x v="0"/>
    <x v="18"/>
    <n v="1762"/>
    <x v="5"/>
    <m/>
    <m/>
    <s v="Supplier"/>
    <m/>
    <x v="11"/>
    <s v="Lomak_General Agreement_17Feb12.pdf"/>
    <s v=".pdf"/>
    <d v="2014-04-09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n v="1"/>
    <m/>
    <n v="1"/>
    <m/>
    <m/>
    <s v="FP"/>
    <m/>
    <s v="SP"/>
    <s v="MOULD"/>
    <s v="FP SP MOULD "/>
    <x v="0"/>
    <x v="1"/>
    <m/>
    <x v="10"/>
  </r>
  <r>
    <n v="1804"/>
    <x v="155"/>
    <x v="155"/>
    <x v="146"/>
    <x v="0"/>
    <x v="18"/>
    <n v="1761"/>
    <x v="6"/>
    <m/>
    <m/>
    <s v="Supplier"/>
    <m/>
    <x v="11"/>
    <s v="Lomak_General Agreement_17Feb12.pdf"/>
    <s v=".pdf"/>
    <d v="2014-04-09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n v="1"/>
    <n v="1"/>
    <m/>
    <m/>
    <s v="FP"/>
    <m/>
    <s v="SP"/>
    <s v="MOULD"/>
    <s v="FP SP MOULD "/>
    <x v="0"/>
    <x v="1"/>
    <m/>
    <x v="10"/>
  </r>
  <r>
    <n v="1806"/>
    <x v="155"/>
    <x v="155"/>
    <x v="146"/>
    <x v="0"/>
    <x v="18"/>
    <n v="1763"/>
    <x v="10"/>
    <m/>
    <m/>
    <s v="Supplier"/>
    <m/>
    <x v="173"/>
    <s v="Lomak_General Agreement_17Feb12.pdf"/>
    <s v=".pdf"/>
    <d v="2014-04-0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m/>
    <s v="SP"/>
    <s v="MOULD"/>
    <s v="FP SP MOULD "/>
    <x v="0"/>
    <x v="1"/>
    <m/>
    <x v="10"/>
  </r>
  <r>
    <n v="1803"/>
    <x v="155"/>
    <x v="155"/>
    <x v="146"/>
    <x v="0"/>
    <x v="18"/>
    <n v="1760"/>
    <x v="7"/>
    <m/>
    <m/>
    <s v="Supplier"/>
    <m/>
    <x v="173"/>
    <s v="Lomak_General Agreement_17Feb12.pdf"/>
    <s v=".pdf"/>
    <d v="2014-04-09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m/>
    <s v="SP"/>
    <s v="MOULD"/>
    <s v="FP SP MOULD "/>
    <x v="0"/>
    <x v="1"/>
    <m/>
    <x v="10"/>
  </r>
  <r>
    <n v="1800"/>
    <x v="155"/>
    <x v="155"/>
    <x v="146"/>
    <x v="0"/>
    <x v="18"/>
    <n v="1757"/>
    <x v="8"/>
    <m/>
    <m/>
    <s v="Supplier"/>
    <m/>
    <x v="68"/>
    <s v="Lomak RPC 25Mar2013.pdf"/>
    <s v=".pdf"/>
    <d v="2014-04-0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m/>
    <s v="SP"/>
    <s v="MOULD"/>
    <s v="FP SP MOULD "/>
    <x v="0"/>
    <x v="1"/>
    <m/>
    <x v="10"/>
  </r>
  <r>
    <n v="1799"/>
    <x v="155"/>
    <x v="155"/>
    <x v="146"/>
    <x v="0"/>
    <x v="18"/>
    <n v="1756"/>
    <x v="1"/>
    <m/>
    <m/>
    <s v="Supplier"/>
    <m/>
    <x v="397"/>
    <s v="SEF Lomak 2013.XLSX"/>
    <s v=".xlsx"/>
    <d v="2014-04-09T00:00:00"/>
    <s v="as\afok"/>
    <m/>
    <s v="2013"/>
    <m/>
    <m/>
    <m/>
    <m/>
    <m/>
    <x v="0"/>
    <x v="0"/>
    <x v="0"/>
    <x v="8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m/>
    <s v="SP"/>
    <s v="MOULD"/>
    <s v="FP SP MOULD "/>
    <x v="0"/>
    <x v="1"/>
    <m/>
    <x v="10"/>
  </r>
  <r>
    <n v="1801"/>
    <x v="155"/>
    <x v="155"/>
    <x v="146"/>
    <x v="0"/>
    <x v="18"/>
    <n v="1758"/>
    <x v="1"/>
    <m/>
    <m/>
    <s v="Supplier"/>
    <m/>
    <x v="47"/>
    <s v="SEF - Lomak 2012.xlsx"/>
    <s v=".xlsx"/>
    <d v="2014-04-09T00:00:00"/>
    <s v="as\afok"/>
    <m/>
    <s v="2012"/>
    <m/>
    <m/>
    <m/>
    <m/>
    <m/>
    <x v="0"/>
    <x v="0"/>
    <x v="0"/>
    <x v="3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m/>
    <s v="SP"/>
    <s v="MOULD"/>
    <s v="FP SP MOULD "/>
    <x v="0"/>
    <x v="1"/>
    <m/>
    <x v="10"/>
  </r>
  <r>
    <n v="1807"/>
    <x v="155"/>
    <x v="155"/>
    <x v="146"/>
    <x v="0"/>
    <x v="18"/>
    <n v="1764"/>
    <x v="2"/>
    <m/>
    <m/>
    <s v="Supplier"/>
    <m/>
    <x v="559"/>
    <s v="Lomak_SIF2012_29Feb12.pdf"/>
    <s v=".pdf"/>
    <d v="2014-04-09T00:00:00"/>
    <s v="as\afok"/>
    <m/>
    <s v="2012"/>
    <m/>
    <m/>
    <m/>
    <m/>
    <m/>
    <x v="0"/>
    <x v="0"/>
    <x v="0"/>
    <x v="0"/>
    <x v="1"/>
    <x v="4"/>
    <x v="35"/>
    <x v="88"/>
    <x v="13"/>
    <x v="42"/>
    <x v="8"/>
    <x v="85"/>
    <x v="75"/>
    <x v="37"/>
    <x v="65"/>
    <s v="FP panel"/>
    <x v="1"/>
    <x v="2"/>
    <x v="0"/>
    <x v="0"/>
    <m/>
    <m/>
    <m/>
    <n v="1"/>
    <m/>
    <m/>
    <s v="FP"/>
    <m/>
    <s v="SP"/>
    <s v="MOULD"/>
    <s v="FP SP MOULD "/>
    <x v="3"/>
    <x v="1"/>
    <m/>
    <x v="10"/>
  </r>
  <r>
    <n v="1808"/>
    <x v="155"/>
    <x v="155"/>
    <x v="146"/>
    <x v="0"/>
    <x v="18"/>
    <n v="1765"/>
    <x v="3"/>
    <m/>
    <m/>
    <s v="Supplier"/>
    <m/>
    <x v="615"/>
    <s v="SPR Lomak_Nov2011.pptx"/>
    <s v=".pptx"/>
    <d v="2014-04-09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m/>
    <s v="SP"/>
    <s v="MOULD"/>
    <s v="FP SP MOULD "/>
    <x v="0"/>
    <x v="1"/>
    <m/>
    <x v="10"/>
  </r>
  <r>
    <n v="1287"/>
    <x v="156"/>
    <x v="156"/>
    <x v="147"/>
    <x v="2"/>
    <x v="2"/>
    <n v="1257"/>
    <x v="4"/>
    <m/>
    <m/>
    <s v="Supplier"/>
    <m/>
    <x v="307"/>
    <s v="Lundar_General Agreement_ind.11_2012-05-22.pdf"/>
    <s v=".pdf"/>
    <d v="2014-03-28T00:00:00"/>
    <s v="as\afok"/>
    <m/>
    <s v="FHA 00 016 ind.11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m/>
    <s v="SP"/>
    <s v="MOULD"/>
    <s v="FP SP MOULD "/>
    <x v="0"/>
    <x v="1"/>
    <m/>
    <x v="45"/>
  </r>
  <r>
    <n v="1291"/>
    <x v="156"/>
    <x v="156"/>
    <x v="147"/>
    <x v="2"/>
    <x v="2"/>
    <n v="1261"/>
    <x v="5"/>
    <m/>
    <m/>
    <s v="Supplier"/>
    <m/>
    <x v="503"/>
    <s v="Lundar_General Agreement_ind.11_2012-05-22.pdf"/>
    <s v=".pdf"/>
    <d v="2014-03-28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m/>
    <s v="SP"/>
    <s v="MOULD"/>
    <s v="FP SP MOULD "/>
    <x v="0"/>
    <x v="1"/>
    <m/>
    <x v="45"/>
  </r>
  <r>
    <n v="1289"/>
    <x v="156"/>
    <x v="156"/>
    <x v="147"/>
    <x v="2"/>
    <x v="2"/>
    <n v="1259"/>
    <x v="6"/>
    <m/>
    <m/>
    <s v="Supplier"/>
    <m/>
    <x v="307"/>
    <s v="Lundar_General Agreement_ind.11_2012-05-22.pdf"/>
    <s v=".pdf"/>
    <d v="2014-03-28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m/>
    <s v="SP"/>
    <s v="MOULD"/>
    <s v="FP SP MOULD "/>
    <x v="0"/>
    <x v="1"/>
    <m/>
    <x v="45"/>
  </r>
  <r>
    <n v="1290"/>
    <x v="156"/>
    <x v="156"/>
    <x v="147"/>
    <x v="2"/>
    <x v="2"/>
    <n v="1260"/>
    <x v="10"/>
    <m/>
    <m/>
    <s v="Supplier"/>
    <m/>
    <x v="642"/>
    <s v="Lundar_General Agreement_ind.11_2012-05-22.pdf"/>
    <s v=".pdf"/>
    <d v="2014-03-2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45"/>
  </r>
  <r>
    <n v="1288"/>
    <x v="156"/>
    <x v="156"/>
    <x v="147"/>
    <x v="2"/>
    <x v="2"/>
    <n v="1258"/>
    <x v="7"/>
    <m/>
    <m/>
    <s v="Supplier"/>
    <m/>
    <x v="307"/>
    <s v="Lundar_General Agreement_ind.11_2012-05-22.pdf"/>
    <s v=".pdf"/>
    <d v="2014-03-28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45"/>
  </r>
  <r>
    <n v="1284"/>
    <x v="156"/>
    <x v="156"/>
    <x v="147"/>
    <x v="2"/>
    <x v="2"/>
    <n v="1254"/>
    <x v="11"/>
    <m/>
    <m/>
    <s v="Supplier"/>
    <m/>
    <x v="510"/>
    <s v="Lundar Exclusivity Summary 2011-11-01.xlsx"/>
    <s v=".xlsx"/>
    <d v="2014-03-28T00:00:00"/>
    <s v="as\afok"/>
    <s v="Exclusivity Summary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45"/>
  </r>
  <r>
    <n v="1286"/>
    <x v="156"/>
    <x v="156"/>
    <x v="147"/>
    <x v="2"/>
    <x v="2"/>
    <n v="1256"/>
    <x v="11"/>
    <m/>
    <m/>
    <s v="Product / Project"/>
    <m/>
    <x v="143"/>
    <s v="Lundar_EA_Vertical Rotisserie_20Mar12.pdf"/>
    <s v=".pdf"/>
    <d v="2014-03-28T00:00:00"/>
    <s v="as\afok"/>
    <m/>
    <m/>
    <m/>
    <m/>
    <m/>
    <m/>
    <s v="Vertical Rotisserie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45"/>
  </r>
  <r>
    <n v="1294"/>
    <x v="156"/>
    <x v="156"/>
    <x v="147"/>
    <x v="2"/>
    <x v="2"/>
    <n v="1264"/>
    <x v="11"/>
    <m/>
    <m/>
    <s v="Product / Project"/>
    <m/>
    <x v="109"/>
    <s v="Lundar_Exclusivity Agreement_Food dehydrator_24Nov11.pdf"/>
    <s v=".pdf"/>
    <d v="2014-03-28T00:00:00"/>
    <s v="as\afok"/>
    <m/>
    <s v="FRD 6E 030 ind.00"/>
    <m/>
    <m/>
    <m/>
    <m/>
    <s v="Food dehydrator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n v="1"/>
    <m/>
    <s v="FP"/>
    <m/>
    <s v="SP"/>
    <s v="MOULD"/>
    <s v="FP SP MOULD "/>
    <x v="0"/>
    <x v="1"/>
    <m/>
    <x v="45"/>
  </r>
  <r>
    <n v="1293"/>
    <x v="156"/>
    <x v="156"/>
    <x v="147"/>
    <x v="2"/>
    <x v="2"/>
    <n v="1263"/>
    <x v="12"/>
    <m/>
    <m/>
    <s v="Product / Project"/>
    <m/>
    <x v="143"/>
    <s v="Lundar_IP_Vertical Rotisserie_20Mar12.pdf"/>
    <s v=".pdf"/>
    <d v="2014-03-28T00:00:00"/>
    <s v="as\afok"/>
    <m/>
    <m/>
    <m/>
    <m/>
    <m/>
    <m/>
    <s v="Vertical Rotisserie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45"/>
  </r>
  <r>
    <n v="1292"/>
    <x v="156"/>
    <x v="156"/>
    <x v="147"/>
    <x v="2"/>
    <x v="2"/>
    <n v="1262"/>
    <x v="8"/>
    <m/>
    <m/>
    <s v="Supplier"/>
    <m/>
    <x v="338"/>
    <s v="Lundar - Responsible Purchasing Charter.pdf"/>
    <s v=".pdf"/>
    <d v="2014-03-2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45"/>
  </r>
  <r>
    <n v="1285"/>
    <x v="156"/>
    <x v="156"/>
    <x v="147"/>
    <x v="2"/>
    <x v="2"/>
    <n v="1255"/>
    <x v="1"/>
    <m/>
    <m/>
    <s v="Supplier"/>
    <m/>
    <x v="150"/>
    <s v="Lundar SEF 2011.xlsx"/>
    <s v=".xlsx"/>
    <d v="2014-03-28T00:00:00"/>
    <s v="as\afok"/>
    <m/>
    <s v="2011"/>
    <m/>
    <m/>
    <m/>
    <m/>
    <m/>
    <x v="0"/>
    <x v="0"/>
    <x v="0"/>
    <x v="37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45"/>
  </r>
  <r>
    <n v="1283"/>
    <x v="156"/>
    <x v="156"/>
    <x v="147"/>
    <x v="2"/>
    <x v="2"/>
    <n v="1253"/>
    <x v="2"/>
    <n v="1"/>
    <m/>
    <s v="Supplier"/>
    <m/>
    <x v="27"/>
    <s v="Lundar - SIF 2013.xls"/>
    <s v=".xls"/>
    <d v="2014-03-28T00:00:00"/>
    <s v="as\afok"/>
    <m/>
    <s v="2013"/>
    <m/>
    <m/>
    <m/>
    <m/>
    <m/>
    <x v="0"/>
    <x v="0"/>
    <x v="0"/>
    <x v="0"/>
    <x v="2"/>
    <x v="119"/>
    <x v="152"/>
    <x v="0"/>
    <x v="0"/>
    <x v="0"/>
    <x v="0"/>
    <x v="86"/>
    <x v="0"/>
    <x v="0"/>
    <x v="0"/>
    <m/>
    <x v="0"/>
    <x v="0"/>
    <x v="0"/>
    <x v="0"/>
    <m/>
    <m/>
    <m/>
    <n v="1"/>
    <m/>
    <m/>
    <s v="FP"/>
    <m/>
    <s v="SP"/>
    <s v="MOULD"/>
    <s v="FP SP MOULD "/>
    <x v="3"/>
    <x v="1"/>
    <m/>
    <x v="45"/>
  </r>
  <r>
    <n v="39"/>
    <x v="157"/>
    <x v="157"/>
    <x v="148"/>
    <x v="2"/>
    <x v="15"/>
    <n v="33"/>
    <x v="4"/>
    <m/>
    <m/>
    <s v="Supplier"/>
    <d v="2015-12-31T00:00:00"/>
    <x v="255"/>
    <s v="Main Power_General Agreement (ind.10) 2013-02-07.pdf"/>
    <s v=".pdf"/>
    <d v="2014-03-04T00:00:00"/>
    <s v="as\afok"/>
    <m/>
    <s v="FHA00016 ind.10 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n v="1"/>
    <m/>
    <m/>
    <n v="0"/>
    <m/>
    <m/>
    <s v="FP"/>
    <s v="CP"/>
    <s v="SP"/>
    <s v="MOULD"/>
    <s v="FP CP SP MOULD Both"/>
    <x v="0"/>
    <x v="1"/>
    <n v="1"/>
    <x v="46"/>
  </r>
  <r>
    <n v="203"/>
    <x v="157"/>
    <x v="157"/>
    <x v="148"/>
    <x v="2"/>
    <x v="15"/>
    <n v="194"/>
    <x v="6"/>
    <m/>
    <m/>
    <s v="Supplier"/>
    <m/>
    <x v="584"/>
    <s v="Main Power_General Agreement (ind.10) 2013-02-07.pdf"/>
    <s v=".pdf"/>
    <d v="2014-03-11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n v="1"/>
    <n v="0"/>
    <m/>
    <m/>
    <s v="FP"/>
    <s v="CP"/>
    <s v="SP"/>
    <s v="MOULD"/>
    <s v="FP CP SP MOULD Both"/>
    <x v="0"/>
    <x v="1"/>
    <n v="1"/>
    <x v="46"/>
  </r>
  <r>
    <n v="571"/>
    <x v="157"/>
    <x v="157"/>
    <x v="148"/>
    <x v="2"/>
    <x v="15"/>
    <n v="556"/>
    <x v="10"/>
    <m/>
    <m/>
    <s v="Supplier"/>
    <m/>
    <x v="639"/>
    <s v="Main Power_General Agreement (ind.10) 2013-02-07.pdf"/>
    <s v=".pdf"/>
    <d v="2014-03-1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n v="1"/>
    <s v="FP"/>
    <s v="CP"/>
    <s v="SP"/>
    <s v="MOULD"/>
    <s v="FP CP SP MOULD Both"/>
    <x v="0"/>
    <x v="1"/>
    <n v="1"/>
    <x v="46"/>
  </r>
  <r>
    <n v="205"/>
    <x v="157"/>
    <x v="157"/>
    <x v="148"/>
    <x v="2"/>
    <x v="15"/>
    <n v="196"/>
    <x v="7"/>
    <m/>
    <m/>
    <s v="Supplier"/>
    <m/>
    <x v="654"/>
    <s v="MAINPOWER_Env_Evaluation_201003.xls"/>
    <s v=".xls"/>
    <d v="2014-03-11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46"/>
  </r>
  <r>
    <n v="204"/>
    <x v="157"/>
    <x v="157"/>
    <x v="148"/>
    <x v="2"/>
    <x v="15"/>
    <n v="195"/>
    <x v="7"/>
    <m/>
    <m/>
    <s v="Supplier"/>
    <m/>
    <x v="584"/>
    <s v="Main Power_General Agreement (ind.10) 2013-02-07.pdf"/>
    <s v=".pdf"/>
    <d v="2014-03-11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46"/>
  </r>
  <r>
    <n v="209"/>
    <x v="157"/>
    <x v="157"/>
    <x v="148"/>
    <x v="2"/>
    <x v="15"/>
    <n v="200"/>
    <x v="0"/>
    <m/>
    <m/>
    <s v="Supplier"/>
    <m/>
    <x v="655"/>
    <s v="Main Power - Food declaration 27May10.pdf"/>
    <s v=".pdf"/>
    <d v="2014-03-11T00:00:00"/>
    <s v="as\afok"/>
    <m/>
    <s v="FRD00069 ind.04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46"/>
  </r>
  <r>
    <n v="207"/>
    <x v="157"/>
    <x v="157"/>
    <x v="148"/>
    <x v="2"/>
    <x v="15"/>
    <n v="198"/>
    <x v="13"/>
    <m/>
    <m/>
    <s v="Supplier"/>
    <d v="2014-05-25T00:00:00"/>
    <x v="332"/>
    <s v="ISO14001-2004 Certificate CC5333.pdf"/>
    <s v=".pdf"/>
    <d v="2014-03-1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46"/>
  </r>
  <r>
    <n v="206"/>
    <x v="157"/>
    <x v="157"/>
    <x v="148"/>
    <x v="2"/>
    <x v="15"/>
    <n v="197"/>
    <x v="14"/>
    <m/>
    <m/>
    <s v="Supplier"/>
    <d v="2012-01-21T00:00:00"/>
    <x v="656"/>
    <s v="ISO9001-2008  Certificate CC3777.pdf"/>
    <s v=".pdf"/>
    <d v="2014-03-1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46"/>
  </r>
  <r>
    <n v="212"/>
    <x v="157"/>
    <x v="157"/>
    <x v="148"/>
    <x v="2"/>
    <x v="15"/>
    <n v="203"/>
    <x v="9"/>
    <m/>
    <m/>
    <s v="Product / Project"/>
    <m/>
    <x v="232"/>
    <s v="Main Power - LOC (ZEPHIR) 7May10.pdf"/>
    <s v=".pdf"/>
    <d v="2014-03-11T00:00:00"/>
    <s v="as\afok"/>
    <m/>
    <m/>
    <m/>
    <m/>
    <m/>
    <m/>
    <s v="ZEPHIR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46"/>
  </r>
  <r>
    <n v="210"/>
    <x v="157"/>
    <x v="157"/>
    <x v="148"/>
    <x v="2"/>
    <x v="15"/>
    <n v="201"/>
    <x v="9"/>
    <m/>
    <m/>
    <s v="Supplier"/>
    <m/>
    <x v="232"/>
    <s v="Main Power - LOC (HAMBOURG) 7May10.pdf"/>
    <s v=".pdf"/>
    <d v="2014-03-11T00:00:00"/>
    <s v="as\afok"/>
    <s v="HAMBOURG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46"/>
  </r>
  <r>
    <n v="211"/>
    <x v="157"/>
    <x v="157"/>
    <x v="148"/>
    <x v="2"/>
    <x v="15"/>
    <n v="202"/>
    <x v="9"/>
    <m/>
    <m/>
    <s v="Product / Project"/>
    <m/>
    <x v="657"/>
    <s v="Main Power - LOC (HBX) 20Dec10.pdf"/>
    <s v=".pdf"/>
    <d v="2014-03-11T00:00:00"/>
    <s v="as\afok"/>
    <s v="_x000d__x000a_"/>
    <m/>
    <m/>
    <m/>
    <m/>
    <m/>
    <s v="HBX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46"/>
  </r>
  <r>
    <n v="214"/>
    <x v="157"/>
    <x v="157"/>
    <x v="148"/>
    <x v="2"/>
    <x v="15"/>
    <n v="205"/>
    <x v="8"/>
    <m/>
    <m/>
    <s v="Supplier"/>
    <m/>
    <x v="247"/>
    <s v="Main Power - Responsible.Purchasing.Charter (ENG).pdf"/>
    <s v=".pdf"/>
    <d v="2014-03-11T00:00:00"/>
    <s v="as\afok"/>
    <s v="English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46"/>
  </r>
  <r>
    <n v="213"/>
    <x v="157"/>
    <x v="157"/>
    <x v="148"/>
    <x v="2"/>
    <x v="15"/>
    <n v="204"/>
    <x v="8"/>
    <m/>
    <m/>
    <s v="Supplier"/>
    <m/>
    <x v="247"/>
    <s v="Main Power - Responsible.Purchasing.Charter (CH).pdf"/>
    <s v=".pdf"/>
    <d v="2014-03-11T00:00:00"/>
    <s v="as\afok"/>
    <s v="Chinese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46"/>
  </r>
  <r>
    <n v="220"/>
    <x v="157"/>
    <x v="157"/>
    <x v="148"/>
    <x v="2"/>
    <x v="15"/>
    <n v="211"/>
    <x v="1"/>
    <m/>
    <m/>
    <s v="Supplier"/>
    <m/>
    <x v="620"/>
    <s v="SEF-Main Power 2013 Jun.xlsx"/>
    <s v=".xlsx"/>
    <d v="2014-03-12T00:00:00"/>
    <s v="as\afok"/>
    <m/>
    <s v="2013"/>
    <m/>
    <m/>
    <m/>
    <m/>
    <m/>
    <x v="0"/>
    <x v="0"/>
    <x v="0"/>
    <x v="23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46"/>
  </r>
  <r>
    <n v="218"/>
    <x v="157"/>
    <x v="157"/>
    <x v="148"/>
    <x v="2"/>
    <x v="15"/>
    <n v="209"/>
    <x v="1"/>
    <m/>
    <m/>
    <s v="Supplier"/>
    <m/>
    <x v="658"/>
    <s v="MAIN POWER_ SEF_JUN 2012.xlsx"/>
    <s v=".xlsx"/>
    <d v="2014-03-11T00:00:00"/>
    <s v="as\afok"/>
    <m/>
    <s v="2012"/>
    <m/>
    <m/>
    <m/>
    <m/>
    <m/>
    <x v="0"/>
    <x v="0"/>
    <x v="0"/>
    <x v="16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46"/>
  </r>
  <r>
    <n v="219"/>
    <x v="157"/>
    <x v="157"/>
    <x v="148"/>
    <x v="2"/>
    <x v="15"/>
    <n v="210"/>
    <x v="2"/>
    <m/>
    <m/>
    <s v="Supplier"/>
    <m/>
    <x v="495"/>
    <s v="MAIN POWER_SIF 2012_16Mar12.xls"/>
    <s v=".xls"/>
    <d v="2014-03-12T00:00:00"/>
    <s v="as\afok"/>
    <m/>
    <s v="2012"/>
    <m/>
    <m/>
    <m/>
    <m/>
    <m/>
    <x v="0"/>
    <x v="0"/>
    <x v="0"/>
    <x v="0"/>
    <x v="1"/>
    <x v="99"/>
    <x v="153"/>
    <x v="138"/>
    <x v="82"/>
    <x v="118"/>
    <x v="10"/>
    <x v="8"/>
    <x v="62"/>
    <x v="68"/>
    <x v="4"/>
    <s v="FP panel Top 15"/>
    <x v="1"/>
    <x v="2"/>
    <x v="0"/>
    <x v="0"/>
    <m/>
    <m/>
    <m/>
    <n v="0"/>
    <m/>
    <m/>
    <s v="FP"/>
    <s v="CP"/>
    <s v="SP"/>
    <s v="MOULD"/>
    <s v="FP CP SP MOULD Both"/>
    <x v="1"/>
    <x v="1"/>
    <n v="1"/>
    <x v="46"/>
  </r>
  <r>
    <n v="208"/>
    <x v="157"/>
    <x v="157"/>
    <x v="148"/>
    <x v="2"/>
    <x v="15"/>
    <n v="199"/>
    <x v="2"/>
    <n v="1"/>
    <m/>
    <s v="Supplier"/>
    <m/>
    <x v="180"/>
    <s v="Main Power - FHA6E502_EN_-_SIF 2013.xlsx"/>
    <s v=".xlsx"/>
    <d v="2014-03-11T00:00:00"/>
    <s v="as\afok"/>
    <m/>
    <s v="2013"/>
    <m/>
    <m/>
    <m/>
    <m/>
    <m/>
    <x v="0"/>
    <x v="0"/>
    <x v="0"/>
    <x v="0"/>
    <x v="2"/>
    <x v="99"/>
    <x v="153"/>
    <x v="138"/>
    <x v="82"/>
    <x v="118"/>
    <x v="0"/>
    <x v="87"/>
    <x v="76"/>
    <x v="68"/>
    <x v="4"/>
    <s v="FP panel Top 15"/>
    <x v="1"/>
    <x v="2"/>
    <x v="0"/>
    <x v="0"/>
    <m/>
    <m/>
    <m/>
    <n v="0"/>
    <m/>
    <m/>
    <s v="FP"/>
    <s v="CP"/>
    <s v="SP"/>
    <s v="MOULD"/>
    <s v="FP CP SP MOULD Both"/>
    <x v="1"/>
    <x v="1"/>
    <n v="1"/>
    <x v="46"/>
  </r>
  <r>
    <n v="222"/>
    <x v="157"/>
    <x v="157"/>
    <x v="148"/>
    <x v="2"/>
    <x v="15"/>
    <n v="213"/>
    <x v="17"/>
    <m/>
    <m/>
    <s v="Supplier"/>
    <m/>
    <x v="383"/>
    <s v="SEB Asia-SZXWT00675955-Main Power Industrial (Shen Zhen) Co  Ltd -Mar 13 2013-Report.pdf"/>
    <s v=".pdf"/>
    <d v="2014-03-12T00:00:00"/>
    <s v="as\afok"/>
    <m/>
    <m/>
    <m/>
    <m/>
    <m/>
    <m/>
    <m/>
    <x v="2"/>
    <x v="1"/>
    <x v="2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46"/>
  </r>
  <r>
    <n v="215"/>
    <x v="157"/>
    <x v="157"/>
    <x v="148"/>
    <x v="2"/>
    <x v="15"/>
    <n v="206"/>
    <x v="17"/>
    <m/>
    <m/>
    <s v="Supplier"/>
    <m/>
    <x v="211"/>
    <s v="Main Power Social Audit Letter with Major - 20130523.pdf"/>
    <s v=".pdf"/>
    <d v="2014-03-11T00:00:00"/>
    <s v="as\afok"/>
    <s v="Social Audit Letter_x000d__x000a_"/>
    <m/>
    <m/>
    <m/>
    <m/>
    <m/>
    <m/>
    <x v="1"/>
    <x v="1"/>
    <x v="2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46"/>
  </r>
  <r>
    <n v="221"/>
    <x v="157"/>
    <x v="157"/>
    <x v="148"/>
    <x v="2"/>
    <x v="15"/>
    <n v="212"/>
    <x v="22"/>
    <m/>
    <m/>
    <s v="Supplier"/>
    <m/>
    <x v="383"/>
    <s v="SEB Asia-SZXWT00675955-Main Power Industrial (Shen Zhen) Co  Ltd -Mar 13 2013-CAP.DOC"/>
    <s v=".doc"/>
    <d v="2014-03-12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46"/>
  </r>
  <r>
    <n v="217"/>
    <x v="157"/>
    <x v="157"/>
    <x v="148"/>
    <x v="2"/>
    <x v="15"/>
    <n v="208"/>
    <x v="3"/>
    <m/>
    <m/>
    <s v="Supplier"/>
    <m/>
    <x v="651"/>
    <s v="Main Power VPI Sept_2012 v2 - SPR.pptx"/>
    <s v=".pptx"/>
    <d v="2014-03-11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46"/>
  </r>
  <r>
    <n v="216"/>
    <x v="157"/>
    <x v="157"/>
    <x v="148"/>
    <x v="2"/>
    <x v="15"/>
    <n v="207"/>
    <x v="3"/>
    <m/>
    <m/>
    <s v="Supplier"/>
    <m/>
    <x v="659"/>
    <s v="Main Power SPR 2013 v1 after meeting on 20131004.pptx"/>
    <s v=".pptx"/>
    <d v="2014-03-11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46"/>
  </r>
  <r>
    <n v="2083"/>
    <x v="158"/>
    <x v="158"/>
    <x v="149"/>
    <x v="4"/>
    <x v="14"/>
    <n v="2026"/>
    <x v="4"/>
    <m/>
    <m/>
    <s v="Supplier"/>
    <m/>
    <x v="660"/>
    <s v="Purchase_agreement_Malaplast.pdf"/>
    <s v=".pdf"/>
    <d v="2014-04-11T00:00:00"/>
    <s v="as\afok"/>
    <m/>
    <s v="V5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m/>
    <s v="CP"/>
    <m/>
    <m/>
    <s v="CP "/>
    <x v="0"/>
    <x v="1"/>
    <m/>
    <x v="2"/>
  </r>
  <r>
    <n v="2078"/>
    <x v="158"/>
    <x v="158"/>
    <x v="149"/>
    <x v="4"/>
    <x v="14"/>
    <n v="2021"/>
    <x v="4"/>
    <m/>
    <m/>
    <s v="Supplier"/>
    <m/>
    <x v="625"/>
    <s v="Agreement_Malaplast_V8_22-Jan-2014.pdf"/>
    <s v=".pdf"/>
    <d v="2014-04-11T00:00:00"/>
    <s v="as\afok"/>
    <m/>
    <s v="V8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m/>
    <s v="CP"/>
    <m/>
    <m/>
    <s v="CP "/>
    <x v="0"/>
    <x v="1"/>
    <m/>
    <x v="2"/>
  </r>
  <r>
    <n v="2079"/>
    <x v="158"/>
    <x v="158"/>
    <x v="149"/>
    <x v="4"/>
    <x v="14"/>
    <n v="2022"/>
    <x v="5"/>
    <m/>
    <m/>
    <s v="Supplier"/>
    <m/>
    <x v="406"/>
    <s v="Quality_appendix_Malaplast_2013.tif"/>
    <s v=".tif"/>
    <d v="2014-04-11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m/>
    <s v="CP"/>
    <m/>
    <m/>
    <s v="CP "/>
    <x v="0"/>
    <x v="1"/>
    <m/>
    <x v="2"/>
  </r>
  <r>
    <n v="2084"/>
    <x v="158"/>
    <x v="158"/>
    <x v="149"/>
    <x v="4"/>
    <x v="14"/>
    <n v="2027"/>
    <x v="5"/>
    <m/>
    <m/>
    <s v="Supplier"/>
    <m/>
    <x v="661"/>
    <s v="Purchase_agreement_Malaplast.pdf"/>
    <s v=".pdf"/>
    <d v="2014-04-11T00:00:00"/>
    <s v="as\afok"/>
    <m/>
    <s v="FHA00 014 ind.07"/>
    <m/>
    <m/>
    <m/>
    <n v="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m/>
    <s v="CP"/>
    <m/>
    <m/>
    <s v="CP "/>
    <x v="0"/>
    <x v="1"/>
    <m/>
    <x v="2"/>
  </r>
  <r>
    <n v="2080"/>
    <x v="158"/>
    <x v="158"/>
    <x v="149"/>
    <x v="4"/>
    <x v="14"/>
    <n v="2023"/>
    <x v="13"/>
    <m/>
    <m/>
    <s v="Supplier"/>
    <d v="2012-06-28T00:00:00"/>
    <x v="662"/>
    <s v="Malaplast_ISO14001_08Apr2019.pdf"/>
    <s v=".pdf"/>
    <d v="2014-04-1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2"/>
  </r>
  <r>
    <n v="2082"/>
    <x v="158"/>
    <x v="158"/>
    <x v="149"/>
    <x v="4"/>
    <x v="14"/>
    <n v="2025"/>
    <x v="8"/>
    <m/>
    <m/>
    <s v="Supplier"/>
    <m/>
    <x v="663"/>
    <s v="Malaplast_Responsible_Purchasing_Charter_31Oct12.pdf"/>
    <s v=".pdf"/>
    <d v="2014-04-1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2"/>
  </r>
  <r>
    <n v="2081"/>
    <x v="158"/>
    <x v="158"/>
    <x v="149"/>
    <x v="4"/>
    <x v="14"/>
    <n v="2024"/>
    <x v="8"/>
    <m/>
    <m/>
    <s v="Supplier"/>
    <m/>
    <x v="338"/>
    <s v="Malaplast_Responsible_Purchasing_Charter_14Aug12.PDF"/>
    <s v=".pdf"/>
    <d v="2014-04-1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2"/>
  </r>
  <r>
    <n v="2086"/>
    <x v="158"/>
    <x v="158"/>
    <x v="149"/>
    <x v="4"/>
    <x v="14"/>
    <n v="2029"/>
    <x v="1"/>
    <m/>
    <m/>
    <s v="Supplier"/>
    <m/>
    <x v="265"/>
    <s v="Malaplast_SEF_Dec2011_R2.xlsx"/>
    <s v=".xlsx"/>
    <d v="2014-04-11T00:00:00"/>
    <s v="as\afok"/>
    <m/>
    <s v="2011"/>
    <m/>
    <m/>
    <m/>
    <m/>
    <m/>
    <x v="0"/>
    <x v="0"/>
    <x v="0"/>
    <x v="15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n v="1"/>
    <m/>
    <m/>
    <s v="CP"/>
    <m/>
    <m/>
    <s v="CP "/>
    <x v="0"/>
    <x v="1"/>
    <m/>
    <x v="2"/>
  </r>
  <r>
    <n v="2085"/>
    <x v="158"/>
    <x v="158"/>
    <x v="149"/>
    <x v="4"/>
    <x v="14"/>
    <n v="2028"/>
    <x v="2"/>
    <m/>
    <m/>
    <s v="Supplier"/>
    <m/>
    <x v="66"/>
    <s v="Malaplast_SIF2012_20APR12.xlsx"/>
    <s v=".xlsx"/>
    <d v="2014-04-11T00:00:00"/>
    <s v="as\afok"/>
    <m/>
    <s v="2012"/>
    <m/>
    <m/>
    <m/>
    <m/>
    <m/>
    <x v="0"/>
    <x v="0"/>
    <x v="0"/>
    <x v="0"/>
    <x v="5"/>
    <x v="120"/>
    <x v="154"/>
    <x v="0"/>
    <x v="0"/>
    <x v="0"/>
    <x v="0"/>
    <x v="88"/>
    <x v="0"/>
    <x v="0"/>
    <x v="0"/>
    <m/>
    <x v="0"/>
    <x v="0"/>
    <x v="0"/>
    <x v="0"/>
    <m/>
    <m/>
    <m/>
    <n v="1"/>
    <m/>
    <m/>
    <m/>
    <s v="CP"/>
    <m/>
    <m/>
    <s v="CP "/>
    <x v="2"/>
    <x v="1"/>
    <m/>
    <x v="2"/>
  </r>
  <r>
    <n v="1038"/>
    <x v="159"/>
    <x v="159"/>
    <x v="150"/>
    <x v="1"/>
    <x v="11"/>
    <n v="1015"/>
    <x v="4"/>
    <m/>
    <m/>
    <s v="Supplier"/>
    <m/>
    <x v="191"/>
    <s v="Maxtronix_General Agreement_V7.pdf"/>
    <s v=".pdf"/>
    <d v="2014-03-25T00:00:00"/>
    <s v="as\afok"/>
    <m/>
    <s v="V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0"/>
    <n v="1"/>
    <m/>
    <m/>
    <n v="1"/>
    <m/>
    <m/>
    <m/>
    <s v="CP"/>
    <m/>
    <s v="MOULD"/>
    <s v="CP MOULD "/>
    <x v="0"/>
    <x v="1"/>
    <m/>
    <x v="47"/>
  </r>
  <r>
    <n v="1041"/>
    <x v="159"/>
    <x v="159"/>
    <x v="150"/>
    <x v="1"/>
    <x v="11"/>
    <n v="1018"/>
    <x v="5"/>
    <m/>
    <m/>
    <s v="Supplier"/>
    <m/>
    <x v="159"/>
    <s v="Maxtronix_General Agreement_V7.pdf"/>
    <s v=".pdf"/>
    <d v="2014-03-25T00:00:00"/>
    <s v="as\afok"/>
    <m/>
    <m/>
    <m/>
    <m/>
    <m/>
    <n v="5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0"/>
    <m/>
    <n v="1"/>
    <m/>
    <n v="1"/>
    <m/>
    <m/>
    <m/>
    <s v="CP"/>
    <m/>
    <s v="MOULD"/>
    <s v="CP MOULD "/>
    <x v="0"/>
    <x v="1"/>
    <m/>
    <x v="47"/>
  </r>
  <r>
    <n v="1040"/>
    <x v="159"/>
    <x v="159"/>
    <x v="150"/>
    <x v="1"/>
    <x v="11"/>
    <n v="1017"/>
    <x v="6"/>
    <m/>
    <m/>
    <s v="Supplier"/>
    <m/>
    <x v="664"/>
    <s v="Maxtronix_General Agreement_V7.pdf"/>
    <s v=".pdf"/>
    <d v="2014-03-25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0"/>
    <m/>
    <m/>
    <n v="1"/>
    <n v="1"/>
    <m/>
    <m/>
    <m/>
    <s v="CP"/>
    <m/>
    <s v="MOULD"/>
    <s v="CP MOULD "/>
    <x v="0"/>
    <x v="1"/>
    <m/>
    <x v="47"/>
  </r>
  <r>
    <n v="1042"/>
    <x v="159"/>
    <x v="159"/>
    <x v="150"/>
    <x v="1"/>
    <x v="11"/>
    <n v="1019"/>
    <x v="10"/>
    <m/>
    <m/>
    <s v="Supplier"/>
    <m/>
    <x v="191"/>
    <s v="Maxtronix_General Agreement_V7.pdf"/>
    <s v=".pdf"/>
    <d v="2014-03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0"/>
    <m/>
    <m/>
    <m/>
    <n v="1"/>
    <m/>
    <m/>
    <m/>
    <s v="CP"/>
    <m/>
    <s v="MOULD"/>
    <s v="CP MOULD "/>
    <x v="0"/>
    <x v="1"/>
    <m/>
    <x v="47"/>
  </r>
  <r>
    <n v="1039"/>
    <x v="159"/>
    <x v="159"/>
    <x v="150"/>
    <x v="1"/>
    <x v="11"/>
    <n v="1016"/>
    <x v="7"/>
    <m/>
    <m/>
    <s v="Supplier"/>
    <m/>
    <x v="191"/>
    <s v="Maxtronix_General Agreement_V7.pdf"/>
    <s v=".pdf"/>
    <d v="2014-03-25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0"/>
    <m/>
    <m/>
    <m/>
    <n v="1"/>
    <m/>
    <m/>
    <m/>
    <s v="CP"/>
    <m/>
    <s v="MOULD"/>
    <s v="CP MOULD "/>
    <x v="0"/>
    <x v="1"/>
    <m/>
    <x v="47"/>
  </r>
  <r>
    <n v="1037"/>
    <x v="159"/>
    <x v="159"/>
    <x v="150"/>
    <x v="1"/>
    <x v="11"/>
    <n v="1014"/>
    <x v="7"/>
    <m/>
    <m/>
    <s v="Supplier"/>
    <m/>
    <x v="665"/>
    <s v="Maxtronix_EnvDeclaration2011.pdf"/>
    <s v=".pdf"/>
    <d v="2014-03-25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0"/>
    <m/>
    <m/>
    <m/>
    <n v="1"/>
    <m/>
    <m/>
    <m/>
    <s v="CP"/>
    <m/>
    <s v="MOULD"/>
    <s v="CP MOULD "/>
    <x v="0"/>
    <x v="1"/>
    <m/>
    <x v="47"/>
  </r>
  <r>
    <n v="1043"/>
    <x v="159"/>
    <x v="159"/>
    <x v="150"/>
    <x v="1"/>
    <x v="11"/>
    <n v="1020"/>
    <x v="8"/>
    <m/>
    <m/>
    <s v="Supplier"/>
    <m/>
    <x v="254"/>
    <s v="Maxtronix_Responsible_Purchasing_Charter_02Aug12.pdf"/>
    <s v=".pdf"/>
    <d v="2014-03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0"/>
    <m/>
    <m/>
    <m/>
    <n v="1"/>
    <m/>
    <m/>
    <m/>
    <s v="CP"/>
    <m/>
    <s v="MOULD"/>
    <s v="CP MOULD "/>
    <x v="0"/>
    <x v="1"/>
    <m/>
    <x v="47"/>
  </r>
  <r>
    <n v="1044"/>
    <x v="159"/>
    <x v="159"/>
    <x v="150"/>
    <x v="1"/>
    <x v="11"/>
    <n v="1021"/>
    <x v="1"/>
    <m/>
    <m/>
    <s v="Supplier"/>
    <m/>
    <x v="30"/>
    <s v="Maxtronix_SEF_2012.xlsx"/>
    <s v=".xlsx"/>
    <d v="2014-03-25T00:00:00"/>
    <s v="as\afok"/>
    <m/>
    <s v="2012"/>
    <m/>
    <m/>
    <m/>
    <m/>
    <m/>
    <x v="0"/>
    <x v="0"/>
    <x v="0"/>
    <x v="7"/>
    <x v="0"/>
    <x v="0"/>
    <x v="0"/>
    <x v="0"/>
    <x v="0"/>
    <x v="0"/>
    <x v="0"/>
    <x v="0"/>
    <x v="0"/>
    <x v="0"/>
    <x v="0"/>
    <s v="CP Panel"/>
    <x v="0"/>
    <x v="0"/>
    <x v="1"/>
    <x v="10"/>
    <m/>
    <m/>
    <m/>
    <n v="1"/>
    <m/>
    <m/>
    <m/>
    <s v="CP"/>
    <m/>
    <s v="MOULD"/>
    <s v="CP MOULD "/>
    <x v="0"/>
    <x v="1"/>
    <m/>
    <x v="47"/>
  </r>
  <r>
    <n v="1045"/>
    <x v="159"/>
    <x v="159"/>
    <x v="150"/>
    <x v="1"/>
    <x v="11"/>
    <n v="1022"/>
    <x v="1"/>
    <m/>
    <m/>
    <s v="Supplier"/>
    <m/>
    <x v="112"/>
    <s v="Maxtronix_SEF_2012-2.xlsx"/>
    <s v=".xlsx"/>
    <d v="2014-03-25T00:00:00"/>
    <s v="as\afok"/>
    <m/>
    <s v="2012"/>
    <m/>
    <m/>
    <m/>
    <m/>
    <m/>
    <x v="0"/>
    <x v="0"/>
    <x v="0"/>
    <x v="9"/>
    <x v="0"/>
    <x v="0"/>
    <x v="0"/>
    <x v="0"/>
    <x v="0"/>
    <x v="0"/>
    <x v="0"/>
    <x v="0"/>
    <x v="0"/>
    <x v="0"/>
    <x v="0"/>
    <s v="CP Panel"/>
    <x v="0"/>
    <x v="0"/>
    <x v="1"/>
    <x v="10"/>
    <m/>
    <m/>
    <m/>
    <n v="1"/>
    <m/>
    <m/>
    <m/>
    <s v="CP"/>
    <m/>
    <s v="MOULD"/>
    <s v="CP MOULD "/>
    <x v="0"/>
    <x v="1"/>
    <m/>
    <x v="47"/>
  </r>
  <r>
    <n v="1048"/>
    <x v="159"/>
    <x v="159"/>
    <x v="150"/>
    <x v="1"/>
    <x v="11"/>
    <n v="1025"/>
    <x v="1"/>
    <m/>
    <m/>
    <s v="Supplier"/>
    <m/>
    <x v="638"/>
    <s v="Maxtronix _SEF_201305-1.xls"/>
    <s v=".xls"/>
    <d v="2014-03-25T00:00:00"/>
    <s v="as\afok"/>
    <m/>
    <s v="2013"/>
    <m/>
    <m/>
    <m/>
    <m/>
    <m/>
    <x v="0"/>
    <x v="0"/>
    <x v="0"/>
    <x v="23"/>
    <x v="0"/>
    <x v="0"/>
    <x v="0"/>
    <x v="0"/>
    <x v="0"/>
    <x v="0"/>
    <x v="0"/>
    <x v="0"/>
    <x v="0"/>
    <x v="0"/>
    <x v="0"/>
    <s v="CP Panel"/>
    <x v="0"/>
    <x v="0"/>
    <x v="1"/>
    <x v="10"/>
    <m/>
    <m/>
    <m/>
    <n v="1"/>
    <n v="1"/>
    <m/>
    <m/>
    <s v="CP"/>
    <m/>
    <s v="MOULD"/>
    <s v="CP MOULD "/>
    <x v="0"/>
    <x v="1"/>
    <m/>
    <x v="47"/>
  </r>
  <r>
    <n v="1046"/>
    <x v="159"/>
    <x v="159"/>
    <x v="150"/>
    <x v="1"/>
    <x v="11"/>
    <n v="1023"/>
    <x v="2"/>
    <m/>
    <m/>
    <s v="Supplier"/>
    <m/>
    <x v="666"/>
    <s v="Maxtronix_SIF 2013.xlsx"/>
    <s v=".xlsx"/>
    <d v="2014-03-25T00:00:00"/>
    <s v="as\afok"/>
    <m/>
    <s v="2013"/>
    <m/>
    <m/>
    <m/>
    <m/>
    <m/>
    <x v="0"/>
    <x v="0"/>
    <x v="0"/>
    <x v="0"/>
    <x v="2"/>
    <x v="121"/>
    <x v="155"/>
    <x v="139"/>
    <x v="0"/>
    <x v="0"/>
    <x v="30"/>
    <x v="19"/>
    <x v="77"/>
    <x v="0"/>
    <x v="0"/>
    <s v="CP Panel"/>
    <x v="0"/>
    <x v="0"/>
    <x v="1"/>
    <x v="10"/>
    <m/>
    <m/>
    <m/>
    <n v="1"/>
    <m/>
    <m/>
    <m/>
    <s v="CP"/>
    <m/>
    <s v="MOULD"/>
    <s v="CP MOULD "/>
    <x v="2"/>
    <x v="1"/>
    <m/>
    <x v="47"/>
  </r>
  <r>
    <n v="1036"/>
    <x v="159"/>
    <x v="159"/>
    <x v="150"/>
    <x v="1"/>
    <x v="11"/>
    <n v="1013"/>
    <x v="3"/>
    <m/>
    <m/>
    <s v="Supplier"/>
    <m/>
    <x v="27"/>
    <s v="Maxtronix_SPR_2013_05.pptx"/>
    <s v=".pptx"/>
    <d v="2014-03-25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0"/>
    <m/>
    <m/>
    <m/>
    <n v="1"/>
    <m/>
    <m/>
    <m/>
    <s v="CP"/>
    <m/>
    <s v="MOULD"/>
    <s v="CP MOULD "/>
    <x v="0"/>
    <x v="1"/>
    <m/>
    <x v="47"/>
  </r>
  <r>
    <n v="1047"/>
    <x v="159"/>
    <x v="159"/>
    <x v="150"/>
    <x v="1"/>
    <x v="11"/>
    <n v="1024"/>
    <x v="3"/>
    <m/>
    <m/>
    <s v="Supplier"/>
    <m/>
    <x v="266"/>
    <s v="Maxtronix_SPR_Sept 2012.pptx"/>
    <s v=".pptx"/>
    <d v="2014-03-25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0"/>
    <m/>
    <m/>
    <m/>
    <n v="1"/>
    <m/>
    <m/>
    <m/>
    <s v="CP"/>
    <m/>
    <s v="MOULD"/>
    <s v="CP MOULD "/>
    <x v="0"/>
    <x v="1"/>
    <m/>
    <x v="47"/>
  </r>
  <r>
    <n v="624"/>
    <x v="160"/>
    <x v="160"/>
    <x v="151"/>
    <x v="1"/>
    <x v="13"/>
    <n v="607"/>
    <x v="4"/>
    <m/>
    <m/>
    <s v="Supplier"/>
    <m/>
    <x v="72"/>
    <s v="Merchant_General_agreement_JUN2012.pdf"/>
    <s v=".pdf"/>
    <d v="2014-03-19T00:00:00"/>
    <s v="as\afok"/>
    <m/>
    <s v="V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m/>
    <m/>
    <m/>
    <s v="CP"/>
    <m/>
    <m/>
    <s v="CP "/>
    <x v="0"/>
    <x v="1"/>
    <m/>
    <x v="7"/>
  </r>
  <r>
    <n v="627"/>
    <x v="160"/>
    <x v="160"/>
    <x v="151"/>
    <x v="1"/>
    <x v="13"/>
    <n v="610"/>
    <x v="5"/>
    <m/>
    <m/>
    <s v="Supplier"/>
    <m/>
    <x v="667"/>
    <s v="Merchant_General_agreement_JUN2012.pdf"/>
    <s v=".pdf"/>
    <d v="2014-03-19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n v="1"/>
    <m/>
    <n v="1"/>
    <m/>
    <m/>
    <m/>
    <s v="CP"/>
    <m/>
    <m/>
    <s v="CP "/>
    <x v="0"/>
    <x v="1"/>
    <m/>
    <x v="7"/>
  </r>
  <r>
    <n v="626"/>
    <x v="160"/>
    <x v="160"/>
    <x v="151"/>
    <x v="1"/>
    <x v="13"/>
    <n v="609"/>
    <x v="6"/>
    <m/>
    <m/>
    <s v="Supplier"/>
    <m/>
    <x v="72"/>
    <s v="Merchant_General_agreement_JUN2012.pdf"/>
    <s v=".pdf"/>
    <d v="2014-03-19T00:00:00"/>
    <s v="as\afok"/>
    <m/>
    <m/>
    <m/>
    <n v="56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n v="1"/>
    <n v="1"/>
    <m/>
    <m/>
    <m/>
    <s v="CP"/>
    <m/>
    <m/>
    <s v="CP "/>
    <x v="0"/>
    <x v="1"/>
    <m/>
    <x v="7"/>
  </r>
  <r>
    <n v="628"/>
    <x v="160"/>
    <x v="160"/>
    <x v="151"/>
    <x v="1"/>
    <x v="13"/>
    <n v="611"/>
    <x v="10"/>
    <m/>
    <m/>
    <s v="Supplier"/>
    <m/>
    <x v="72"/>
    <s v="Merchant_General_agreement_JUN2012.pdf"/>
    <s v=".pdf"/>
    <d v="2014-03-1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7"/>
  </r>
  <r>
    <n v="625"/>
    <x v="160"/>
    <x v="160"/>
    <x v="151"/>
    <x v="1"/>
    <x v="13"/>
    <n v="608"/>
    <x v="7"/>
    <m/>
    <m/>
    <s v="Supplier"/>
    <m/>
    <x v="72"/>
    <s v="Merchant_General_agreement_JUN2012.pdf"/>
    <s v=".pdf"/>
    <d v="2014-03-19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7"/>
  </r>
  <r>
    <n v="619"/>
    <x v="160"/>
    <x v="160"/>
    <x v="151"/>
    <x v="1"/>
    <x v="13"/>
    <n v="602"/>
    <x v="13"/>
    <m/>
    <m/>
    <s v="Supplier"/>
    <d v="2013-05-16T00:00:00"/>
    <x v="668"/>
    <s v="Merchant_ISO14001_2013.pdf"/>
    <s v=".pdf"/>
    <d v="2014-03-1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7"/>
  </r>
  <r>
    <n v="618"/>
    <x v="160"/>
    <x v="160"/>
    <x v="151"/>
    <x v="1"/>
    <x v="13"/>
    <n v="601"/>
    <x v="14"/>
    <m/>
    <m/>
    <s v="Supplier"/>
    <d v="2010-11-13T00:00:00"/>
    <x v="669"/>
    <s v="Merchant_ISO9001_2010.pdf"/>
    <s v=".pdf"/>
    <d v="2014-03-1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7"/>
  </r>
  <r>
    <n v="621"/>
    <x v="160"/>
    <x v="160"/>
    <x v="151"/>
    <x v="1"/>
    <x v="13"/>
    <n v="604"/>
    <x v="9"/>
    <m/>
    <m/>
    <s v="Supplier"/>
    <m/>
    <x v="133"/>
    <s v="Merchant_LOC_09Jun2010.pdf"/>
    <s v=".pdf"/>
    <d v="2014-03-1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7"/>
  </r>
  <r>
    <n v="622"/>
    <x v="160"/>
    <x v="160"/>
    <x v="151"/>
    <x v="1"/>
    <x v="13"/>
    <n v="605"/>
    <x v="8"/>
    <m/>
    <m/>
    <s v="Supplier"/>
    <m/>
    <x v="592"/>
    <s v="Merchant_Responsible_Purchasing_Charter_27Aug12.pdf"/>
    <s v=".pdf"/>
    <d v="2014-03-1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7"/>
  </r>
  <r>
    <n v="623"/>
    <x v="160"/>
    <x v="160"/>
    <x v="151"/>
    <x v="1"/>
    <x v="13"/>
    <n v="606"/>
    <x v="1"/>
    <m/>
    <m/>
    <s v="Supplier"/>
    <m/>
    <x v="130"/>
    <s v="Merchant_SEF_2012.xls"/>
    <s v=".xls"/>
    <d v="2014-03-19T00:00:00"/>
    <s v="as\afok"/>
    <m/>
    <s v="2012"/>
    <m/>
    <m/>
    <m/>
    <m/>
    <m/>
    <x v="0"/>
    <x v="0"/>
    <x v="0"/>
    <x v="17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7"/>
  </r>
  <r>
    <n v="629"/>
    <x v="160"/>
    <x v="160"/>
    <x v="151"/>
    <x v="1"/>
    <x v="13"/>
    <n v="612"/>
    <x v="1"/>
    <m/>
    <m/>
    <s v="Supplier"/>
    <m/>
    <x v="145"/>
    <s v="Merchant_SEF_2012.xls"/>
    <s v=".xls"/>
    <d v="2014-03-19T00:00:00"/>
    <s v="as\afok"/>
    <m/>
    <s v="2012"/>
    <m/>
    <m/>
    <m/>
    <m/>
    <m/>
    <x v="0"/>
    <x v="0"/>
    <x v="0"/>
    <x v="9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n v="1"/>
    <m/>
    <m/>
    <s v="CP"/>
    <m/>
    <m/>
    <s v="CP "/>
    <x v="0"/>
    <x v="1"/>
    <m/>
    <x v="7"/>
  </r>
  <r>
    <n v="617"/>
    <x v="160"/>
    <x v="160"/>
    <x v="151"/>
    <x v="1"/>
    <x v="13"/>
    <n v="600"/>
    <x v="1"/>
    <m/>
    <m/>
    <s v="Supplier"/>
    <m/>
    <x v="138"/>
    <s v="Merchant_SEF_2013-1.xlsx"/>
    <s v=".xlsx"/>
    <d v="2014-03-19T00:00:00"/>
    <s v="as\afok"/>
    <m/>
    <s v="2013"/>
    <m/>
    <m/>
    <m/>
    <m/>
    <m/>
    <x v="0"/>
    <x v="0"/>
    <x v="0"/>
    <x v="19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7"/>
  </r>
  <r>
    <n v="616"/>
    <x v="160"/>
    <x v="160"/>
    <x v="151"/>
    <x v="1"/>
    <x v="13"/>
    <n v="599"/>
    <x v="2"/>
    <n v="1"/>
    <m/>
    <s v="Supplier"/>
    <m/>
    <x v="452"/>
    <s v="Merchant_SIF 2013.xls"/>
    <s v=".xls"/>
    <d v="2014-03-19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2"/>
    <x v="1"/>
    <m/>
    <x v="7"/>
  </r>
  <r>
    <n v="620"/>
    <x v="160"/>
    <x v="160"/>
    <x v="151"/>
    <x v="1"/>
    <x v="13"/>
    <n v="603"/>
    <x v="3"/>
    <m/>
    <m/>
    <s v="Supplier"/>
    <m/>
    <x v="615"/>
    <s v="Merchant SPR 2011.pptx"/>
    <s v=".pptx"/>
    <d v="2014-03-19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7"/>
  </r>
  <r>
    <n v="1328"/>
    <x v="161"/>
    <x v="161"/>
    <x v="152"/>
    <x v="0"/>
    <x v="3"/>
    <n v="1297"/>
    <x v="4"/>
    <m/>
    <m/>
    <s v="Supplier"/>
    <m/>
    <x v="670"/>
    <s v="Metropolitan DEVELOPMENT AND SUPPLY MANAGEMENT 10Jan2010.pdf"/>
    <s v=".pdf"/>
    <d v="2014-03-31T00:00:00"/>
    <s v="as\afok"/>
    <m/>
    <s v="FHA 00 016 ind.07"/>
    <s v="37D3 - Within 30 days Due net on Posting date 37D3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n v="1"/>
    <m/>
    <m/>
    <n v="0"/>
    <m/>
    <m/>
    <s v="FP"/>
    <m/>
    <s v="SP"/>
    <s v="MOULD"/>
    <s v="FP SP MOULD "/>
    <x v="0"/>
    <x v="1"/>
    <m/>
    <x v="4"/>
  </r>
  <r>
    <n v="1329"/>
    <x v="161"/>
    <x v="161"/>
    <x v="152"/>
    <x v="0"/>
    <x v="3"/>
    <n v="1298"/>
    <x v="7"/>
    <m/>
    <m/>
    <s v="Supplier"/>
    <m/>
    <x v="343"/>
    <s v="Metropolitan_Env_Declaration_26May2010.xls"/>
    <s v=".xls"/>
    <d v="2014-03-31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m/>
    <s v="FP"/>
    <m/>
    <s v="SP"/>
    <s v="MOULD"/>
    <s v="FP SP MOULD "/>
    <x v="0"/>
    <x v="1"/>
    <m/>
    <x v="4"/>
  </r>
  <r>
    <n v="1326"/>
    <x v="161"/>
    <x v="161"/>
    <x v="152"/>
    <x v="0"/>
    <x v="3"/>
    <n v="1295"/>
    <x v="8"/>
    <m/>
    <m/>
    <s v="Supplier"/>
    <m/>
    <x v="27"/>
    <s v="metropolitan_responsible purchasing charter 27May13.pdf"/>
    <s v=".pdf"/>
    <d v="2014-03-3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m/>
    <s v="FP"/>
    <m/>
    <s v="SP"/>
    <s v="MOULD"/>
    <s v="FP SP MOULD "/>
    <x v="0"/>
    <x v="1"/>
    <m/>
    <x v="4"/>
  </r>
  <r>
    <n v="1327"/>
    <x v="161"/>
    <x v="161"/>
    <x v="152"/>
    <x v="0"/>
    <x v="3"/>
    <n v="1296"/>
    <x v="1"/>
    <m/>
    <m/>
    <s v="Supplier"/>
    <m/>
    <x v="36"/>
    <s v="SEF_Metropolitan_12Nov12.xlsx"/>
    <s v=".xlsx"/>
    <d v="2014-03-31T00:00:00"/>
    <s v="as\afok"/>
    <m/>
    <s v="2012"/>
    <m/>
    <m/>
    <m/>
    <m/>
    <m/>
    <x v="0"/>
    <x v="0"/>
    <x v="0"/>
    <x v="44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m/>
    <s v="FP"/>
    <m/>
    <s v="SP"/>
    <s v="MOULD"/>
    <s v="FP SP MOULD "/>
    <x v="0"/>
    <x v="1"/>
    <m/>
    <x v="4"/>
  </r>
  <r>
    <n v="1330"/>
    <x v="161"/>
    <x v="161"/>
    <x v="152"/>
    <x v="0"/>
    <x v="3"/>
    <n v="1299"/>
    <x v="2"/>
    <m/>
    <m/>
    <s v="Supplier"/>
    <m/>
    <x v="600"/>
    <s v="Metropolitan_SIF_2010.xls"/>
    <s v=".xls"/>
    <d v="2014-03-31T00:00:00"/>
    <s v="as\afok"/>
    <m/>
    <s v="2010"/>
    <m/>
    <m/>
    <m/>
    <m/>
    <m/>
    <x v="0"/>
    <x v="0"/>
    <x v="0"/>
    <x v="0"/>
    <x v="4"/>
    <x v="122"/>
    <x v="156"/>
    <x v="140"/>
    <x v="0"/>
    <x v="0"/>
    <x v="0"/>
    <x v="78"/>
    <x v="0"/>
    <x v="0"/>
    <x v="0"/>
    <s v="FP panel"/>
    <x v="1"/>
    <x v="3"/>
    <x v="0"/>
    <x v="0"/>
    <m/>
    <m/>
    <m/>
    <n v="0"/>
    <m/>
    <n v="1"/>
    <s v="FP"/>
    <m/>
    <s v="SP"/>
    <s v="MOULD"/>
    <s v="FP SP MOULD "/>
    <x v="3"/>
    <x v="1"/>
    <m/>
    <x v="4"/>
  </r>
  <r>
    <n v="2248"/>
    <x v="162"/>
    <x v="162"/>
    <x v="153"/>
    <x v="4"/>
    <x v="8"/>
    <n v="2189"/>
    <x v="5"/>
    <m/>
    <m/>
    <s v="Supplier"/>
    <m/>
    <x v="383"/>
    <s v="Meyer_QualityAppendix_13Mar2014.pdf"/>
    <s v=".pdf"/>
    <d v="2014-04-16T00:00:00"/>
    <s v="as\afok"/>
    <m/>
    <m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4"/>
    <m/>
    <n v="1"/>
    <m/>
    <n v="0"/>
    <m/>
    <m/>
    <m/>
    <s v="CP"/>
    <m/>
    <m/>
    <s v="CP "/>
    <x v="0"/>
    <x v="1"/>
    <m/>
    <x v="15"/>
  </r>
  <r>
    <n v="2247"/>
    <x v="163"/>
    <x v="163"/>
    <x v="153"/>
    <x v="4"/>
    <x v="8"/>
    <n v="2188"/>
    <x v="6"/>
    <m/>
    <m/>
    <s v="Supplier"/>
    <m/>
    <x v="671"/>
    <s v="Meyer_SupplyChain_V10_13Mar2014.pdf"/>
    <s v=".pdf"/>
    <d v="2014-04-16T00:00:00"/>
    <s v="as\afok"/>
    <m/>
    <s v="V10"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4"/>
    <m/>
    <m/>
    <n v="1"/>
    <n v="0"/>
    <m/>
    <m/>
    <m/>
    <s v="CP"/>
    <m/>
    <m/>
    <s v="CP "/>
    <x v="0"/>
    <x v="1"/>
    <m/>
    <x v="0"/>
  </r>
  <r>
    <n v="2249"/>
    <x v="162"/>
    <x v="162"/>
    <x v="153"/>
    <x v="4"/>
    <x v="8"/>
    <n v="2190"/>
    <x v="6"/>
    <m/>
    <m/>
    <s v="Supplier"/>
    <m/>
    <x v="356"/>
    <s v="SupplyChain_AppendixV.10_Meyer_Aluminiu,_9Aug13.pdf"/>
    <s v=".pdf"/>
    <d v="2014-04-16T00:00:00"/>
    <s v="as\afok"/>
    <m/>
    <s v="V10"/>
    <m/>
    <n v="67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4"/>
    <m/>
    <m/>
    <n v="1"/>
    <n v="0"/>
    <m/>
    <m/>
    <m/>
    <s v="CP"/>
    <m/>
    <m/>
    <s v="CP "/>
    <x v="0"/>
    <x v="1"/>
    <m/>
    <x v="15"/>
  </r>
  <r>
    <n v="2246"/>
    <x v="162"/>
    <x v="162"/>
    <x v="153"/>
    <x v="4"/>
    <x v="8"/>
    <n v="2188"/>
    <x v="6"/>
    <m/>
    <m/>
    <s v="Supplier"/>
    <m/>
    <x v="671"/>
    <s v="Meyer_SupplyChain_V10_13Mar2014.pdf"/>
    <s v=".pdf"/>
    <d v="2014-04-16T00:00:00"/>
    <s v="as\afok"/>
    <m/>
    <s v="V10"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4"/>
    <m/>
    <m/>
    <n v="1"/>
    <n v="0"/>
    <m/>
    <m/>
    <m/>
    <s v="CP"/>
    <m/>
    <m/>
    <s v="CP "/>
    <x v="0"/>
    <x v="1"/>
    <m/>
    <x v="15"/>
  </r>
  <r>
    <n v="2255"/>
    <x v="162"/>
    <x v="162"/>
    <x v="153"/>
    <x v="4"/>
    <x v="8"/>
    <n v="2196"/>
    <x v="7"/>
    <m/>
    <m/>
    <s v="Supplier"/>
    <m/>
    <x v="305"/>
    <s v="Meyer_Environnement_Declaration.xlsx"/>
    <s v=".xlsx"/>
    <d v="2014-04-16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4"/>
    <m/>
    <m/>
    <m/>
    <n v="0"/>
    <m/>
    <m/>
    <m/>
    <s v="CP"/>
    <m/>
    <m/>
    <s v="CP "/>
    <x v="0"/>
    <x v="1"/>
    <m/>
    <x v="15"/>
  </r>
  <r>
    <n v="2254"/>
    <x v="162"/>
    <x v="162"/>
    <x v="153"/>
    <x v="4"/>
    <x v="8"/>
    <n v="2195"/>
    <x v="14"/>
    <m/>
    <m/>
    <s v="Supplier"/>
    <d v="2012-12-14T00:00:00"/>
    <x v="672"/>
    <s v="Meyer_ISO9001_15Dec2009.pdf"/>
    <s v=".pdf"/>
    <d v="2014-04-1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4"/>
    <m/>
    <m/>
    <m/>
    <n v="0"/>
    <m/>
    <m/>
    <m/>
    <s v="CP"/>
    <m/>
    <m/>
    <s v="CP "/>
    <x v="0"/>
    <x v="1"/>
    <m/>
    <x v="15"/>
  </r>
  <r>
    <n v="2258"/>
    <x v="162"/>
    <x v="162"/>
    <x v="153"/>
    <x v="4"/>
    <x v="8"/>
    <n v="2199"/>
    <x v="8"/>
    <m/>
    <m/>
    <s v="Supplier"/>
    <m/>
    <x v="97"/>
    <s v="Meyer_Aluminium_Purchasing_Charter_24Sep12.pdf"/>
    <s v=".pdf"/>
    <d v="2014-04-1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4"/>
    <m/>
    <m/>
    <m/>
    <n v="0"/>
    <m/>
    <n v="1"/>
    <m/>
    <s v="CP"/>
    <m/>
    <m/>
    <s v="CP "/>
    <x v="0"/>
    <x v="1"/>
    <m/>
    <x v="15"/>
  </r>
  <r>
    <n v="2250"/>
    <x v="162"/>
    <x v="162"/>
    <x v="153"/>
    <x v="4"/>
    <x v="8"/>
    <n v="2191"/>
    <x v="8"/>
    <m/>
    <m/>
    <s v="Supplier"/>
    <m/>
    <x v="673"/>
    <s v="Meyer_Aluminium_Purchasing_Charter_24JUL13.pdf"/>
    <s v=".pdf"/>
    <d v="2014-04-1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4"/>
    <m/>
    <m/>
    <m/>
    <n v="0"/>
    <m/>
    <m/>
    <m/>
    <s v="CP"/>
    <m/>
    <m/>
    <s v="CP "/>
    <x v="0"/>
    <x v="1"/>
    <m/>
    <x v="15"/>
  </r>
  <r>
    <n v="2245"/>
    <x v="162"/>
    <x v="162"/>
    <x v="153"/>
    <x v="4"/>
    <x v="8"/>
    <n v="2187"/>
    <x v="8"/>
    <m/>
    <m/>
    <s v="Supplier"/>
    <m/>
    <x v="671"/>
    <s v="Meyer_SupplyAgreement_13Mar2014.pdf"/>
    <s v=".pdf"/>
    <d v="2014-04-16T00:00:00"/>
    <s v="as\afok"/>
    <m/>
    <s v="V8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4"/>
    <m/>
    <m/>
    <m/>
    <n v="0"/>
    <m/>
    <m/>
    <m/>
    <s v="CP"/>
    <m/>
    <m/>
    <s v="CP "/>
    <x v="0"/>
    <x v="1"/>
    <m/>
    <x v="15"/>
  </r>
  <r>
    <n v="2244"/>
    <x v="163"/>
    <x v="163"/>
    <x v="153"/>
    <x v="4"/>
    <x v="8"/>
    <n v="2186"/>
    <x v="1"/>
    <m/>
    <m/>
    <s v="Supplier"/>
    <m/>
    <x v="503"/>
    <s v="MEYER_THAILAND_Supplier_Evaluation_May_2012.xlsx"/>
    <s v=".xlsx"/>
    <d v="2014-04-16T00:00:00"/>
    <s v="as\afok"/>
    <m/>
    <s v="2012"/>
    <m/>
    <m/>
    <m/>
    <m/>
    <m/>
    <x v="0"/>
    <x v="0"/>
    <x v="0"/>
    <x v="11"/>
    <x v="0"/>
    <x v="0"/>
    <x v="0"/>
    <x v="0"/>
    <x v="0"/>
    <x v="0"/>
    <x v="0"/>
    <x v="0"/>
    <x v="0"/>
    <x v="0"/>
    <x v="0"/>
    <s v="CP Panel"/>
    <x v="0"/>
    <x v="0"/>
    <x v="1"/>
    <x v="4"/>
    <m/>
    <m/>
    <m/>
    <n v="0"/>
    <m/>
    <m/>
    <m/>
    <s v="CP"/>
    <m/>
    <m/>
    <s v="CP "/>
    <x v="0"/>
    <x v="1"/>
    <m/>
    <x v="0"/>
  </r>
  <r>
    <n v="2243"/>
    <x v="163"/>
    <x v="163"/>
    <x v="153"/>
    <x v="4"/>
    <x v="8"/>
    <n v="2185"/>
    <x v="1"/>
    <m/>
    <m/>
    <s v="Supplier"/>
    <m/>
    <x v="674"/>
    <s v="MEYER THAILAND Supplier Evaluation Form Mar 2013.xlsx"/>
    <s v=".xlsx"/>
    <d v="2014-04-16T00:00:00"/>
    <s v="as\afok"/>
    <m/>
    <s v="2013"/>
    <m/>
    <m/>
    <m/>
    <m/>
    <m/>
    <x v="0"/>
    <x v="0"/>
    <x v="0"/>
    <x v="19"/>
    <x v="0"/>
    <x v="0"/>
    <x v="0"/>
    <x v="0"/>
    <x v="0"/>
    <x v="0"/>
    <x v="0"/>
    <x v="0"/>
    <x v="0"/>
    <x v="0"/>
    <x v="0"/>
    <s v="CP Panel"/>
    <x v="0"/>
    <x v="0"/>
    <x v="1"/>
    <x v="4"/>
    <m/>
    <m/>
    <m/>
    <n v="0"/>
    <m/>
    <m/>
    <m/>
    <s v="CP"/>
    <m/>
    <m/>
    <s v="CP "/>
    <x v="0"/>
    <x v="1"/>
    <m/>
    <x v="0"/>
  </r>
  <r>
    <n v="2256"/>
    <x v="162"/>
    <x v="162"/>
    <x v="153"/>
    <x v="4"/>
    <x v="8"/>
    <n v="2197"/>
    <x v="1"/>
    <m/>
    <m/>
    <s v="Supplier"/>
    <m/>
    <x v="503"/>
    <s v="MEYER_HK_Supplier_Evaluation_May_2012.xlsx"/>
    <s v=".xlsx"/>
    <d v="2014-04-16T00:00:00"/>
    <s v="as\afok"/>
    <m/>
    <s v="2012"/>
    <m/>
    <m/>
    <m/>
    <m/>
    <m/>
    <x v="0"/>
    <x v="0"/>
    <x v="0"/>
    <x v="16"/>
    <x v="0"/>
    <x v="0"/>
    <x v="0"/>
    <x v="0"/>
    <x v="0"/>
    <x v="0"/>
    <x v="0"/>
    <x v="0"/>
    <x v="0"/>
    <x v="0"/>
    <x v="0"/>
    <s v="CP Panel"/>
    <x v="0"/>
    <x v="0"/>
    <x v="1"/>
    <x v="4"/>
    <m/>
    <m/>
    <m/>
    <n v="0"/>
    <m/>
    <m/>
    <m/>
    <s v="CP"/>
    <m/>
    <m/>
    <s v="CP "/>
    <x v="0"/>
    <x v="1"/>
    <m/>
    <x v="15"/>
  </r>
  <r>
    <n v="2251"/>
    <x v="162"/>
    <x v="162"/>
    <x v="153"/>
    <x v="4"/>
    <x v="8"/>
    <n v="2192"/>
    <x v="1"/>
    <m/>
    <m/>
    <s v="Supplier"/>
    <m/>
    <x v="383"/>
    <s v="MEYER HK Supplier Evaluation Form Mar 2013.xlsx"/>
    <s v=".xlsx"/>
    <d v="2014-04-16T00:00:00"/>
    <s v="as\afok"/>
    <m/>
    <s v="2013"/>
    <m/>
    <m/>
    <m/>
    <m/>
    <m/>
    <x v="0"/>
    <x v="0"/>
    <x v="0"/>
    <x v="15"/>
    <x v="0"/>
    <x v="0"/>
    <x v="0"/>
    <x v="0"/>
    <x v="0"/>
    <x v="0"/>
    <x v="0"/>
    <x v="0"/>
    <x v="0"/>
    <x v="0"/>
    <x v="0"/>
    <s v="CP Panel"/>
    <x v="0"/>
    <x v="0"/>
    <x v="1"/>
    <x v="4"/>
    <m/>
    <m/>
    <m/>
    <n v="0"/>
    <m/>
    <m/>
    <m/>
    <s v="CP"/>
    <m/>
    <m/>
    <s v="CP "/>
    <x v="0"/>
    <x v="1"/>
    <m/>
    <x v="15"/>
  </r>
  <r>
    <n v="2257"/>
    <x v="162"/>
    <x v="162"/>
    <x v="153"/>
    <x v="4"/>
    <x v="8"/>
    <n v="2198"/>
    <x v="2"/>
    <m/>
    <m/>
    <s v="Supplier"/>
    <m/>
    <x v="583"/>
    <s v="Meyer_Aluminium_SIF2012_19Jul12.xlsx"/>
    <s v=".xlsx"/>
    <d v="2014-04-16T00:00:00"/>
    <s v="as\afok"/>
    <m/>
    <s v="2012"/>
    <m/>
    <m/>
    <m/>
    <m/>
    <m/>
    <x v="0"/>
    <x v="0"/>
    <x v="0"/>
    <x v="0"/>
    <x v="1"/>
    <x v="123"/>
    <x v="97"/>
    <x v="0"/>
    <x v="0"/>
    <x v="0"/>
    <x v="5"/>
    <x v="6"/>
    <x v="0"/>
    <x v="0"/>
    <x v="0"/>
    <s v="CP Panel"/>
    <x v="0"/>
    <x v="0"/>
    <x v="1"/>
    <x v="4"/>
    <m/>
    <m/>
    <m/>
    <n v="0"/>
    <m/>
    <m/>
    <m/>
    <s v="CP"/>
    <m/>
    <m/>
    <s v="CP "/>
    <x v="2"/>
    <x v="1"/>
    <m/>
    <x v="15"/>
  </r>
  <r>
    <n v="2252"/>
    <x v="162"/>
    <x v="162"/>
    <x v="153"/>
    <x v="4"/>
    <x v="8"/>
    <n v="2193"/>
    <x v="2"/>
    <n v="1"/>
    <m/>
    <s v="Supplier"/>
    <m/>
    <x v="101"/>
    <s v="Meyer_Aluminium_SIF2013.xlsx"/>
    <s v=".xlsx"/>
    <d v="2014-04-16T00:00:00"/>
    <s v="as\afok"/>
    <m/>
    <s v="2013"/>
    <m/>
    <m/>
    <m/>
    <m/>
    <m/>
    <x v="0"/>
    <x v="0"/>
    <x v="0"/>
    <x v="0"/>
    <x v="2"/>
    <x v="123"/>
    <x v="0"/>
    <x v="0"/>
    <x v="0"/>
    <x v="0"/>
    <x v="5"/>
    <x v="0"/>
    <x v="0"/>
    <x v="0"/>
    <x v="0"/>
    <s v="CP Panel"/>
    <x v="0"/>
    <x v="0"/>
    <x v="1"/>
    <x v="4"/>
    <m/>
    <m/>
    <m/>
    <n v="0"/>
    <m/>
    <m/>
    <m/>
    <s v="CP"/>
    <m/>
    <m/>
    <s v="CP "/>
    <x v="2"/>
    <x v="1"/>
    <m/>
    <x v="15"/>
  </r>
  <r>
    <n v="2253"/>
    <x v="162"/>
    <x v="162"/>
    <x v="153"/>
    <x v="4"/>
    <x v="8"/>
    <n v="2194"/>
    <x v="3"/>
    <m/>
    <m/>
    <s v="Supplier"/>
    <m/>
    <x v="75"/>
    <s v="MEYER Performance Review 20121026.ppt"/>
    <s v=".ppt"/>
    <d v="2014-04-16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4"/>
    <m/>
    <m/>
    <m/>
    <n v="0"/>
    <m/>
    <m/>
    <m/>
    <s v="CP"/>
    <m/>
    <m/>
    <s v="CP "/>
    <x v="0"/>
    <x v="1"/>
    <m/>
    <x v="15"/>
  </r>
  <r>
    <n v="358"/>
    <x v="164"/>
    <x v="164"/>
    <x v="154"/>
    <x v="3"/>
    <x v="4"/>
    <n v="345"/>
    <x v="8"/>
    <m/>
    <m/>
    <s v="Supplier"/>
    <m/>
    <x v="675"/>
    <s v="Midea - Responsible.Purchasing.Charter (ENG).pdf"/>
    <s v=".pdf"/>
    <d v="2014-03-1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s v="FP"/>
    <m/>
    <s v="SP"/>
    <s v="MOULD"/>
    <s v="FP SP MOULD "/>
    <x v="0"/>
    <x v="1"/>
    <m/>
    <x v="48"/>
  </r>
  <r>
    <n v="357"/>
    <x v="164"/>
    <x v="164"/>
    <x v="154"/>
    <x v="3"/>
    <x v="4"/>
    <n v="344"/>
    <x v="1"/>
    <m/>
    <m/>
    <s v="Supplier"/>
    <m/>
    <x v="72"/>
    <s v="SEF_Midea_201206.xlsx"/>
    <s v=".xlsx"/>
    <d v="2014-03-14T00:00:00"/>
    <s v="as\afok"/>
    <m/>
    <s v="2012"/>
    <m/>
    <m/>
    <m/>
    <m/>
    <m/>
    <x v="0"/>
    <x v="0"/>
    <x v="0"/>
    <x v="45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48"/>
  </r>
  <r>
    <n v="355"/>
    <x v="164"/>
    <x v="164"/>
    <x v="154"/>
    <x v="3"/>
    <x v="4"/>
    <n v="342"/>
    <x v="2"/>
    <m/>
    <m/>
    <s v="Supplier"/>
    <m/>
    <x v="349"/>
    <s v="Midea (MWO) - SIF 2013.xlsx"/>
    <s v=".xlsx"/>
    <d v="2014-03-14T00:00:00"/>
    <s v="as\afok"/>
    <m/>
    <s v="2013"/>
    <m/>
    <m/>
    <m/>
    <m/>
    <m/>
    <x v="0"/>
    <x v="0"/>
    <x v="0"/>
    <x v="0"/>
    <x v="2"/>
    <x v="64"/>
    <x v="70"/>
    <x v="141"/>
    <x v="126"/>
    <x v="3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3"/>
    <x v="1"/>
    <m/>
    <x v="48"/>
  </r>
  <r>
    <n v="356"/>
    <x v="164"/>
    <x v="164"/>
    <x v="154"/>
    <x v="3"/>
    <x v="4"/>
    <n v="343"/>
    <x v="2"/>
    <n v="1"/>
    <m/>
    <s v="Supplier"/>
    <m/>
    <x v="12"/>
    <s v="Copy of FHA6E502_EN_-_SIF  midea  2013.xlsx"/>
    <s v=".xlsx"/>
    <d v="2014-03-14T00:00:00"/>
    <s v="as\afok"/>
    <m/>
    <s v="2013"/>
    <m/>
    <m/>
    <m/>
    <m/>
    <m/>
    <x v="0"/>
    <x v="0"/>
    <x v="0"/>
    <x v="0"/>
    <x v="2"/>
    <x v="124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3"/>
    <x v="1"/>
    <m/>
    <x v="48"/>
  </r>
  <r>
    <n v="2658"/>
    <x v="165"/>
    <x v="165"/>
    <x v="155"/>
    <x v="0"/>
    <x v="0"/>
    <n v="2501"/>
    <x v="4"/>
    <m/>
    <m/>
    <s v="Supplier"/>
    <m/>
    <x v="30"/>
    <s v="Mingle_General Agreement_20Feb12.pdf"/>
    <s v=".pdf"/>
    <d v="2014-04-24T00:00:00"/>
    <s v="as\afok"/>
    <m/>
    <s v="FHA 00 016 ind.10"/>
    <s v="37E3 - 30 days end of month due net on posting date 37E3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n v="1"/>
    <m/>
    <m/>
    <n v="1"/>
    <m/>
    <m/>
    <s v="FP"/>
    <m/>
    <m/>
    <s v="MOULD"/>
    <s v="FP MOULD "/>
    <x v="0"/>
    <x v="1"/>
    <m/>
    <x v="0"/>
  </r>
  <r>
    <n v="2666"/>
    <x v="165"/>
    <x v="165"/>
    <x v="155"/>
    <x v="0"/>
    <x v="0"/>
    <n v="2509"/>
    <x v="4"/>
    <m/>
    <m/>
    <s v="Supplier"/>
    <m/>
    <x v="653"/>
    <s v="Mingle FHA000016 ind. 09 20090312.pdf"/>
    <s v=".pdf"/>
    <d v="2014-04-24T00:00:00"/>
    <s v="as\afok"/>
    <m/>
    <s v="FHA 00 016 ind.09"/>
    <s v="37E3 - 30 days end of month due net on posting date 37E3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n v="1"/>
    <m/>
    <m/>
    <n v="1"/>
    <n v="1"/>
    <m/>
    <s v="FP"/>
    <m/>
    <m/>
    <s v="MOULD"/>
    <s v="FP MOULD "/>
    <x v="0"/>
    <x v="1"/>
    <m/>
    <x v="0"/>
  </r>
  <r>
    <n v="2661"/>
    <x v="165"/>
    <x v="165"/>
    <x v="155"/>
    <x v="0"/>
    <x v="0"/>
    <n v="2504"/>
    <x v="5"/>
    <m/>
    <m/>
    <s v="Supplier"/>
    <m/>
    <x v="30"/>
    <s v="Mingle_General Agreement_20Feb12.pdf"/>
    <s v=".pdf"/>
    <d v="2014-04-24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n v="1"/>
    <m/>
    <n v="1"/>
    <m/>
    <m/>
    <s v="FP"/>
    <m/>
    <m/>
    <s v="MOULD"/>
    <s v="FP MOULD "/>
    <x v="0"/>
    <x v="1"/>
    <m/>
    <x v="0"/>
  </r>
  <r>
    <n v="2660"/>
    <x v="165"/>
    <x v="165"/>
    <x v="155"/>
    <x v="0"/>
    <x v="0"/>
    <n v="2503"/>
    <x v="6"/>
    <m/>
    <m/>
    <s v="Supplier"/>
    <m/>
    <x v="30"/>
    <s v="Mingle_General Agreement_20Feb12.pdf"/>
    <s v=".pdf"/>
    <d v="2014-04-24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n v="1"/>
    <n v="1"/>
    <m/>
    <m/>
    <s v="FP"/>
    <m/>
    <m/>
    <s v="MOULD"/>
    <s v="FP MOULD "/>
    <x v="0"/>
    <x v="1"/>
    <m/>
    <x v="0"/>
  </r>
  <r>
    <n v="2662"/>
    <x v="165"/>
    <x v="165"/>
    <x v="155"/>
    <x v="0"/>
    <x v="0"/>
    <n v="2505"/>
    <x v="10"/>
    <m/>
    <m/>
    <s v="Supplier"/>
    <m/>
    <x v="676"/>
    <s v="Mingle_General Agreement_20Feb12.pdf"/>
    <s v=".pdf"/>
    <d v="2014-04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m/>
    <s v="MOULD"/>
    <s v="FP MOULD "/>
    <x v="0"/>
    <x v="1"/>
    <m/>
    <x v="0"/>
  </r>
  <r>
    <n v="2659"/>
    <x v="165"/>
    <x v="165"/>
    <x v="155"/>
    <x v="0"/>
    <x v="0"/>
    <n v="2502"/>
    <x v="7"/>
    <m/>
    <m/>
    <s v="Supplier"/>
    <m/>
    <x v="165"/>
    <s v="Mingle_General Agreement_20Feb12.pdf"/>
    <s v=".pdf"/>
    <d v="2014-04-24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m/>
    <s v="MOULD"/>
    <s v="FP MOULD "/>
    <x v="0"/>
    <x v="1"/>
    <m/>
    <x v="0"/>
  </r>
  <r>
    <n v="2664"/>
    <x v="165"/>
    <x v="165"/>
    <x v="155"/>
    <x v="0"/>
    <x v="0"/>
    <n v="2507"/>
    <x v="8"/>
    <m/>
    <m/>
    <s v="Supplier"/>
    <m/>
    <x v="604"/>
    <s v="Mingle_Responsible Purchasing Charter_23Aug12.pdf"/>
    <s v=".pdf"/>
    <d v="2014-04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m/>
    <s v="MOULD"/>
    <s v="FP MOULD "/>
    <x v="0"/>
    <x v="1"/>
    <m/>
    <x v="0"/>
  </r>
  <r>
    <n v="2657"/>
    <x v="165"/>
    <x v="165"/>
    <x v="155"/>
    <x v="0"/>
    <x v="0"/>
    <n v="2500"/>
    <x v="1"/>
    <m/>
    <m/>
    <s v="Supplier"/>
    <m/>
    <x v="354"/>
    <s v="SEF 2012 - Mingle.xlsx"/>
    <s v=".xlsx"/>
    <d v="2014-04-24T00:00:00"/>
    <s v="as\afok"/>
    <m/>
    <s v="2012"/>
    <m/>
    <m/>
    <m/>
    <m/>
    <m/>
    <x v="0"/>
    <x v="0"/>
    <x v="0"/>
    <x v="24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m/>
    <s v="MOULD"/>
    <s v="FP MOULD "/>
    <x v="0"/>
    <x v="1"/>
    <m/>
    <x v="0"/>
  </r>
  <r>
    <n v="2656"/>
    <x v="165"/>
    <x v="165"/>
    <x v="155"/>
    <x v="0"/>
    <x v="0"/>
    <n v="2499"/>
    <x v="1"/>
    <m/>
    <m/>
    <s v="Supplier"/>
    <m/>
    <x v="397"/>
    <s v="SEF - Mingle 2013.xlsx"/>
    <s v=".xlsx"/>
    <d v="2014-04-24T00:00:00"/>
    <s v="as\afok"/>
    <m/>
    <s v="2013"/>
    <m/>
    <m/>
    <m/>
    <m/>
    <m/>
    <x v="0"/>
    <x v="0"/>
    <x v="0"/>
    <x v="7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m/>
    <s v="MOULD"/>
    <s v="FP MOULD "/>
    <x v="0"/>
    <x v="1"/>
    <m/>
    <x v="0"/>
  </r>
  <r>
    <n v="2665"/>
    <x v="165"/>
    <x v="165"/>
    <x v="155"/>
    <x v="0"/>
    <x v="0"/>
    <n v="2508"/>
    <x v="2"/>
    <n v="1"/>
    <m/>
    <s v="Supplier"/>
    <m/>
    <x v="677"/>
    <s v="Mingle_SIF 2013.xls"/>
    <s v=".xls"/>
    <d v="2014-04-24T00:00:00"/>
    <s v="as\afok"/>
    <m/>
    <s v="2013"/>
    <m/>
    <m/>
    <m/>
    <m/>
    <m/>
    <x v="0"/>
    <x v="0"/>
    <x v="0"/>
    <x v="0"/>
    <x v="1"/>
    <x v="69"/>
    <x v="157"/>
    <x v="4"/>
    <x v="127"/>
    <x v="3"/>
    <x v="0"/>
    <x v="0"/>
    <x v="0"/>
    <x v="0"/>
    <x v="0"/>
    <s v="FP panel"/>
    <x v="1"/>
    <x v="3"/>
    <x v="0"/>
    <x v="0"/>
    <m/>
    <m/>
    <m/>
    <n v="1"/>
    <m/>
    <m/>
    <s v="FP"/>
    <m/>
    <m/>
    <s v="MOULD"/>
    <s v="FP MOULD "/>
    <x v="3"/>
    <x v="1"/>
    <m/>
    <x v="0"/>
  </r>
  <r>
    <n v="2663"/>
    <x v="165"/>
    <x v="165"/>
    <x v="155"/>
    <x v="0"/>
    <x v="0"/>
    <n v="2506"/>
    <x v="3"/>
    <m/>
    <m/>
    <s v="Supplier"/>
    <m/>
    <x v="334"/>
    <s v="Mingle SPR Apr 2010.ppt"/>
    <s v=".ppt"/>
    <d v="2014-04-24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m/>
    <s v="MOULD"/>
    <s v="FP MOULD "/>
    <x v="0"/>
    <x v="1"/>
    <m/>
    <x v="0"/>
  </r>
  <r>
    <n v="1049"/>
    <x v="166"/>
    <x v="166"/>
    <x v="156"/>
    <x v="1"/>
    <x v="11"/>
    <n v="1026"/>
    <x v="8"/>
    <m/>
    <m/>
    <s v="Supplier"/>
    <m/>
    <x v="19"/>
    <s v="MOBICON_Responsible_Purchasing_Charter_07Aug12.pdf"/>
    <s v=".pdf"/>
    <d v="2014-03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1050"/>
    <x v="166"/>
    <x v="166"/>
    <x v="156"/>
    <x v="1"/>
    <x v="11"/>
    <n v="1027"/>
    <x v="1"/>
    <m/>
    <m/>
    <s v="Supplier"/>
    <m/>
    <x v="112"/>
    <s v="Mobicon_SEF_2012.xlsx"/>
    <s v=".xlsx"/>
    <d v="2014-03-25T00:00:00"/>
    <s v="as\afok"/>
    <m/>
    <s v="2012"/>
    <m/>
    <m/>
    <m/>
    <m/>
    <m/>
    <x v="0"/>
    <x v="0"/>
    <x v="0"/>
    <x v="9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1051"/>
    <x v="166"/>
    <x v="166"/>
    <x v="156"/>
    <x v="1"/>
    <x v="11"/>
    <n v="1028"/>
    <x v="2"/>
    <m/>
    <m/>
    <s v="Supplier"/>
    <m/>
    <x v="350"/>
    <s v="SIF2011_Mobicon.xls"/>
    <s v=".xls"/>
    <d v="2014-03-25T00:00:00"/>
    <s v="as\afok"/>
    <m/>
    <s v="2011"/>
    <m/>
    <m/>
    <m/>
    <m/>
    <m/>
    <x v="0"/>
    <x v="0"/>
    <x v="0"/>
    <x v="0"/>
    <x v="1"/>
    <x v="125"/>
    <x v="158"/>
    <x v="142"/>
    <x v="128"/>
    <x v="119"/>
    <x v="15"/>
    <x v="24"/>
    <x v="22"/>
    <x v="6"/>
    <x v="9"/>
    <m/>
    <x v="0"/>
    <x v="0"/>
    <x v="0"/>
    <x v="0"/>
    <m/>
    <m/>
    <m/>
    <n v="0"/>
    <m/>
    <n v="1"/>
    <m/>
    <s v="CP"/>
    <m/>
    <m/>
    <s v="CP "/>
    <x v="2"/>
    <x v="1"/>
    <m/>
    <x v="8"/>
  </r>
  <r>
    <n v="2668"/>
    <x v="167"/>
    <x v="167"/>
    <x v="157"/>
    <x v="0"/>
    <x v="0"/>
    <n v="2511"/>
    <x v="4"/>
    <m/>
    <m/>
    <s v="Supplier"/>
    <m/>
    <x v="678"/>
    <s v="Ford (Montery)_General Agreement_4Sep12.pdf"/>
    <s v=".pdf"/>
    <d v="2014-04-24T00:00:00"/>
    <s v="as\afok"/>
    <m/>
    <m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m/>
    <m/>
    <m/>
    <s v="FP "/>
    <x v="0"/>
    <x v="1"/>
    <m/>
    <x v="0"/>
  </r>
  <r>
    <n v="2671"/>
    <x v="167"/>
    <x v="167"/>
    <x v="157"/>
    <x v="0"/>
    <x v="0"/>
    <n v="2514"/>
    <x v="5"/>
    <m/>
    <m/>
    <s v="Supplier"/>
    <m/>
    <x v="678"/>
    <s v="Ford (Montery)_General Agreement_4Sep12.pdf"/>
    <s v=".pdf"/>
    <d v="2014-04-24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m/>
    <m/>
    <m/>
    <s v="FP "/>
    <x v="0"/>
    <x v="1"/>
    <m/>
    <x v="0"/>
  </r>
  <r>
    <n v="2670"/>
    <x v="167"/>
    <x v="167"/>
    <x v="157"/>
    <x v="0"/>
    <x v="0"/>
    <n v="2513"/>
    <x v="6"/>
    <m/>
    <m/>
    <s v="Supplier"/>
    <m/>
    <x v="678"/>
    <s v="Ford (Montery)_General Agreement_4Sep12.pdf"/>
    <s v=".pdf"/>
    <d v="2014-04-24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m/>
    <m/>
    <m/>
    <s v="FP "/>
    <x v="0"/>
    <x v="1"/>
    <m/>
    <x v="0"/>
  </r>
  <r>
    <n v="2672"/>
    <x v="167"/>
    <x v="167"/>
    <x v="157"/>
    <x v="0"/>
    <x v="0"/>
    <n v="2515"/>
    <x v="10"/>
    <m/>
    <m/>
    <s v="Supplier"/>
    <m/>
    <x v="227"/>
    <s v="Ford (Montery)_General Agreement_4Sep12.pdf"/>
    <s v=".pdf"/>
    <d v="2014-04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n v="1"/>
    <m/>
    <s v="FP"/>
    <m/>
    <m/>
    <m/>
    <s v="FP "/>
    <x v="0"/>
    <x v="1"/>
    <m/>
    <x v="0"/>
  </r>
  <r>
    <n v="2669"/>
    <x v="167"/>
    <x v="167"/>
    <x v="157"/>
    <x v="0"/>
    <x v="0"/>
    <n v="2512"/>
    <x v="7"/>
    <m/>
    <m/>
    <s v="Supplier"/>
    <m/>
    <x v="46"/>
    <s v="Ford (Montery)_General Agreement_4Sep12.pdf"/>
    <s v=".pdf"/>
    <d v="2014-04-24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m/>
    <m/>
    <s v="FP "/>
    <x v="0"/>
    <x v="1"/>
    <m/>
    <x v="0"/>
  </r>
  <r>
    <n v="2667"/>
    <x v="167"/>
    <x v="167"/>
    <x v="157"/>
    <x v="0"/>
    <x v="0"/>
    <n v="2510"/>
    <x v="2"/>
    <n v="1"/>
    <m/>
    <s v="Supplier"/>
    <m/>
    <x v="679"/>
    <s v="Ford - SIF 2012.pdf"/>
    <s v=".pdf"/>
    <d v="2014-04-24T00:00:00"/>
    <s v="as\afok"/>
    <m/>
    <s v="2012"/>
    <m/>
    <m/>
    <m/>
    <m/>
    <m/>
    <x v="0"/>
    <x v="0"/>
    <x v="0"/>
    <x v="0"/>
    <x v="1"/>
    <x v="106"/>
    <x v="159"/>
    <x v="143"/>
    <x v="129"/>
    <x v="120"/>
    <x v="44"/>
    <x v="24"/>
    <x v="22"/>
    <x v="6"/>
    <x v="9"/>
    <m/>
    <x v="0"/>
    <x v="0"/>
    <x v="0"/>
    <x v="0"/>
    <m/>
    <m/>
    <m/>
    <n v="1"/>
    <m/>
    <m/>
    <s v="FP"/>
    <m/>
    <m/>
    <m/>
    <s v="FP "/>
    <x v="1"/>
    <x v="1"/>
    <m/>
    <x v="0"/>
  </r>
  <r>
    <n v="707"/>
    <x v="168"/>
    <x v="168"/>
    <x v="158"/>
    <x v="2"/>
    <x v="15"/>
    <n v="690"/>
    <x v="4"/>
    <m/>
    <m/>
    <s v="Supplier"/>
    <m/>
    <x v="680"/>
    <s v="Motor FHA00016 ind.07 200710.pdf"/>
    <s v=".pdf"/>
    <d v="2014-03-20T00:00:00"/>
    <s v="as\afok"/>
    <m/>
    <s v="FHA 00 016 ind.07"/>
    <s v="37E4 - 45 days end of month Due net on posting date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n v="1"/>
    <m/>
    <m/>
    <n v="1"/>
    <m/>
    <m/>
    <s v="FP"/>
    <m/>
    <s v="SP"/>
    <s v="MOULD"/>
    <s v="FP SP MOULD "/>
    <x v="0"/>
    <x v="1"/>
    <n v="1"/>
    <x v="49"/>
  </r>
  <r>
    <n v="716"/>
    <x v="168"/>
    <x v="168"/>
    <x v="158"/>
    <x v="2"/>
    <x v="15"/>
    <n v="699"/>
    <x v="4"/>
    <m/>
    <m/>
    <s v="Supplier"/>
    <m/>
    <x v="30"/>
    <s v="Motor_General Agreement_ind.11 2012-05-28.pdf"/>
    <s v=".pdf"/>
    <d v="2014-03-20T00:00:00"/>
    <s v="as\afok"/>
    <m/>
    <s v="FHA 00 016 ind.10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n v="1"/>
    <m/>
    <m/>
    <n v="1"/>
    <m/>
    <m/>
    <s v="FP"/>
    <m/>
    <s v="SP"/>
    <s v="MOULD"/>
    <s v="FP SP MOULD "/>
    <x v="0"/>
    <x v="1"/>
    <n v="1"/>
    <x v="49"/>
  </r>
  <r>
    <n v="719"/>
    <x v="168"/>
    <x v="168"/>
    <x v="158"/>
    <x v="2"/>
    <x v="15"/>
    <n v="702"/>
    <x v="5"/>
    <m/>
    <m/>
    <s v="Supplier"/>
    <m/>
    <x v="30"/>
    <s v="Motor_General Agreement_ind.11 2012-05-28.pdf"/>
    <s v=".pdf"/>
    <d v="2014-03-20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n v="1"/>
    <m/>
    <n v="1"/>
    <m/>
    <m/>
    <s v="FP"/>
    <m/>
    <s v="SP"/>
    <s v="MOULD"/>
    <s v="FP SP MOULD "/>
    <x v="0"/>
    <x v="1"/>
    <n v="1"/>
    <x v="49"/>
  </r>
  <r>
    <n v="718"/>
    <x v="168"/>
    <x v="168"/>
    <x v="158"/>
    <x v="2"/>
    <x v="15"/>
    <n v="701"/>
    <x v="6"/>
    <m/>
    <m/>
    <s v="Supplier"/>
    <m/>
    <x v="30"/>
    <s v="Motor_General Agreement_ind.11 2012-05-28.pdf"/>
    <s v=".pdf"/>
    <d v="2014-03-20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n v="1"/>
    <n v="1"/>
    <m/>
    <m/>
    <s v="FP"/>
    <m/>
    <s v="SP"/>
    <s v="MOULD"/>
    <s v="FP SP MOULD "/>
    <x v="0"/>
    <x v="1"/>
    <n v="1"/>
    <x v="49"/>
  </r>
  <r>
    <n v="720"/>
    <x v="168"/>
    <x v="168"/>
    <x v="158"/>
    <x v="2"/>
    <x v="15"/>
    <n v="703"/>
    <x v="10"/>
    <m/>
    <m/>
    <s v="Supplier"/>
    <m/>
    <x v="30"/>
    <s v="Motor_General Agreement_ind.11 2012-05-28.pdf"/>
    <s v=".pdf"/>
    <d v="2014-03-2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49"/>
  </r>
  <r>
    <n v="717"/>
    <x v="168"/>
    <x v="168"/>
    <x v="158"/>
    <x v="2"/>
    <x v="15"/>
    <n v="700"/>
    <x v="7"/>
    <m/>
    <m/>
    <s v="Supplier"/>
    <m/>
    <x v="30"/>
    <s v="Motor_General Agreement_ind.11 2012-05-28.pdf"/>
    <s v=".pdf"/>
    <d v="2014-03-20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49"/>
  </r>
  <r>
    <n v="708"/>
    <x v="168"/>
    <x v="168"/>
    <x v="158"/>
    <x v="2"/>
    <x v="15"/>
    <n v="691"/>
    <x v="0"/>
    <m/>
    <m/>
    <s v="Supplier"/>
    <m/>
    <x v="681"/>
    <s v="Motor FRD00069 ind.04 20090616.pdf"/>
    <s v=".pdf"/>
    <d v="2014-03-20T00:00:00"/>
    <s v="as\afok"/>
    <m/>
    <s v="FRD00 069 ind.04 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49"/>
  </r>
  <r>
    <n v="715"/>
    <x v="168"/>
    <x v="168"/>
    <x v="158"/>
    <x v="2"/>
    <x v="15"/>
    <n v="698"/>
    <x v="9"/>
    <m/>
    <m/>
    <s v="Product / Project"/>
    <m/>
    <x v="206"/>
    <s v="Motor Electric_LOC_TYNDA Handblender_2012-05-07.pdf"/>
    <s v=".pdf"/>
    <d v="2014-03-20T00:00:00"/>
    <s v="as\afok"/>
    <m/>
    <m/>
    <m/>
    <m/>
    <m/>
    <m/>
    <s v="TYNDA Handblender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49"/>
  </r>
  <r>
    <n v="712"/>
    <x v="168"/>
    <x v="168"/>
    <x v="158"/>
    <x v="2"/>
    <x v="15"/>
    <n v="695"/>
    <x v="9"/>
    <m/>
    <m/>
    <s v="Product / Project"/>
    <m/>
    <x v="51"/>
    <s v="Motor_LOC_Prep'Line 2 Hand Blender_31Jan2011.pdf"/>
    <s v=".pdf"/>
    <d v="2014-03-20T00:00:00"/>
    <s v="as\afok"/>
    <m/>
    <m/>
    <m/>
    <m/>
    <m/>
    <m/>
    <s v="Prep'Line 2 Hand Blender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49"/>
  </r>
  <r>
    <n v="713"/>
    <x v="168"/>
    <x v="168"/>
    <x v="158"/>
    <x v="2"/>
    <x v="15"/>
    <n v="696"/>
    <x v="9"/>
    <m/>
    <m/>
    <s v="Product / Project"/>
    <m/>
    <x v="682"/>
    <s v="Motor_LOC_Tokyo Subassembly_29Sep2011.pdf"/>
    <s v=".pdf"/>
    <d v="2014-03-20T00:00:00"/>
    <s v="as\afok"/>
    <m/>
    <m/>
    <m/>
    <m/>
    <m/>
    <m/>
    <s v="Tokyo Subassembly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49"/>
  </r>
  <r>
    <n v="714"/>
    <x v="168"/>
    <x v="168"/>
    <x v="158"/>
    <x v="2"/>
    <x v="15"/>
    <n v="697"/>
    <x v="16"/>
    <m/>
    <m/>
    <s v="Supplier"/>
    <m/>
    <x v="510"/>
    <s v="ISO QMS certification notice_20111228.pdf"/>
    <s v=".pdf"/>
    <d v="2014-03-20T00:00:00"/>
    <s v="as\afok"/>
    <s v="Quality Management System Certification - Letter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49"/>
  </r>
  <r>
    <n v="722"/>
    <x v="168"/>
    <x v="168"/>
    <x v="158"/>
    <x v="2"/>
    <x v="15"/>
    <n v="705"/>
    <x v="16"/>
    <m/>
    <m/>
    <s v="Supplier"/>
    <m/>
    <x v="187"/>
    <s v="Transfer Design Letter on Tynda 26Feb13.pdf"/>
    <s v=".pdf"/>
    <d v="2014-03-20T00:00:00"/>
    <s v="as\afok"/>
    <s v="Transfer Design Letter on Tynda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49"/>
  </r>
  <r>
    <n v="711"/>
    <x v="168"/>
    <x v="168"/>
    <x v="158"/>
    <x v="2"/>
    <x v="15"/>
    <n v="694"/>
    <x v="8"/>
    <m/>
    <m/>
    <s v="Supplier"/>
    <m/>
    <x v="315"/>
    <s v="Motor - Responsible Purchasing Charter (ENG).pdf"/>
    <s v=".pdf"/>
    <d v="2014-03-2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49"/>
  </r>
  <r>
    <n v="726"/>
    <x v="168"/>
    <x v="168"/>
    <x v="158"/>
    <x v="2"/>
    <x v="15"/>
    <n v="709"/>
    <x v="1"/>
    <m/>
    <m/>
    <s v="Supplier"/>
    <m/>
    <x v="620"/>
    <s v="SEF -Motor Electric 2013 Jun.xlsx"/>
    <s v=".xlsx"/>
    <d v="2014-03-20T00:00:00"/>
    <s v="as\afok"/>
    <m/>
    <s v="2013"/>
    <m/>
    <m/>
    <m/>
    <m/>
    <m/>
    <x v="0"/>
    <x v="0"/>
    <x v="0"/>
    <x v="15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49"/>
  </r>
  <r>
    <n v="709"/>
    <x v="168"/>
    <x v="168"/>
    <x v="158"/>
    <x v="2"/>
    <x v="15"/>
    <n v="692"/>
    <x v="1"/>
    <m/>
    <m/>
    <s v="Supplier"/>
    <m/>
    <x v="135"/>
    <s v="MOTOR_ SEF_JUN 2012.xlsx"/>
    <s v=".xlsx"/>
    <d v="2014-03-20T00:00:00"/>
    <s v="as\afok"/>
    <m/>
    <s v="2012"/>
    <m/>
    <m/>
    <m/>
    <m/>
    <m/>
    <x v="0"/>
    <x v="0"/>
    <x v="0"/>
    <x v="9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49"/>
  </r>
  <r>
    <n v="710"/>
    <x v="168"/>
    <x v="168"/>
    <x v="158"/>
    <x v="2"/>
    <x v="15"/>
    <n v="693"/>
    <x v="2"/>
    <n v="1"/>
    <m/>
    <s v="Supplier"/>
    <m/>
    <x v="106"/>
    <s v="MOTOR_SIF 2012_1Mar12.xlsx"/>
    <s v=".xlsx"/>
    <d v="2014-03-20T00:00:00"/>
    <s v="as\afok"/>
    <m/>
    <s v="2012"/>
    <m/>
    <m/>
    <m/>
    <m/>
    <m/>
    <x v="0"/>
    <x v="0"/>
    <x v="0"/>
    <x v="0"/>
    <x v="1"/>
    <x v="111"/>
    <x v="16"/>
    <x v="144"/>
    <x v="102"/>
    <x v="121"/>
    <x v="45"/>
    <x v="5"/>
    <x v="78"/>
    <x v="23"/>
    <x v="66"/>
    <s v="FP panel Top 15"/>
    <x v="1"/>
    <x v="2"/>
    <x v="0"/>
    <x v="0"/>
    <m/>
    <m/>
    <m/>
    <n v="1"/>
    <m/>
    <m/>
    <s v="FP"/>
    <m/>
    <s v="SP"/>
    <s v="MOULD"/>
    <s v="FP SP MOULD "/>
    <x v="3"/>
    <x v="1"/>
    <n v="1"/>
    <x v="49"/>
  </r>
  <r>
    <n v="725"/>
    <x v="168"/>
    <x v="168"/>
    <x v="158"/>
    <x v="2"/>
    <x v="15"/>
    <n v="708"/>
    <x v="2"/>
    <n v="1"/>
    <m/>
    <s v="Supplier"/>
    <m/>
    <x v="271"/>
    <s v="Motor Electric - FHA6E502_EN_-_SIF 2013.xlsx"/>
    <s v=".xlsx"/>
    <d v="2014-03-20T00:00:00"/>
    <s v="as\afok"/>
    <m/>
    <s v="2013"/>
    <m/>
    <m/>
    <m/>
    <m/>
    <m/>
    <x v="0"/>
    <x v="0"/>
    <x v="0"/>
    <x v="0"/>
    <x v="2"/>
    <x v="44"/>
    <x v="160"/>
    <x v="144"/>
    <x v="130"/>
    <x v="121"/>
    <x v="46"/>
    <x v="3"/>
    <x v="4"/>
    <x v="23"/>
    <x v="66"/>
    <s v="FP panel Top 15"/>
    <x v="1"/>
    <x v="2"/>
    <x v="0"/>
    <x v="0"/>
    <m/>
    <m/>
    <m/>
    <n v="1"/>
    <m/>
    <m/>
    <s v="FP"/>
    <m/>
    <s v="SP"/>
    <s v="MOULD"/>
    <s v="FP SP MOULD "/>
    <x v="3"/>
    <x v="1"/>
    <n v="1"/>
    <x v="49"/>
  </r>
  <r>
    <n v="723"/>
    <x v="168"/>
    <x v="168"/>
    <x v="158"/>
    <x v="2"/>
    <x v="15"/>
    <n v="706"/>
    <x v="17"/>
    <m/>
    <m/>
    <s v="Supplier"/>
    <m/>
    <x v="606"/>
    <s v="SEB Social Audit Checklist - Motor electric 2013.doc"/>
    <s v=".doc"/>
    <d v="2014-03-20T00:00:00"/>
    <s v="as\afok"/>
    <m/>
    <m/>
    <m/>
    <m/>
    <m/>
    <m/>
    <m/>
    <x v="1"/>
    <x v="1"/>
    <x v="1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49"/>
  </r>
  <r>
    <n v="724"/>
    <x v="168"/>
    <x v="168"/>
    <x v="158"/>
    <x v="2"/>
    <x v="15"/>
    <n v="707"/>
    <x v="22"/>
    <m/>
    <m/>
    <s v="Supplier"/>
    <m/>
    <x v="683"/>
    <s v="SEB Social Corrective Action Plan - Motor electric 2013.doc"/>
    <s v=".doc"/>
    <d v="2014-03-2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49"/>
  </r>
  <r>
    <n v="721"/>
    <x v="168"/>
    <x v="168"/>
    <x v="158"/>
    <x v="2"/>
    <x v="15"/>
    <n v="704"/>
    <x v="3"/>
    <m/>
    <m/>
    <s v="Supplier"/>
    <m/>
    <x v="153"/>
    <s v="Motor Electric VPI Sept_2012 v2 - SPR.pptx"/>
    <s v=".pptx"/>
    <d v="2014-03-20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49"/>
  </r>
  <r>
    <n v="727"/>
    <x v="168"/>
    <x v="168"/>
    <x v="158"/>
    <x v="2"/>
    <x v="15"/>
    <n v="710"/>
    <x v="3"/>
    <m/>
    <m/>
    <s v="Supplier"/>
    <m/>
    <x v="538"/>
    <s v="Motor Electric SPR 2013 v1 after meeting on 20131011 for Supplier.pptx"/>
    <s v=".pptx"/>
    <d v="2014-03-20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n v="1"/>
    <m/>
    <s v="FP"/>
    <m/>
    <s v="SP"/>
    <s v="MOULD"/>
    <s v="FP SP MOULD "/>
    <x v="0"/>
    <x v="1"/>
    <n v="1"/>
    <x v="49"/>
  </r>
  <r>
    <n v="1860"/>
    <x v="169"/>
    <x v="169"/>
    <x v="159"/>
    <x v="4"/>
    <x v="17"/>
    <n v="1816"/>
    <x v="4"/>
    <m/>
    <m/>
    <s v="Supplier"/>
    <m/>
    <x v="31"/>
    <s v="Agreement_Nam ching_APR12.pdf"/>
    <s v=".pdf"/>
    <d v="2014-04-09T00:00:00"/>
    <s v="as\afok"/>
    <m/>
    <s v="V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m/>
    <s v="CP"/>
    <m/>
    <m/>
    <s v="CP "/>
    <x v="0"/>
    <x v="1"/>
    <m/>
    <x v="10"/>
  </r>
  <r>
    <n v="1862"/>
    <x v="169"/>
    <x v="169"/>
    <x v="159"/>
    <x v="4"/>
    <x v="17"/>
    <n v="1818"/>
    <x v="5"/>
    <m/>
    <m/>
    <s v="Supplier"/>
    <m/>
    <x v="31"/>
    <s v="Agreement_Nam ching_APR12.pdf"/>
    <s v=".pdf"/>
    <d v="2014-04-09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m/>
    <s v="CP"/>
    <m/>
    <m/>
    <s v="CP "/>
    <x v="0"/>
    <x v="1"/>
    <m/>
    <x v="10"/>
  </r>
  <r>
    <n v="1863"/>
    <x v="169"/>
    <x v="169"/>
    <x v="159"/>
    <x v="4"/>
    <x v="17"/>
    <n v="1819"/>
    <x v="6"/>
    <m/>
    <m/>
    <s v="Supplier"/>
    <m/>
    <x v="31"/>
    <s v="Agreement_Nam ching_APR12.pdf"/>
    <s v=".pdf"/>
    <d v="2014-04-09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m/>
    <s v="CP"/>
    <m/>
    <m/>
    <s v="CP "/>
    <x v="0"/>
    <x v="1"/>
    <m/>
    <x v="10"/>
  </r>
  <r>
    <n v="1864"/>
    <x v="169"/>
    <x v="169"/>
    <x v="159"/>
    <x v="4"/>
    <x v="17"/>
    <n v="1820"/>
    <x v="10"/>
    <m/>
    <m/>
    <s v="Supplier"/>
    <m/>
    <x v="28"/>
    <s v="Agreement_Nam ching_APR12.pdf"/>
    <s v=".pdf"/>
    <d v="2014-04-0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10"/>
  </r>
  <r>
    <n v="1859"/>
    <x v="169"/>
    <x v="169"/>
    <x v="159"/>
    <x v="4"/>
    <x v="17"/>
    <n v="1815"/>
    <x v="7"/>
    <m/>
    <m/>
    <s v="Supplier"/>
    <m/>
    <x v="208"/>
    <s v="NamChing_Env_Declaration_07Jun2010.xls"/>
    <s v=".xls"/>
    <d v="2014-04-09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10"/>
  </r>
  <r>
    <n v="1861"/>
    <x v="169"/>
    <x v="169"/>
    <x v="159"/>
    <x v="4"/>
    <x v="17"/>
    <n v="1817"/>
    <x v="7"/>
    <m/>
    <m/>
    <s v="Supplier"/>
    <m/>
    <x v="31"/>
    <s v="Agreement_Nam ching_APR12.pdf"/>
    <s v=".pdf"/>
    <d v="2014-04-09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10"/>
  </r>
  <r>
    <n v="1858"/>
    <x v="169"/>
    <x v="169"/>
    <x v="159"/>
    <x v="4"/>
    <x v="17"/>
    <n v="1814"/>
    <x v="8"/>
    <m/>
    <m/>
    <s v="Supplier"/>
    <m/>
    <x v="684"/>
    <s v="Namching_Responsible_Purchasing_Charter_22Aug12.pdf"/>
    <s v=".pdf"/>
    <d v="2014-04-0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10"/>
  </r>
  <r>
    <n v="1865"/>
    <x v="169"/>
    <x v="169"/>
    <x v="159"/>
    <x v="4"/>
    <x v="17"/>
    <n v="1821"/>
    <x v="1"/>
    <m/>
    <m/>
    <s v="Supplier"/>
    <m/>
    <x v="288"/>
    <s v="SEF-Nam Ching-28AUG12-65.xlsx"/>
    <s v=".xlsx"/>
    <d v="2014-04-09T00:00:00"/>
    <s v="as\afok"/>
    <m/>
    <s v="2012"/>
    <m/>
    <m/>
    <m/>
    <m/>
    <m/>
    <x v="0"/>
    <x v="0"/>
    <x v="0"/>
    <x v="18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10"/>
  </r>
  <r>
    <n v="1866"/>
    <x v="169"/>
    <x v="169"/>
    <x v="159"/>
    <x v="4"/>
    <x v="17"/>
    <n v="1822"/>
    <x v="2"/>
    <m/>
    <m/>
    <s v="Supplier"/>
    <m/>
    <x v="685"/>
    <s v="NamChing_SIF_07Jun2010.xls"/>
    <s v=".xls"/>
    <d v="2014-04-09T00:00:00"/>
    <s v="as\afok"/>
    <m/>
    <s v="2010"/>
    <m/>
    <m/>
    <m/>
    <m/>
    <m/>
    <x v="0"/>
    <x v="0"/>
    <x v="0"/>
    <x v="0"/>
    <x v="4"/>
    <x v="126"/>
    <x v="161"/>
    <x v="145"/>
    <x v="131"/>
    <x v="122"/>
    <x v="0"/>
    <x v="10"/>
    <x v="49"/>
    <x v="9"/>
    <x v="3"/>
    <m/>
    <x v="0"/>
    <x v="0"/>
    <x v="0"/>
    <x v="0"/>
    <m/>
    <m/>
    <m/>
    <n v="1"/>
    <m/>
    <m/>
    <m/>
    <s v="CP"/>
    <m/>
    <m/>
    <s v="CP "/>
    <x v="2"/>
    <x v="1"/>
    <m/>
    <x v="10"/>
  </r>
  <r>
    <n v="1867"/>
    <x v="169"/>
    <x v="169"/>
    <x v="159"/>
    <x v="4"/>
    <x v="17"/>
    <n v="1823"/>
    <x v="3"/>
    <m/>
    <m/>
    <s v="Supplier"/>
    <m/>
    <x v="199"/>
    <s v="_SPR-Nam Ching-2011M09.pptx"/>
    <s v=".pptx"/>
    <d v="2014-04-09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n v="1"/>
    <m/>
    <m/>
    <s v="CP"/>
    <m/>
    <m/>
    <s v="CP "/>
    <x v="0"/>
    <x v="1"/>
    <m/>
    <x v="10"/>
  </r>
  <r>
    <n v="1340"/>
    <x v="170"/>
    <x v="170"/>
    <x v="160"/>
    <x v="0"/>
    <x v="3"/>
    <n v="1309"/>
    <x v="4"/>
    <m/>
    <m/>
    <s v="Supplier"/>
    <m/>
    <x v="686"/>
    <s v="General_Agreement_New_Leaf05022010.pdf"/>
    <s v=".pdf"/>
    <d v="2014-03-31T00:00:00"/>
    <s v="as\afok"/>
    <m/>
    <s v="FHA 00 016 ind.07"/>
    <s v="37D6 - Within 60 days Due net on posting date 37D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and  CP Panel"/>
    <x v="1"/>
    <x v="2"/>
    <x v="1"/>
    <x v="5"/>
    <n v="1"/>
    <m/>
    <m/>
    <n v="1"/>
    <m/>
    <m/>
    <s v="FP"/>
    <s v="CP"/>
    <s v="SP"/>
    <s v="MOULD"/>
    <s v="FP CP SP MOULD Both"/>
    <x v="0"/>
    <x v="1"/>
    <m/>
    <x v="50"/>
  </r>
  <r>
    <n v="1341"/>
    <x v="170"/>
    <x v="170"/>
    <x v="160"/>
    <x v="0"/>
    <x v="3"/>
    <n v="1310"/>
    <x v="4"/>
    <m/>
    <m/>
    <s v="Supplier"/>
    <m/>
    <x v="355"/>
    <s v="New Leaf_Contract.pdf"/>
    <s v=".pdf"/>
    <d v="2014-03-31T00:00:00"/>
    <s v="as\afok"/>
    <m/>
    <s v="V5"/>
    <s v="37E3 - 30 days end of month due net on posting date 37E3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and  CP Panel"/>
    <x v="1"/>
    <x v="2"/>
    <x v="1"/>
    <x v="5"/>
    <n v="1"/>
    <m/>
    <m/>
    <n v="1"/>
    <m/>
    <m/>
    <s v="FP"/>
    <s v="CP"/>
    <s v="SP"/>
    <s v="MOULD"/>
    <s v="FP CP SP MOULD Both"/>
    <x v="0"/>
    <x v="1"/>
    <m/>
    <x v="50"/>
  </r>
  <r>
    <n v="1345"/>
    <x v="170"/>
    <x v="170"/>
    <x v="160"/>
    <x v="0"/>
    <x v="3"/>
    <n v="1314"/>
    <x v="4"/>
    <m/>
    <m/>
    <s v="Supplier"/>
    <m/>
    <x v="29"/>
    <s v="New Leaf_General Agreement (missing supply chain and Quality appendix)_27Jul12.pdf"/>
    <s v=".pdf"/>
    <d v="2014-03-31T00:00:00"/>
    <s v="as\afok"/>
    <m/>
    <s v="FHA 00 016 ind.09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and  CP Panel"/>
    <x v="1"/>
    <x v="2"/>
    <x v="1"/>
    <x v="5"/>
    <n v="1"/>
    <m/>
    <m/>
    <n v="1"/>
    <m/>
    <m/>
    <s v="FP"/>
    <s v="CP"/>
    <s v="SP"/>
    <s v="MOULD"/>
    <s v="FP CP SP MOULD Both"/>
    <x v="0"/>
    <x v="1"/>
    <m/>
    <x v="50"/>
  </r>
  <r>
    <n v="1343"/>
    <x v="170"/>
    <x v="170"/>
    <x v="160"/>
    <x v="0"/>
    <x v="3"/>
    <n v="1312"/>
    <x v="4"/>
    <m/>
    <m/>
    <s v="Supplier"/>
    <m/>
    <x v="687"/>
    <s v="New Leaf_Supply Agreement (Component)_Oct2012.pdf"/>
    <s v=".pdf"/>
    <d v="2014-03-31T00:00:00"/>
    <s v="as\afok"/>
    <m/>
    <s v="V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and  CP Panel"/>
    <x v="1"/>
    <x v="2"/>
    <x v="1"/>
    <x v="5"/>
    <n v="1"/>
    <m/>
    <m/>
    <n v="1"/>
    <m/>
    <m/>
    <s v="FP"/>
    <s v="CP"/>
    <s v="SP"/>
    <s v="MOULD"/>
    <s v="FP CP SP MOULD Both"/>
    <x v="0"/>
    <x v="1"/>
    <m/>
    <x v="50"/>
  </r>
  <r>
    <n v="1342"/>
    <x v="170"/>
    <x v="170"/>
    <x v="160"/>
    <x v="0"/>
    <x v="3"/>
    <n v="1311"/>
    <x v="5"/>
    <m/>
    <m/>
    <s v="Supplier"/>
    <m/>
    <x v="355"/>
    <s v="New Leaf_Contract.pdf"/>
    <s v=".pdf"/>
    <d v="2014-03-31T00:00:00"/>
    <s v="as\afok"/>
    <m/>
    <s v="FHA 00 014"/>
    <m/>
    <m/>
    <m/>
    <n v="0"/>
    <m/>
    <x v="0"/>
    <x v="0"/>
    <x v="0"/>
    <x v="0"/>
    <x v="0"/>
    <x v="0"/>
    <x v="0"/>
    <x v="0"/>
    <x v="0"/>
    <x v="0"/>
    <x v="0"/>
    <x v="0"/>
    <x v="0"/>
    <x v="0"/>
    <x v="0"/>
    <s v="FP Panel and  CP Panel"/>
    <x v="1"/>
    <x v="2"/>
    <x v="1"/>
    <x v="5"/>
    <m/>
    <n v="1"/>
    <m/>
    <n v="1"/>
    <m/>
    <m/>
    <s v="FP"/>
    <s v="CP"/>
    <s v="SP"/>
    <s v="MOULD"/>
    <s v="FP CP SP MOULD Both"/>
    <x v="0"/>
    <x v="1"/>
    <m/>
    <x v="50"/>
  </r>
  <r>
    <n v="1347"/>
    <x v="170"/>
    <x v="170"/>
    <x v="160"/>
    <x v="0"/>
    <x v="3"/>
    <n v="1316"/>
    <x v="10"/>
    <m/>
    <m/>
    <s v="Supplier"/>
    <m/>
    <x v="688"/>
    <s v="New Leaf_General Agreement (missing supply chain and Quality appendix)_27Jul12.pdf"/>
    <s v=".pdf"/>
    <d v="2014-03-3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and  CP Panel"/>
    <x v="1"/>
    <x v="2"/>
    <x v="1"/>
    <x v="5"/>
    <m/>
    <m/>
    <m/>
    <n v="1"/>
    <m/>
    <m/>
    <s v="FP"/>
    <s v="CP"/>
    <s v="SP"/>
    <s v="MOULD"/>
    <s v="FP CP SP MOULD Both"/>
    <x v="0"/>
    <x v="1"/>
    <m/>
    <x v="50"/>
  </r>
  <r>
    <n v="1346"/>
    <x v="170"/>
    <x v="170"/>
    <x v="160"/>
    <x v="0"/>
    <x v="3"/>
    <n v="1315"/>
    <x v="7"/>
    <m/>
    <m/>
    <s v="Supplier"/>
    <m/>
    <x v="688"/>
    <s v="New Leaf_General Agreement (missing supply chain and Quality appendix)_27Jul12.pdf"/>
    <s v=".pdf"/>
    <d v="2014-03-31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and  CP Panel"/>
    <x v="1"/>
    <x v="2"/>
    <x v="1"/>
    <x v="5"/>
    <m/>
    <m/>
    <m/>
    <n v="1"/>
    <m/>
    <m/>
    <s v="FP"/>
    <s v="CP"/>
    <s v="SP"/>
    <s v="MOULD"/>
    <s v="FP CP SP MOULD Both"/>
    <x v="0"/>
    <x v="1"/>
    <m/>
    <x v="50"/>
  </r>
  <r>
    <n v="1339"/>
    <x v="170"/>
    <x v="170"/>
    <x v="160"/>
    <x v="0"/>
    <x v="3"/>
    <n v="1308"/>
    <x v="7"/>
    <m/>
    <m/>
    <s v="Supplier"/>
    <m/>
    <x v="689"/>
    <s v="New_Leaf_Env_Declaration_18Mar2010.xls"/>
    <s v=".xls"/>
    <d v="2014-03-31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and  CP Panel"/>
    <x v="1"/>
    <x v="2"/>
    <x v="1"/>
    <x v="5"/>
    <m/>
    <m/>
    <m/>
    <n v="1"/>
    <m/>
    <m/>
    <s v="FP"/>
    <s v="CP"/>
    <s v="SP"/>
    <s v="MOULD"/>
    <s v="FP CP SP MOULD Both"/>
    <x v="0"/>
    <x v="1"/>
    <m/>
    <x v="50"/>
  </r>
  <r>
    <n v="1349"/>
    <x v="170"/>
    <x v="170"/>
    <x v="160"/>
    <x v="0"/>
    <x v="3"/>
    <n v="1318"/>
    <x v="9"/>
    <m/>
    <m/>
    <s v="Supplier"/>
    <m/>
    <x v="690"/>
    <s v="New_Leaf_LOC_19Apr2010.pdf"/>
    <s v=".pdf"/>
    <d v="2014-03-3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and  CP Panel"/>
    <x v="1"/>
    <x v="2"/>
    <x v="1"/>
    <x v="5"/>
    <m/>
    <m/>
    <m/>
    <n v="1"/>
    <n v="1"/>
    <m/>
    <s v="FP"/>
    <s v="CP"/>
    <s v="SP"/>
    <s v="MOULD"/>
    <s v="FP CP SP MOULD Both"/>
    <x v="0"/>
    <x v="1"/>
    <m/>
    <x v="50"/>
  </r>
  <r>
    <n v="1332"/>
    <x v="170"/>
    <x v="170"/>
    <x v="160"/>
    <x v="0"/>
    <x v="3"/>
    <n v="1301"/>
    <x v="16"/>
    <m/>
    <m/>
    <s v="Supplier"/>
    <m/>
    <x v="691"/>
    <s v="ROCHEDO Tigger and Pawn - Purchase Agreement_n_ IP_4Mar11.pdf"/>
    <s v=".pdf"/>
    <d v="2014-03-31T00:00:00"/>
    <s v="as\afok"/>
    <s v="Purchasing agreement: ROCHEDO Tigger and Pawn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and  CP Panel"/>
    <x v="1"/>
    <x v="2"/>
    <x v="1"/>
    <x v="5"/>
    <m/>
    <m/>
    <m/>
    <n v="1"/>
    <m/>
    <m/>
    <s v="FP"/>
    <s v="CP"/>
    <s v="SP"/>
    <s v="MOULD"/>
    <s v="FP CP SP MOULD Both"/>
    <x v="0"/>
    <x v="1"/>
    <m/>
    <x v="50"/>
  </r>
  <r>
    <n v="1344"/>
    <x v="170"/>
    <x v="170"/>
    <x v="160"/>
    <x v="0"/>
    <x v="3"/>
    <n v="1313"/>
    <x v="8"/>
    <m/>
    <m/>
    <s v="Supplier"/>
    <m/>
    <x v="261"/>
    <s v="New Leaf_Responsible Purchasing Charter_6Aug12.pdf"/>
    <s v=".pdf"/>
    <d v="2014-03-3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and  CP Panel"/>
    <x v="1"/>
    <x v="2"/>
    <x v="1"/>
    <x v="5"/>
    <m/>
    <m/>
    <m/>
    <n v="1"/>
    <m/>
    <m/>
    <s v="FP"/>
    <s v="CP"/>
    <s v="SP"/>
    <s v="MOULD"/>
    <s v="FP CP SP MOULD Both"/>
    <x v="0"/>
    <x v="1"/>
    <m/>
    <x v="50"/>
  </r>
  <r>
    <n v="1337"/>
    <x v="170"/>
    <x v="170"/>
    <x v="160"/>
    <x v="0"/>
    <x v="3"/>
    <n v="1306"/>
    <x v="1"/>
    <m/>
    <m/>
    <s v="Supplier"/>
    <m/>
    <x v="639"/>
    <s v="NewLeaf_SEF_Sep2012-Jac.xlsx"/>
    <s v=".xlsx"/>
    <d v="2014-03-31T00:00:00"/>
    <s v="as\afok"/>
    <m/>
    <s v="2012"/>
    <m/>
    <m/>
    <m/>
    <m/>
    <m/>
    <x v="0"/>
    <x v="0"/>
    <x v="0"/>
    <x v="15"/>
    <x v="0"/>
    <x v="0"/>
    <x v="0"/>
    <x v="0"/>
    <x v="0"/>
    <x v="0"/>
    <x v="0"/>
    <x v="0"/>
    <x v="0"/>
    <x v="0"/>
    <x v="0"/>
    <s v="FP Panel and  CP Panel"/>
    <x v="1"/>
    <x v="2"/>
    <x v="1"/>
    <x v="5"/>
    <m/>
    <m/>
    <m/>
    <n v="1"/>
    <m/>
    <m/>
    <s v="FP"/>
    <s v="CP"/>
    <s v="SP"/>
    <s v="MOULD"/>
    <s v="FP CP SP MOULD Both"/>
    <x v="0"/>
    <x v="1"/>
    <m/>
    <x v="50"/>
  </r>
  <r>
    <n v="1338"/>
    <x v="170"/>
    <x v="170"/>
    <x v="160"/>
    <x v="0"/>
    <x v="3"/>
    <n v="1307"/>
    <x v="1"/>
    <m/>
    <m/>
    <s v="Supplier"/>
    <m/>
    <x v="502"/>
    <s v="Newleaf_SEF_Apr2011-jac.xlsx"/>
    <s v=".xlsx"/>
    <d v="2014-03-31T00:00:00"/>
    <s v="as\afok"/>
    <m/>
    <s v="2011"/>
    <m/>
    <m/>
    <m/>
    <m/>
    <m/>
    <x v="0"/>
    <x v="0"/>
    <x v="0"/>
    <x v="14"/>
    <x v="0"/>
    <x v="0"/>
    <x v="0"/>
    <x v="0"/>
    <x v="0"/>
    <x v="0"/>
    <x v="0"/>
    <x v="0"/>
    <x v="0"/>
    <x v="0"/>
    <x v="0"/>
    <s v="FP Panel and  CP Panel"/>
    <x v="1"/>
    <x v="2"/>
    <x v="1"/>
    <x v="5"/>
    <m/>
    <m/>
    <m/>
    <n v="1"/>
    <m/>
    <m/>
    <s v="FP"/>
    <s v="CP"/>
    <s v="SP"/>
    <s v="MOULD"/>
    <s v="FP CP SP MOULD Both"/>
    <x v="0"/>
    <x v="1"/>
    <m/>
    <x v="50"/>
  </r>
  <r>
    <n v="1348"/>
    <x v="170"/>
    <x v="170"/>
    <x v="160"/>
    <x v="0"/>
    <x v="3"/>
    <n v="1317"/>
    <x v="2"/>
    <n v="1"/>
    <m/>
    <s v="Supplier"/>
    <m/>
    <x v="692"/>
    <s v="SIF2011_New_Leaf.xlsx"/>
    <s v=".xlsx"/>
    <d v="2014-03-31T00:00:00"/>
    <s v="as\afok"/>
    <m/>
    <s v="2011"/>
    <m/>
    <m/>
    <m/>
    <m/>
    <m/>
    <x v="0"/>
    <x v="0"/>
    <x v="0"/>
    <x v="0"/>
    <x v="5"/>
    <x v="123"/>
    <x v="162"/>
    <x v="146"/>
    <x v="37"/>
    <x v="123"/>
    <x v="1"/>
    <x v="89"/>
    <x v="34"/>
    <x v="69"/>
    <x v="67"/>
    <s v="FP Panel and  CP Panel"/>
    <x v="1"/>
    <x v="2"/>
    <x v="1"/>
    <x v="5"/>
    <m/>
    <m/>
    <m/>
    <n v="1"/>
    <m/>
    <m/>
    <s v="FP"/>
    <s v="CP"/>
    <s v="SP"/>
    <s v="MOULD"/>
    <s v="FP CP SP MOULD Both"/>
    <x v="1"/>
    <x v="1"/>
    <m/>
    <x v="50"/>
  </r>
  <r>
    <n v="1331"/>
    <x v="170"/>
    <x v="170"/>
    <x v="160"/>
    <x v="0"/>
    <x v="3"/>
    <n v="1300"/>
    <x v="2"/>
    <m/>
    <m/>
    <s v="Supplier"/>
    <m/>
    <x v="551"/>
    <s v="New_Leaf_SIF 2013.xls"/>
    <s v=".xls"/>
    <d v="2014-03-31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and  CP Panel"/>
    <x v="1"/>
    <x v="2"/>
    <x v="1"/>
    <x v="5"/>
    <m/>
    <m/>
    <m/>
    <n v="1"/>
    <m/>
    <m/>
    <s v="FP"/>
    <s v="CP"/>
    <s v="SP"/>
    <s v="MOULD"/>
    <s v="FP CP SP MOULD Both"/>
    <x v="1"/>
    <x v="1"/>
    <m/>
    <x v="50"/>
  </r>
  <r>
    <n v="1334"/>
    <x v="170"/>
    <x v="170"/>
    <x v="160"/>
    <x v="0"/>
    <x v="3"/>
    <n v="1303"/>
    <x v="3"/>
    <m/>
    <m/>
    <s v="Supplier"/>
    <m/>
    <x v="693"/>
    <s v="NewLeaf-SPR Final on 25Jun12.pptx"/>
    <s v=".pptx"/>
    <d v="2014-03-31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and  CP Panel"/>
    <x v="1"/>
    <x v="2"/>
    <x v="1"/>
    <x v="5"/>
    <m/>
    <m/>
    <m/>
    <n v="1"/>
    <m/>
    <m/>
    <s v="FP"/>
    <s v="CP"/>
    <s v="SP"/>
    <s v="MOULD"/>
    <s v="FP CP SP MOULD Both"/>
    <x v="0"/>
    <x v="1"/>
    <m/>
    <x v="50"/>
  </r>
  <r>
    <n v="2089"/>
    <x v="171"/>
    <x v="171"/>
    <x v="161"/>
    <x v="4"/>
    <x v="14"/>
    <n v="2032"/>
    <x v="13"/>
    <m/>
    <m/>
    <s v="Supplier"/>
    <d v="2012-02-05T00:00:00"/>
    <x v="392"/>
    <s v="NIFCO_ISO14001_05Feb2012.JPG"/>
    <s v=".jpg"/>
    <d v="2014-04-1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s v="CP"/>
    <m/>
    <m/>
    <s v="CP "/>
    <x v="0"/>
    <x v="1"/>
    <m/>
    <x v="12"/>
  </r>
  <r>
    <n v="2088"/>
    <x v="171"/>
    <x v="171"/>
    <x v="161"/>
    <x v="4"/>
    <x v="14"/>
    <n v="2031"/>
    <x v="8"/>
    <m/>
    <m/>
    <s v="Supplier"/>
    <m/>
    <x v="46"/>
    <s v="Nifco_Responsible_Purchasing_Charter_04Sep12.tif"/>
    <s v=".tif"/>
    <d v="2014-04-1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12"/>
  </r>
  <r>
    <n v="2087"/>
    <x v="171"/>
    <x v="171"/>
    <x v="161"/>
    <x v="4"/>
    <x v="14"/>
    <n v="2030"/>
    <x v="2"/>
    <m/>
    <m/>
    <s v="Supplier"/>
    <m/>
    <x v="694"/>
    <s v="Nifco_SIF2013.xlsx"/>
    <s v=".xlsx"/>
    <d v="2014-04-11T00:00:00"/>
    <s v="as\afok"/>
    <m/>
    <s v="2013"/>
    <m/>
    <m/>
    <m/>
    <m/>
    <m/>
    <x v="0"/>
    <x v="0"/>
    <x v="0"/>
    <x v="0"/>
    <x v="2"/>
    <x v="127"/>
    <x v="108"/>
    <x v="147"/>
    <x v="0"/>
    <x v="0"/>
    <x v="0"/>
    <x v="24"/>
    <x v="0"/>
    <x v="0"/>
    <x v="0"/>
    <m/>
    <x v="0"/>
    <x v="0"/>
    <x v="0"/>
    <x v="0"/>
    <m/>
    <m/>
    <m/>
    <n v="0"/>
    <m/>
    <m/>
    <m/>
    <s v="CP"/>
    <m/>
    <m/>
    <s v="CP "/>
    <x v="2"/>
    <x v="1"/>
    <m/>
    <x v="12"/>
  </r>
  <r>
    <n v="2435"/>
    <x v="172"/>
    <x v="172"/>
    <x v="162"/>
    <x v="5"/>
    <x v="16"/>
    <n v="2376"/>
    <x v="8"/>
    <m/>
    <m/>
    <s v="Supplier"/>
    <m/>
    <x v="338"/>
    <s v="Bangshou_Responsible Purchasing Charter_14Aug2012.pdf"/>
    <s v=".pdf"/>
    <d v="2014-04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0"/>
    <m/>
    <m/>
    <s v="FP"/>
    <m/>
    <s v="SP"/>
    <s v="MOULD"/>
    <s v="FP SP MOULD "/>
    <x v="0"/>
    <x v="1"/>
    <m/>
    <x v="10"/>
  </r>
  <r>
    <n v="2434"/>
    <x v="172"/>
    <x v="172"/>
    <x v="162"/>
    <x v="5"/>
    <x v="16"/>
    <n v="2375"/>
    <x v="2"/>
    <m/>
    <m/>
    <s v="Supplier"/>
    <m/>
    <x v="45"/>
    <s v="Bangshou_SIF_Jan2014.xlsx"/>
    <s v=".xlsx"/>
    <d v="2014-04-17T00:00:00"/>
    <s v="as\afok"/>
    <m/>
    <s v="2014"/>
    <m/>
    <m/>
    <m/>
    <m/>
    <m/>
    <x v="0"/>
    <x v="0"/>
    <x v="0"/>
    <x v="0"/>
    <x v="3"/>
    <x v="90"/>
    <x v="163"/>
    <x v="60"/>
    <x v="24"/>
    <x v="124"/>
    <x v="4"/>
    <x v="8"/>
    <x v="0"/>
    <x v="0"/>
    <x v="0"/>
    <s v="FP panel"/>
    <x v="1"/>
    <x v="1"/>
    <x v="0"/>
    <x v="0"/>
    <m/>
    <m/>
    <m/>
    <n v="0"/>
    <m/>
    <m/>
    <s v="FP"/>
    <m/>
    <s v="SP"/>
    <s v="MOULD"/>
    <s v="FP SP MOULD "/>
    <x v="3"/>
    <x v="1"/>
    <m/>
    <x v="10"/>
  </r>
  <r>
    <n v="2436"/>
    <x v="172"/>
    <x v="172"/>
    <x v="162"/>
    <x v="5"/>
    <x v="16"/>
    <n v="2377"/>
    <x v="2"/>
    <n v="1"/>
    <m/>
    <s v="Supplier"/>
    <m/>
    <x v="695"/>
    <s v="Bangshou_SIF_5Mar2012.xlsx"/>
    <s v=".xlsx"/>
    <d v="2014-04-17T00:00:00"/>
    <s v="as\afok"/>
    <m/>
    <s v="2012"/>
    <m/>
    <m/>
    <m/>
    <m/>
    <m/>
    <x v="0"/>
    <x v="0"/>
    <x v="0"/>
    <x v="0"/>
    <x v="1"/>
    <x v="69"/>
    <x v="62"/>
    <x v="118"/>
    <x v="132"/>
    <x v="125"/>
    <x v="4"/>
    <x v="34"/>
    <x v="0"/>
    <x v="0"/>
    <x v="0"/>
    <s v="FP panel"/>
    <x v="1"/>
    <x v="1"/>
    <x v="0"/>
    <x v="0"/>
    <m/>
    <m/>
    <m/>
    <n v="0"/>
    <m/>
    <n v="1"/>
    <s v="FP"/>
    <m/>
    <s v="SP"/>
    <s v="MOULD"/>
    <s v="FP SP MOULD "/>
    <x v="3"/>
    <x v="1"/>
    <m/>
    <x v="10"/>
  </r>
  <r>
    <n v="1624"/>
    <x v="173"/>
    <x v="173"/>
    <x v="163"/>
    <x v="3"/>
    <x v="4"/>
    <n v="1585"/>
    <x v="4"/>
    <m/>
    <m/>
    <s v="Supplier"/>
    <m/>
    <x v="696"/>
    <s v="NyHang_FHA6E022_20091202.pdf"/>
    <s v=".pdf"/>
    <d v="2014-04-04T00:00:00"/>
    <s v="as\afok"/>
    <m/>
    <s v="FHA 6E 022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m/>
    <s v="SP"/>
    <s v="MOULD"/>
    <s v="FP SP MOULD "/>
    <x v="0"/>
    <x v="1"/>
    <m/>
    <x v="11"/>
  </r>
  <r>
    <n v="1625"/>
    <x v="173"/>
    <x v="173"/>
    <x v="163"/>
    <x v="3"/>
    <x v="4"/>
    <n v="1586"/>
    <x v="5"/>
    <m/>
    <m/>
    <s v="Supplier"/>
    <m/>
    <x v="696"/>
    <s v="NyHang_FHA6E022_20091202.pdf"/>
    <s v=".pdf"/>
    <d v="2014-04-04T00:00:00"/>
    <s v="as\afok"/>
    <m/>
    <s v="FHA 00 014"/>
    <m/>
    <m/>
    <m/>
    <n v="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m/>
    <s v="SP"/>
    <s v="MOULD"/>
    <s v="FP SP MOULD "/>
    <x v="0"/>
    <x v="1"/>
    <m/>
    <x v="11"/>
  </r>
  <r>
    <n v="1626"/>
    <x v="173"/>
    <x v="173"/>
    <x v="163"/>
    <x v="3"/>
    <x v="4"/>
    <n v="1587"/>
    <x v="6"/>
    <m/>
    <m/>
    <s v="Supplier"/>
    <m/>
    <x v="697"/>
    <s v="NyHang_FHA6E022_20091202.pdf"/>
    <s v=".pdf"/>
    <d v="2014-04-04T00:00:00"/>
    <s v="as\afok"/>
    <m/>
    <m/>
    <m/>
    <n v="40"/>
    <n v="0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m/>
    <s v="SP"/>
    <s v="MOULD"/>
    <s v="FP SP MOULD "/>
    <x v="0"/>
    <x v="1"/>
    <m/>
    <x v="11"/>
  </r>
  <r>
    <n v="1627"/>
    <x v="173"/>
    <x v="173"/>
    <x v="163"/>
    <x v="3"/>
    <x v="4"/>
    <n v="1588"/>
    <x v="7"/>
    <m/>
    <m/>
    <s v="Supplier"/>
    <m/>
    <x v="61"/>
    <s v="Ny_Hang_Env_Declaration_31Mar2010.xlsx"/>
    <s v=".xlsx"/>
    <d v="2014-04-04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11"/>
  </r>
  <r>
    <n v="1619"/>
    <x v="173"/>
    <x v="173"/>
    <x v="163"/>
    <x v="3"/>
    <x v="4"/>
    <n v="1580"/>
    <x v="11"/>
    <m/>
    <m/>
    <s v="Supplier"/>
    <m/>
    <x v="71"/>
    <s v="NYHANG -  WORLDWIDE EXCLUSIVITY FORM_14Oct10.pdf"/>
    <s v=".pdf"/>
    <d v="2014-04-04T00:00:00"/>
    <s v="as\afok"/>
    <s v="WORLDWIDE EXCLUSIVITY 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11"/>
  </r>
  <r>
    <n v="1623"/>
    <x v="173"/>
    <x v="173"/>
    <x v="163"/>
    <x v="3"/>
    <x v="4"/>
    <n v="1584"/>
    <x v="0"/>
    <m/>
    <m/>
    <s v="Supplier"/>
    <m/>
    <x v="698"/>
    <s v="Ny Hang FRD00069 ind.04 20090716.pdf"/>
    <s v=".pdf"/>
    <d v="2014-04-04T00:00:00"/>
    <s v="as\afok"/>
    <m/>
    <s v="FRD 00 069 ind.04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11"/>
  </r>
  <r>
    <n v="1621"/>
    <x v="173"/>
    <x v="173"/>
    <x v="163"/>
    <x v="3"/>
    <x v="4"/>
    <n v="1582"/>
    <x v="8"/>
    <m/>
    <m/>
    <s v="Supplier"/>
    <m/>
    <x v="46"/>
    <s v="NyHang - Responsible Purchasing Charter.pdf"/>
    <s v=".pdf"/>
    <d v="2014-04-0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11"/>
  </r>
  <r>
    <n v="1622"/>
    <x v="173"/>
    <x v="173"/>
    <x v="163"/>
    <x v="3"/>
    <x v="4"/>
    <n v="1583"/>
    <x v="1"/>
    <m/>
    <m/>
    <s v="Supplier"/>
    <m/>
    <x v="72"/>
    <s v="SEF_NY Hang_201206.xlsx"/>
    <s v=".xlsx"/>
    <d v="2014-04-04T00:00:00"/>
    <s v="as\afok"/>
    <m/>
    <s v="2012"/>
    <m/>
    <m/>
    <m/>
    <m/>
    <m/>
    <x v="0"/>
    <x v="0"/>
    <x v="0"/>
    <x v="12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11"/>
  </r>
  <r>
    <n v="1620"/>
    <x v="173"/>
    <x v="173"/>
    <x v="163"/>
    <x v="3"/>
    <x v="4"/>
    <n v="1581"/>
    <x v="2"/>
    <m/>
    <m/>
    <s v="Supplier"/>
    <m/>
    <x v="106"/>
    <s v="NYHANG_SIF 2012_28Feb12.xlsx"/>
    <s v=".xlsx"/>
    <d v="2014-04-04T00:00:00"/>
    <s v="as\afok"/>
    <m/>
    <s v="2012"/>
    <m/>
    <m/>
    <m/>
    <m/>
    <m/>
    <x v="0"/>
    <x v="0"/>
    <x v="0"/>
    <x v="0"/>
    <x v="1"/>
    <x v="40"/>
    <x v="164"/>
    <x v="50"/>
    <x v="5"/>
    <x v="126"/>
    <x v="47"/>
    <x v="54"/>
    <x v="79"/>
    <x v="70"/>
    <x v="0"/>
    <m/>
    <x v="0"/>
    <x v="0"/>
    <x v="0"/>
    <x v="0"/>
    <m/>
    <m/>
    <m/>
    <n v="1"/>
    <m/>
    <m/>
    <s v="FP"/>
    <m/>
    <s v="SP"/>
    <s v="MOULD"/>
    <s v="FP SP MOULD "/>
    <x v="3"/>
    <x v="1"/>
    <m/>
    <x v="11"/>
  </r>
  <r>
    <n v="1618"/>
    <x v="173"/>
    <x v="173"/>
    <x v="163"/>
    <x v="3"/>
    <x v="4"/>
    <n v="1579"/>
    <x v="2"/>
    <n v="1"/>
    <m/>
    <s v="Supplier"/>
    <m/>
    <x v="305"/>
    <s v="SIF 2013 - NyHang.xls"/>
    <s v=".xls"/>
    <d v="2014-04-04T00:00:00"/>
    <s v="as\afok"/>
    <m/>
    <s v="2013"/>
    <m/>
    <m/>
    <m/>
    <m/>
    <m/>
    <x v="0"/>
    <x v="0"/>
    <x v="0"/>
    <x v="0"/>
    <x v="2"/>
    <x v="69"/>
    <x v="165"/>
    <x v="148"/>
    <x v="5"/>
    <x v="62"/>
    <x v="11"/>
    <x v="90"/>
    <x v="80"/>
    <x v="0"/>
    <x v="0"/>
    <m/>
    <x v="0"/>
    <x v="0"/>
    <x v="0"/>
    <x v="0"/>
    <m/>
    <m/>
    <m/>
    <n v="1"/>
    <m/>
    <m/>
    <s v="FP"/>
    <m/>
    <s v="SP"/>
    <s v="MOULD"/>
    <s v="FP SP MOULD "/>
    <x v="3"/>
    <x v="1"/>
    <m/>
    <x v="11"/>
  </r>
  <r>
    <n v="1628"/>
    <x v="173"/>
    <x v="173"/>
    <x v="163"/>
    <x v="3"/>
    <x v="4"/>
    <n v="1589"/>
    <x v="3"/>
    <m/>
    <m/>
    <s v="Supplier"/>
    <m/>
    <x v="548"/>
    <s v="NyHang_SPR_2009.xlsx"/>
    <s v=".xlsx"/>
    <d v="2014-04-04T00:00:00"/>
    <s v="as\afok"/>
    <m/>
    <s v="2009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n v="1"/>
    <m/>
    <s v="FP"/>
    <m/>
    <s v="SP"/>
    <s v="MOULD"/>
    <s v="FP SP MOULD "/>
    <x v="0"/>
    <x v="1"/>
    <m/>
    <x v="11"/>
  </r>
  <r>
    <n v="1055"/>
    <x v="174"/>
    <x v="174"/>
    <x v="164"/>
    <x v="1"/>
    <x v="11"/>
    <n v="1032"/>
    <x v="8"/>
    <m/>
    <m/>
    <s v="Supplier"/>
    <m/>
    <x v="46"/>
    <s v="Olympic_Country_Responsible Purchasing Charter_04Sept2012.pdf"/>
    <s v=".pdf"/>
    <d v="2014-03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1054"/>
    <x v="174"/>
    <x v="174"/>
    <x v="164"/>
    <x v="1"/>
    <x v="11"/>
    <n v="1031"/>
    <x v="1"/>
    <m/>
    <m/>
    <s v="Supplier"/>
    <m/>
    <x v="112"/>
    <s v="Olympic_SEF_2012-2.xlsx"/>
    <s v=".xlsx"/>
    <d v="2014-03-25T00:00:00"/>
    <s v="as\afok"/>
    <m/>
    <s v="2012"/>
    <m/>
    <m/>
    <m/>
    <m/>
    <m/>
    <x v="0"/>
    <x v="0"/>
    <x v="0"/>
    <x v="5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1052"/>
    <x v="174"/>
    <x v="174"/>
    <x v="164"/>
    <x v="1"/>
    <x v="11"/>
    <n v="1029"/>
    <x v="1"/>
    <m/>
    <m/>
    <s v="Supplier"/>
    <m/>
    <x v="111"/>
    <s v="Olympic_SEF_2013-1.xls"/>
    <s v=".xls"/>
    <d v="2014-03-25T00:00:00"/>
    <s v="as\afok"/>
    <m/>
    <s v="2013"/>
    <m/>
    <m/>
    <m/>
    <m/>
    <m/>
    <x v="0"/>
    <x v="0"/>
    <x v="0"/>
    <x v="19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1056"/>
    <x v="174"/>
    <x v="174"/>
    <x v="164"/>
    <x v="1"/>
    <x v="11"/>
    <n v="1033"/>
    <x v="1"/>
    <m/>
    <m/>
    <s v="Supplier"/>
    <m/>
    <x v="30"/>
    <s v="Olympic_SEF_2012.xlsx"/>
    <s v=".xlsx"/>
    <d v="2014-03-25T00:00:00"/>
    <s v="as\afok"/>
    <m/>
    <s v="2012"/>
    <m/>
    <m/>
    <m/>
    <m/>
    <m/>
    <x v="0"/>
    <x v="0"/>
    <x v="0"/>
    <x v="17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s v="CP"/>
    <m/>
    <m/>
    <s v="CP "/>
    <x v="0"/>
    <x v="1"/>
    <m/>
    <x v="8"/>
  </r>
  <r>
    <n v="1053"/>
    <x v="174"/>
    <x v="174"/>
    <x v="164"/>
    <x v="1"/>
    <x v="11"/>
    <n v="1030"/>
    <x v="2"/>
    <n v="1"/>
    <m/>
    <s v="Supplier"/>
    <m/>
    <x v="161"/>
    <s v="Olympic_Country_SIF 2013.xls"/>
    <s v=".xls"/>
    <d v="2014-03-25T00:00:00"/>
    <s v="as\afok"/>
    <m/>
    <s v="2013"/>
    <m/>
    <m/>
    <m/>
    <m/>
    <m/>
    <x v="0"/>
    <x v="0"/>
    <x v="0"/>
    <x v="0"/>
    <x v="2"/>
    <x v="128"/>
    <x v="166"/>
    <x v="149"/>
    <x v="82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2"/>
    <x v="1"/>
    <m/>
    <x v="8"/>
  </r>
  <r>
    <n v="529"/>
    <x v="175"/>
    <x v="175"/>
    <x v="165"/>
    <x v="0"/>
    <x v="0"/>
    <n v="515"/>
    <x v="4"/>
    <m/>
    <m/>
    <s v="Supplier"/>
    <m/>
    <x v="699"/>
    <s v="Arabin _General Agreement _ Ind 12_ SEP 2013.pdf"/>
    <s v=".pdf"/>
    <d v="2014-03-18T00:00:00"/>
    <s v="as\afok"/>
    <m/>
    <s v="FRD00016 ind.12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n v="1"/>
    <m/>
    <m/>
    <n v="1"/>
    <m/>
    <m/>
    <s v="FP"/>
    <m/>
    <m/>
    <s v="MOULD"/>
    <s v="FP MOULD "/>
    <x v="0"/>
    <x v="1"/>
    <m/>
    <x v="0"/>
  </r>
  <r>
    <n v="533"/>
    <x v="175"/>
    <x v="175"/>
    <x v="165"/>
    <x v="0"/>
    <x v="0"/>
    <n v="519"/>
    <x v="4"/>
    <m/>
    <m/>
    <s v="Supplier"/>
    <m/>
    <x v="223"/>
    <s v="Arabin _General Agreement _ Ind 10_ 30 JUL13.pdf"/>
    <s v=".pdf"/>
    <d v="2014-03-18T00:00:00"/>
    <s v="as\afok"/>
    <m/>
    <s v="FRD00069 ind.10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n v="1"/>
    <m/>
    <m/>
    <n v="1"/>
    <m/>
    <m/>
    <s v="FP"/>
    <m/>
    <m/>
    <s v="MOULD"/>
    <s v="FP MOULD "/>
    <x v="0"/>
    <x v="1"/>
    <m/>
    <x v="0"/>
  </r>
  <r>
    <n v="532"/>
    <x v="175"/>
    <x v="175"/>
    <x v="165"/>
    <x v="0"/>
    <x v="0"/>
    <n v="518"/>
    <x v="5"/>
    <m/>
    <m/>
    <s v="Supplier"/>
    <m/>
    <x v="699"/>
    <s v="Arabin _General Agreement _ Ind 12_ SEP 2013.pdf"/>
    <s v=".pdf"/>
    <d v="2014-03-18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n v="1"/>
    <m/>
    <n v="1"/>
    <m/>
    <m/>
    <s v="FP"/>
    <m/>
    <m/>
    <s v="MOULD"/>
    <s v="FP MOULD "/>
    <x v="0"/>
    <x v="1"/>
    <m/>
    <x v="0"/>
  </r>
  <r>
    <n v="531"/>
    <x v="175"/>
    <x v="175"/>
    <x v="165"/>
    <x v="0"/>
    <x v="0"/>
    <n v="517"/>
    <x v="6"/>
    <m/>
    <m/>
    <s v="Supplier"/>
    <m/>
    <x v="699"/>
    <s v="Arabin _General Agreement _ Ind 12_ SEP 2013.pdf"/>
    <s v=".pdf"/>
    <d v="2014-03-18T00:00:00"/>
    <s v="as\afok"/>
    <m/>
    <s v="V10"/>
    <m/>
    <n v="90"/>
    <n v="85"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n v="1"/>
    <n v="1"/>
    <m/>
    <m/>
    <s v="FP"/>
    <m/>
    <m/>
    <s v="MOULD"/>
    <s v="FP MOULD "/>
    <x v="0"/>
    <x v="1"/>
    <m/>
    <x v="0"/>
  </r>
  <r>
    <n v="534"/>
    <x v="175"/>
    <x v="175"/>
    <x v="165"/>
    <x v="0"/>
    <x v="0"/>
    <n v="520"/>
    <x v="10"/>
    <m/>
    <m/>
    <s v="Supplier"/>
    <m/>
    <x v="132"/>
    <s v="Arabin_Declaration letter of Group Organization _14 Jan13.pdf"/>
    <s v=".pdf"/>
    <d v="2014-03-1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m/>
    <s v="MOULD"/>
    <s v="FP MOULD "/>
    <x v="0"/>
    <x v="1"/>
    <m/>
    <x v="0"/>
  </r>
  <r>
    <n v="530"/>
    <x v="175"/>
    <x v="175"/>
    <x v="165"/>
    <x v="0"/>
    <x v="0"/>
    <n v="516"/>
    <x v="7"/>
    <m/>
    <m/>
    <s v="Supplier"/>
    <m/>
    <x v="699"/>
    <s v="Arabin _General Agreement _ Ind 12_ SEP 2013.pdf"/>
    <s v=".pdf"/>
    <d v="2014-03-18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m/>
    <s v="MOULD"/>
    <s v="FP MOULD "/>
    <x v="0"/>
    <x v="1"/>
    <m/>
    <x v="0"/>
  </r>
  <r>
    <n v="535"/>
    <x v="175"/>
    <x v="175"/>
    <x v="165"/>
    <x v="0"/>
    <x v="0"/>
    <n v="521"/>
    <x v="7"/>
    <m/>
    <m/>
    <s v="Supplier"/>
    <m/>
    <x v="14"/>
    <s v="Arabin_Groupe SEB Environnemental Declaration for Supplier 2011.pdf"/>
    <s v=".pdf"/>
    <d v="2014-03-18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m/>
    <s v="MOULD"/>
    <s v="FP MOULD "/>
    <x v="0"/>
    <x v="1"/>
    <m/>
    <x v="0"/>
  </r>
  <r>
    <n v="536"/>
    <x v="175"/>
    <x v="175"/>
    <x v="165"/>
    <x v="0"/>
    <x v="0"/>
    <n v="522"/>
    <x v="8"/>
    <m/>
    <m/>
    <s v="Supplier"/>
    <m/>
    <x v="558"/>
    <s v="Arabin_Responsible Purchasing Charter_23Mar2013.pdf"/>
    <s v=".pdf"/>
    <d v="2014-03-1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m/>
    <s v="MOULD"/>
    <s v="FP MOULD "/>
    <x v="0"/>
    <x v="1"/>
    <m/>
    <x v="0"/>
  </r>
  <r>
    <n v="538"/>
    <x v="175"/>
    <x v="175"/>
    <x v="165"/>
    <x v="0"/>
    <x v="0"/>
    <n v="524"/>
    <x v="2"/>
    <m/>
    <m/>
    <s v="Supplier"/>
    <m/>
    <x v="574"/>
    <s v="Arabin - Bank account details_28Mar13.pdf"/>
    <s v=".pdf"/>
    <d v="2014-03-18T00:00:00"/>
    <s v="as\afok"/>
    <s v="Bank account details"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n v="1"/>
    <m/>
    <s v="FP"/>
    <m/>
    <m/>
    <s v="MOULD"/>
    <s v="FP MOULD "/>
    <x v="3"/>
    <x v="1"/>
    <m/>
    <x v="0"/>
  </r>
  <r>
    <n v="537"/>
    <x v="175"/>
    <x v="175"/>
    <x v="165"/>
    <x v="0"/>
    <x v="0"/>
    <n v="523"/>
    <x v="2"/>
    <m/>
    <m/>
    <s v="Supplier"/>
    <m/>
    <x v="574"/>
    <s v="Arabin - SIF_28Mar13.pdf"/>
    <s v=".pdf"/>
    <d v="2014-03-18T00:00:00"/>
    <s v="as\afok"/>
    <m/>
    <s v="2013"/>
    <m/>
    <m/>
    <m/>
    <m/>
    <m/>
    <x v="0"/>
    <x v="0"/>
    <x v="0"/>
    <x v="0"/>
    <x v="2"/>
    <x v="80"/>
    <x v="104"/>
    <x v="53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m/>
    <s v="MOULD"/>
    <s v="FP MOULD "/>
    <x v="3"/>
    <x v="1"/>
    <m/>
    <x v="0"/>
  </r>
  <r>
    <n v="1869"/>
    <x v="176"/>
    <x v="176"/>
    <x v="166"/>
    <x v="4"/>
    <x v="17"/>
    <n v="1825"/>
    <x v="4"/>
    <m/>
    <m/>
    <s v="Supplier"/>
    <m/>
    <x v="202"/>
    <s v="Agreement_Onyx_APR12.pdf"/>
    <s v=".pdf"/>
    <d v="2014-04-09T00:00:00"/>
    <s v="as\afok"/>
    <m/>
    <s v="V7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n v="1"/>
    <m/>
    <m/>
    <n v="1"/>
    <m/>
    <m/>
    <m/>
    <s v="CP"/>
    <m/>
    <m/>
    <s v="CP "/>
    <x v="0"/>
    <x v="1"/>
    <m/>
    <x v="26"/>
  </r>
  <r>
    <n v="1874"/>
    <x v="176"/>
    <x v="176"/>
    <x v="166"/>
    <x v="4"/>
    <x v="17"/>
    <n v="1830"/>
    <x v="4"/>
    <m/>
    <m/>
    <s v="Supplier"/>
    <m/>
    <x v="153"/>
    <s v="Agreement_Onyx_Revised_Sep2012.pdf"/>
    <s v=".pdf"/>
    <d v="2014-04-09T00:00:00"/>
    <s v="as\afok"/>
    <s v="revised"/>
    <m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n v="1"/>
    <m/>
    <m/>
    <n v="1"/>
    <m/>
    <m/>
    <m/>
    <s v="CP"/>
    <m/>
    <m/>
    <s v="CP "/>
    <x v="0"/>
    <x v="1"/>
    <m/>
    <x v="26"/>
  </r>
  <r>
    <n v="1871"/>
    <x v="176"/>
    <x v="176"/>
    <x v="166"/>
    <x v="4"/>
    <x v="17"/>
    <n v="1827"/>
    <x v="5"/>
    <m/>
    <m/>
    <s v="Supplier"/>
    <m/>
    <x v="202"/>
    <s v="Agreement_Onyx_APR12.pdf"/>
    <s v=".pdf"/>
    <d v="2014-04-09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n v="1"/>
    <m/>
    <n v="1"/>
    <m/>
    <m/>
    <m/>
    <s v="CP"/>
    <m/>
    <m/>
    <s v="CP "/>
    <x v="0"/>
    <x v="1"/>
    <m/>
    <x v="26"/>
  </r>
  <r>
    <n v="1872"/>
    <x v="176"/>
    <x v="176"/>
    <x v="166"/>
    <x v="4"/>
    <x v="17"/>
    <n v="1828"/>
    <x v="6"/>
    <m/>
    <m/>
    <s v="Supplier"/>
    <m/>
    <x v="700"/>
    <s v="Agreement_Onyx_APR12.pdf"/>
    <s v=".pdf"/>
    <d v="2014-04-09T00:00:00"/>
    <s v="as\afok"/>
    <m/>
    <m/>
    <m/>
    <n v="50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n v="1"/>
    <n v="1"/>
    <m/>
    <m/>
    <m/>
    <s v="CP"/>
    <m/>
    <m/>
    <s v="CP "/>
    <x v="0"/>
    <x v="1"/>
    <m/>
    <x v="26"/>
  </r>
  <r>
    <n v="1868"/>
    <x v="176"/>
    <x v="176"/>
    <x v="166"/>
    <x v="4"/>
    <x v="17"/>
    <n v="1824"/>
    <x v="6"/>
    <m/>
    <m/>
    <s v="Supplier"/>
    <m/>
    <x v="567"/>
    <s v="Supply_chain_appendixV.10_Onyx_15_Aug13.PDF"/>
    <s v=".pdf"/>
    <d v="2014-04-09T00:00:00"/>
    <s v="as\afok"/>
    <m/>
    <s v="V10"/>
    <m/>
    <n v="28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n v="1"/>
    <n v="1"/>
    <m/>
    <m/>
    <m/>
    <s v="CP"/>
    <m/>
    <m/>
    <s v="CP "/>
    <x v="0"/>
    <x v="1"/>
    <m/>
    <x v="26"/>
  </r>
  <r>
    <n v="1873"/>
    <x v="176"/>
    <x v="176"/>
    <x v="166"/>
    <x v="4"/>
    <x v="17"/>
    <n v="1829"/>
    <x v="10"/>
    <m/>
    <m/>
    <s v="Supplier"/>
    <m/>
    <x v="435"/>
    <s v="Agreement_Onyx_APR12.pdf"/>
    <s v=".pdf"/>
    <d v="2014-04-0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26"/>
  </r>
  <r>
    <n v="1870"/>
    <x v="176"/>
    <x v="176"/>
    <x v="166"/>
    <x v="4"/>
    <x v="17"/>
    <n v="1826"/>
    <x v="7"/>
    <m/>
    <m/>
    <s v="Supplier"/>
    <m/>
    <x v="202"/>
    <s v="Agreement_Onyx_APR12.pdf"/>
    <s v=".pdf"/>
    <d v="2014-04-09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26"/>
  </r>
  <r>
    <n v="1875"/>
    <x v="176"/>
    <x v="176"/>
    <x v="166"/>
    <x v="4"/>
    <x v="17"/>
    <n v="1831"/>
    <x v="8"/>
    <m/>
    <m/>
    <s v="Supplier"/>
    <m/>
    <x v="93"/>
    <s v="Onyx_Responsible_Purchasing_Charter_09Aug12.pdf"/>
    <s v=".pdf"/>
    <d v="2014-04-0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26"/>
  </r>
  <r>
    <n v="1877"/>
    <x v="176"/>
    <x v="176"/>
    <x v="166"/>
    <x v="4"/>
    <x v="17"/>
    <n v="1833"/>
    <x v="1"/>
    <m/>
    <m/>
    <s v="Supplier"/>
    <m/>
    <x v="497"/>
    <s v="SEF-Onyx-20121119-84.xls"/>
    <s v=".xls"/>
    <d v="2014-04-09T00:00:00"/>
    <s v="as\afok"/>
    <m/>
    <s v="2012"/>
    <m/>
    <m/>
    <m/>
    <m/>
    <m/>
    <x v="0"/>
    <x v="0"/>
    <x v="0"/>
    <x v="23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26"/>
  </r>
  <r>
    <n v="1876"/>
    <x v="176"/>
    <x v="176"/>
    <x v="166"/>
    <x v="4"/>
    <x v="17"/>
    <n v="1832"/>
    <x v="1"/>
    <m/>
    <m/>
    <s v="Supplier"/>
    <m/>
    <x v="288"/>
    <s v="SEF-Onyx-28AUG12-85.xls"/>
    <s v=".xls"/>
    <d v="2014-04-09T00:00:00"/>
    <s v="as\afok"/>
    <m/>
    <s v="2012"/>
    <m/>
    <m/>
    <m/>
    <m/>
    <m/>
    <x v="0"/>
    <x v="0"/>
    <x v="0"/>
    <x v="14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26"/>
  </r>
  <r>
    <n v="1878"/>
    <x v="176"/>
    <x v="176"/>
    <x v="166"/>
    <x v="4"/>
    <x v="17"/>
    <n v="1834"/>
    <x v="2"/>
    <n v="1"/>
    <m/>
    <s v="Supplier"/>
    <m/>
    <x v="44"/>
    <s v="Onyx_SIF2012_17May12.xlsx"/>
    <s v=".xlsx"/>
    <d v="2014-04-09T00:00:00"/>
    <s v="as\afok"/>
    <m/>
    <s v="2012"/>
    <m/>
    <m/>
    <m/>
    <m/>
    <m/>
    <x v="0"/>
    <x v="0"/>
    <x v="0"/>
    <x v="0"/>
    <x v="1"/>
    <x v="63"/>
    <x v="89"/>
    <x v="53"/>
    <x v="0"/>
    <x v="0"/>
    <x v="11"/>
    <x v="33"/>
    <x v="29"/>
    <x v="0"/>
    <x v="0"/>
    <s v="CP Panel"/>
    <x v="0"/>
    <x v="0"/>
    <x v="1"/>
    <x v="1"/>
    <m/>
    <m/>
    <m/>
    <n v="1"/>
    <n v="1"/>
    <m/>
    <m/>
    <s v="CP"/>
    <m/>
    <m/>
    <s v="CP "/>
    <x v="2"/>
    <x v="1"/>
    <m/>
    <x v="26"/>
  </r>
  <r>
    <n v="731"/>
    <x v="177"/>
    <x v="177"/>
    <x v="167"/>
    <x v="2"/>
    <x v="15"/>
    <n v="714"/>
    <x v="7"/>
    <m/>
    <m/>
    <s v="Supplier"/>
    <m/>
    <x v="133"/>
    <s v="Oxygen_Env_Declaration_31May2010.xls"/>
    <s v=".xls"/>
    <d v="2014-03-20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s v="FP"/>
    <m/>
    <s v="SP"/>
    <m/>
    <s v="FP SP "/>
    <x v="0"/>
    <x v="1"/>
    <m/>
    <x v="41"/>
  </r>
  <r>
    <n v="730"/>
    <x v="177"/>
    <x v="177"/>
    <x v="167"/>
    <x v="2"/>
    <x v="15"/>
    <n v="713"/>
    <x v="11"/>
    <m/>
    <m/>
    <s v="Supplier"/>
    <m/>
    <x v="701"/>
    <s v="Exclusivity Summary - Oxygen for 20130125.xlsx"/>
    <s v=".xlsx"/>
    <d v="2014-03-20T00:00:00"/>
    <s v="as\afok"/>
    <s v="Exclusivity Summary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m/>
    <s v="FP SP "/>
    <x v="0"/>
    <x v="1"/>
    <m/>
    <x v="41"/>
  </r>
  <r>
    <n v="728"/>
    <x v="177"/>
    <x v="177"/>
    <x v="167"/>
    <x v="2"/>
    <x v="15"/>
    <n v="711"/>
    <x v="1"/>
    <m/>
    <m/>
    <s v="Supplier"/>
    <m/>
    <x v="620"/>
    <s v="SEF-Oxygen 2013 Jun.xlsx"/>
    <s v=".xlsx"/>
    <d v="2014-03-20T00:00:00"/>
    <s v="as\afok"/>
    <m/>
    <s v="2013"/>
    <m/>
    <m/>
    <m/>
    <m/>
    <m/>
    <x v="0"/>
    <x v="0"/>
    <x v="0"/>
    <x v="15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m/>
    <s v="FP SP "/>
    <x v="0"/>
    <x v="1"/>
    <m/>
    <x v="41"/>
  </r>
  <r>
    <n v="729"/>
    <x v="177"/>
    <x v="177"/>
    <x v="167"/>
    <x v="2"/>
    <x v="15"/>
    <n v="712"/>
    <x v="2"/>
    <m/>
    <m/>
    <s v="Supplier"/>
    <m/>
    <x v="702"/>
    <s v="Oxygen - FHA6E502_EN_-_SIF 2013.xlsx"/>
    <s v=".xlsx"/>
    <d v="2014-03-20T00:00:00"/>
    <s v="as\afok"/>
    <m/>
    <s v="2013"/>
    <m/>
    <m/>
    <m/>
    <m/>
    <m/>
    <x v="0"/>
    <x v="0"/>
    <x v="0"/>
    <x v="0"/>
    <x v="2"/>
    <x v="129"/>
    <x v="167"/>
    <x v="150"/>
    <x v="133"/>
    <x v="127"/>
    <x v="48"/>
    <x v="91"/>
    <x v="81"/>
    <x v="71"/>
    <x v="68"/>
    <m/>
    <x v="0"/>
    <x v="0"/>
    <x v="0"/>
    <x v="0"/>
    <m/>
    <m/>
    <m/>
    <n v="0"/>
    <m/>
    <m/>
    <s v="FP"/>
    <m/>
    <s v="SP"/>
    <m/>
    <s v="FP SP "/>
    <x v="3"/>
    <x v="1"/>
    <m/>
    <x v="41"/>
  </r>
  <r>
    <n v="1496"/>
    <x v="178"/>
    <x v="178"/>
    <x v="168"/>
    <x v="5"/>
    <x v="12"/>
    <n v="1458"/>
    <x v="4"/>
    <m/>
    <m/>
    <s v="Supplier"/>
    <m/>
    <x v="703"/>
    <s v="Pacrim_Supply Agreement_20131022(contract body).pdf"/>
    <s v=".pdf"/>
    <d v="2014-04-02T00:00:00"/>
    <s v="as\afok"/>
    <m/>
    <s v="V8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0"/>
    <m/>
    <m/>
    <m/>
    <s v="CP"/>
    <m/>
    <m/>
    <s v="CP "/>
    <x v="0"/>
    <x v="1"/>
    <m/>
    <x v="6"/>
  </r>
  <r>
    <n v="1497"/>
    <x v="178"/>
    <x v="178"/>
    <x v="168"/>
    <x v="5"/>
    <x v="12"/>
    <n v="1459"/>
    <x v="6"/>
    <m/>
    <m/>
    <s v="Supplier"/>
    <m/>
    <x v="459"/>
    <s v="Pacrim_Supply Chain Appendix V10_27Sep2013_28working day_1percent panelty.pdf"/>
    <s v=".pdf"/>
    <d v="2014-04-02T00:00:00"/>
    <s v="as\afok"/>
    <m/>
    <s v="V10"/>
    <m/>
    <n v="28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n v="1"/>
    <n v="0"/>
    <m/>
    <m/>
    <m/>
    <s v="CP"/>
    <m/>
    <m/>
    <s v="CP "/>
    <x v="0"/>
    <x v="1"/>
    <m/>
    <x v="6"/>
  </r>
  <r>
    <n v="1503"/>
    <x v="178"/>
    <x v="178"/>
    <x v="168"/>
    <x v="5"/>
    <x v="12"/>
    <n v="1465"/>
    <x v="13"/>
    <m/>
    <m/>
    <s v="Supplier"/>
    <d v="2009-12-20T00:00:00"/>
    <x v="704"/>
    <s v="Pacrim_ISO14001_20Dec2009.jpg"/>
    <s v=".jpg"/>
    <d v="2014-04-02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0"/>
    <m/>
    <m/>
    <m/>
    <s v="CP"/>
    <m/>
    <m/>
    <s v="CP "/>
    <x v="0"/>
    <x v="1"/>
    <m/>
    <x v="6"/>
  </r>
  <r>
    <n v="1502"/>
    <x v="178"/>
    <x v="178"/>
    <x v="168"/>
    <x v="5"/>
    <x v="12"/>
    <n v="1464"/>
    <x v="13"/>
    <m/>
    <m/>
    <s v="Supplier"/>
    <m/>
    <x v="657"/>
    <s v="PACRIM_IS014001_201312.jpg"/>
    <s v=".jpg"/>
    <d v="2014-04-02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0"/>
    <m/>
    <m/>
    <m/>
    <s v="CP"/>
    <m/>
    <m/>
    <s v="CP "/>
    <x v="0"/>
    <x v="1"/>
    <m/>
    <x v="6"/>
  </r>
  <r>
    <n v="1501"/>
    <x v="178"/>
    <x v="178"/>
    <x v="168"/>
    <x v="5"/>
    <x v="12"/>
    <n v="1463"/>
    <x v="9"/>
    <m/>
    <m/>
    <s v="Product / Project"/>
    <m/>
    <x v="705"/>
    <s v="Pacrim_LOC ROME, FRESH2 AND TOKYO  201110.pdf"/>
    <s v=".pdf"/>
    <d v="2014-04-02T00:00:00"/>
    <s v="as\afok"/>
    <m/>
    <m/>
    <m/>
    <m/>
    <m/>
    <m/>
    <s v="ROME, FRESH2 AND TOKYO"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0"/>
    <m/>
    <m/>
    <m/>
    <s v="CP"/>
    <m/>
    <m/>
    <s v="CP "/>
    <x v="0"/>
    <x v="1"/>
    <m/>
    <x v="6"/>
  </r>
  <r>
    <n v="1504"/>
    <x v="178"/>
    <x v="178"/>
    <x v="168"/>
    <x v="5"/>
    <x v="12"/>
    <n v="1466"/>
    <x v="8"/>
    <m/>
    <m/>
    <s v="Supplier"/>
    <m/>
    <x v="266"/>
    <s v="Pacrim_Responsible Purchasing Charter_20120925.pdf"/>
    <s v=".pdf"/>
    <d v="2014-04-02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0"/>
    <m/>
    <m/>
    <m/>
    <s v="CP"/>
    <m/>
    <m/>
    <s v="CP "/>
    <x v="0"/>
    <x v="1"/>
    <m/>
    <x v="6"/>
  </r>
  <r>
    <n v="1500"/>
    <x v="178"/>
    <x v="178"/>
    <x v="168"/>
    <x v="5"/>
    <x v="12"/>
    <n v="1462"/>
    <x v="1"/>
    <m/>
    <m/>
    <s v="Supplier"/>
    <m/>
    <x v="222"/>
    <s v="SPR 2012 Pacrim.pptx"/>
    <s v=".pptx"/>
    <d v="2014-04-02T00:00:00"/>
    <s v="as\afok"/>
    <m/>
    <s v="2012"/>
    <m/>
    <m/>
    <m/>
    <m/>
    <m/>
    <x v="0"/>
    <x v="0"/>
    <x v="0"/>
    <x v="6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0"/>
    <m/>
    <m/>
    <m/>
    <s v="CP"/>
    <m/>
    <m/>
    <s v="CP "/>
    <x v="0"/>
    <x v="1"/>
    <m/>
    <x v="6"/>
  </r>
  <r>
    <n v="1505"/>
    <x v="178"/>
    <x v="178"/>
    <x v="168"/>
    <x v="5"/>
    <x v="12"/>
    <n v="1467"/>
    <x v="1"/>
    <m/>
    <m/>
    <s v="Supplier"/>
    <m/>
    <x v="135"/>
    <s v="Pacrim_SEF_ 201206.xlsx"/>
    <s v=".xlsx"/>
    <d v="2014-04-02T00:00:00"/>
    <s v="as\afok"/>
    <m/>
    <s v="2012"/>
    <m/>
    <m/>
    <m/>
    <m/>
    <m/>
    <x v="0"/>
    <x v="0"/>
    <x v="0"/>
    <x v="6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0"/>
    <m/>
    <m/>
    <m/>
    <s v="CP"/>
    <m/>
    <m/>
    <s v="CP "/>
    <x v="0"/>
    <x v="1"/>
    <m/>
    <x v="6"/>
  </r>
  <r>
    <n v="1506"/>
    <x v="178"/>
    <x v="178"/>
    <x v="168"/>
    <x v="5"/>
    <x v="12"/>
    <n v="1468"/>
    <x v="2"/>
    <n v="1"/>
    <m/>
    <s v="Supplier"/>
    <m/>
    <x v="48"/>
    <s v="Pacrim_SIF_2012APR.xls"/>
    <s v=".xls"/>
    <d v="2014-04-02T00:00:00"/>
    <s v="as\afok"/>
    <m/>
    <s v="2012"/>
    <m/>
    <m/>
    <m/>
    <m/>
    <m/>
    <x v="0"/>
    <x v="0"/>
    <x v="0"/>
    <x v="0"/>
    <x v="1"/>
    <x v="12"/>
    <x v="5"/>
    <x v="151"/>
    <x v="134"/>
    <x v="128"/>
    <x v="23"/>
    <x v="81"/>
    <x v="78"/>
    <x v="23"/>
    <x v="4"/>
    <s v="CP Panel"/>
    <x v="0"/>
    <x v="0"/>
    <x v="1"/>
    <x v="3"/>
    <m/>
    <m/>
    <m/>
    <n v="0"/>
    <m/>
    <n v="1"/>
    <m/>
    <s v="CP"/>
    <m/>
    <m/>
    <s v="CP "/>
    <x v="2"/>
    <x v="1"/>
    <m/>
    <x v="6"/>
  </r>
  <r>
    <n v="1498"/>
    <x v="178"/>
    <x v="178"/>
    <x v="168"/>
    <x v="5"/>
    <x v="12"/>
    <n v="1460"/>
    <x v="2"/>
    <m/>
    <m/>
    <s v="Supplier"/>
    <m/>
    <x v="618"/>
    <s v="Pacrim_SIF_20130510.xlsx"/>
    <s v=".xlsx"/>
    <d v="2014-04-02T00:00:00"/>
    <s v="as\afok"/>
    <m/>
    <s v="2013"/>
    <m/>
    <m/>
    <m/>
    <m/>
    <m/>
    <x v="0"/>
    <x v="0"/>
    <x v="0"/>
    <x v="0"/>
    <x v="2"/>
    <x v="90"/>
    <x v="5"/>
    <x v="151"/>
    <x v="134"/>
    <x v="128"/>
    <x v="4"/>
    <x v="3"/>
    <x v="78"/>
    <x v="23"/>
    <x v="4"/>
    <s v="CP Panel"/>
    <x v="0"/>
    <x v="0"/>
    <x v="1"/>
    <x v="3"/>
    <m/>
    <m/>
    <m/>
    <n v="0"/>
    <m/>
    <m/>
    <m/>
    <s v="CP"/>
    <m/>
    <m/>
    <s v="CP "/>
    <x v="2"/>
    <x v="1"/>
    <m/>
    <x v="6"/>
  </r>
  <r>
    <n v="1499"/>
    <x v="178"/>
    <x v="178"/>
    <x v="168"/>
    <x v="5"/>
    <x v="12"/>
    <n v="1461"/>
    <x v="3"/>
    <m/>
    <m/>
    <s v="Supplier"/>
    <m/>
    <x v="551"/>
    <s v="SPR 2013 Pacrim.pptx"/>
    <s v=".pptx"/>
    <d v="2014-04-02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0"/>
    <m/>
    <m/>
    <m/>
    <s v="CP"/>
    <m/>
    <m/>
    <s v="CP "/>
    <x v="0"/>
    <x v="1"/>
    <m/>
    <x v="6"/>
  </r>
  <r>
    <n v="2094"/>
    <x v="179"/>
    <x v="179"/>
    <x v="169"/>
    <x v="4"/>
    <x v="14"/>
    <n v="2037"/>
    <x v="6"/>
    <m/>
    <m/>
    <s v="Supplier"/>
    <m/>
    <x v="113"/>
    <s v="Pakmane_Supply_chain_Appendix_V.10_24Jun13.pdf"/>
    <s v=".pdf"/>
    <d v="2014-04-11T00:00:00"/>
    <s v="as\afok"/>
    <m/>
    <s v="V10"/>
    <m/>
    <n v="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0"/>
    <m/>
    <n v="1"/>
    <m/>
    <s v="CP"/>
    <m/>
    <m/>
    <s v="CP "/>
    <x v="0"/>
    <x v="1"/>
    <m/>
    <x v="34"/>
  </r>
  <r>
    <n v="2092"/>
    <x v="179"/>
    <x v="179"/>
    <x v="169"/>
    <x v="4"/>
    <x v="14"/>
    <n v="2035"/>
    <x v="7"/>
    <m/>
    <m/>
    <s v="Supplier"/>
    <m/>
    <x v="259"/>
    <s v="Pakmane_Env_Declaration_2010.xls"/>
    <s v=".xls"/>
    <d v="2014-04-11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34"/>
  </r>
  <r>
    <n v="2093"/>
    <x v="179"/>
    <x v="179"/>
    <x v="169"/>
    <x v="4"/>
    <x v="14"/>
    <n v="2036"/>
    <x v="8"/>
    <m/>
    <m/>
    <s v="Supplier"/>
    <m/>
    <x v="93"/>
    <s v="Pakmane_Responsible_Purchasing_Charter_09Aug12.pdf"/>
    <s v=".pdf"/>
    <d v="2014-04-1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34"/>
  </r>
  <r>
    <n v="2090"/>
    <x v="179"/>
    <x v="179"/>
    <x v="169"/>
    <x v="4"/>
    <x v="14"/>
    <n v="2033"/>
    <x v="2"/>
    <n v="1"/>
    <m/>
    <s v="Supplier"/>
    <m/>
    <x v="337"/>
    <s v="Pakmane_SIF2012_19Apr12.xls"/>
    <s v=".xls"/>
    <d v="2014-04-11T00:00:00"/>
    <s v="as\afok"/>
    <m/>
    <s v="2012"/>
    <m/>
    <m/>
    <m/>
    <m/>
    <m/>
    <x v="0"/>
    <x v="0"/>
    <x v="0"/>
    <x v="0"/>
    <x v="1"/>
    <x v="102"/>
    <x v="107"/>
    <x v="72"/>
    <x v="135"/>
    <x v="81"/>
    <x v="0"/>
    <x v="25"/>
    <x v="46"/>
    <x v="72"/>
    <x v="69"/>
    <m/>
    <x v="0"/>
    <x v="0"/>
    <x v="0"/>
    <x v="0"/>
    <m/>
    <m/>
    <m/>
    <n v="0"/>
    <m/>
    <m/>
    <m/>
    <s v="CP"/>
    <m/>
    <m/>
    <s v="CP "/>
    <x v="2"/>
    <x v="1"/>
    <m/>
    <x v="34"/>
  </r>
  <r>
    <n v="2091"/>
    <x v="179"/>
    <x v="179"/>
    <x v="169"/>
    <x v="4"/>
    <x v="14"/>
    <n v="2034"/>
    <x v="2"/>
    <m/>
    <m/>
    <s v="Supplier"/>
    <m/>
    <x v="25"/>
    <s v="Pakmane_SIF2013.xlsx"/>
    <s v=".xlsx"/>
    <d v="2014-04-11T00:00:00"/>
    <s v="as\afok"/>
    <m/>
    <s v="2013"/>
    <m/>
    <m/>
    <m/>
    <m/>
    <m/>
    <x v="0"/>
    <x v="0"/>
    <x v="0"/>
    <x v="0"/>
    <x v="2"/>
    <x v="19"/>
    <x v="67"/>
    <x v="72"/>
    <x v="64"/>
    <x v="43"/>
    <x v="6"/>
    <x v="19"/>
    <x v="82"/>
    <x v="37"/>
    <x v="70"/>
    <m/>
    <x v="0"/>
    <x v="0"/>
    <x v="0"/>
    <x v="0"/>
    <m/>
    <m/>
    <m/>
    <n v="0"/>
    <m/>
    <m/>
    <m/>
    <s v="CP"/>
    <m/>
    <m/>
    <s v="CP "/>
    <x v="2"/>
    <x v="1"/>
    <m/>
    <x v="34"/>
  </r>
  <r>
    <n v="1508"/>
    <x v="180"/>
    <x v="180"/>
    <x v="170"/>
    <x v="5"/>
    <x v="12"/>
    <n v="1470"/>
    <x v="13"/>
    <m/>
    <m/>
    <s v="Supplier"/>
    <d v="2011-11-09T00:00:00"/>
    <x v="635"/>
    <s v="Patelec_ISO14001_31Mar2010.pdf"/>
    <s v=".pdf"/>
    <d v="2014-04-02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0"/>
    <m/>
    <m/>
    <m/>
    <s v="CP"/>
    <m/>
    <m/>
    <s v="CP "/>
    <x v="0"/>
    <x v="1"/>
    <m/>
    <x v="6"/>
  </r>
  <r>
    <n v="1510"/>
    <x v="180"/>
    <x v="180"/>
    <x v="170"/>
    <x v="5"/>
    <x v="12"/>
    <n v="1472"/>
    <x v="8"/>
    <m/>
    <m/>
    <s v="Supplier"/>
    <m/>
    <x v="247"/>
    <s v="PATELEC_Responsible Purchasing Charter_13Aug2012.pdf"/>
    <s v=".pdf"/>
    <d v="2014-04-02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0"/>
    <m/>
    <m/>
    <m/>
    <s v="CP"/>
    <m/>
    <m/>
    <s v="CP "/>
    <x v="0"/>
    <x v="1"/>
    <m/>
    <x v="6"/>
  </r>
  <r>
    <n v="1509"/>
    <x v="180"/>
    <x v="180"/>
    <x v="170"/>
    <x v="5"/>
    <x v="12"/>
    <n v="1471"/>
    <x v="1"/>
    <m/>
    <m/>
    <s v="Supplier"/>
    <m/>
    <x v="135"/>
    <s v="Patelec_SEF_Jul2012.XLSX"/>
    <s v=".xlsx"/>
    <d v="2014-04-02T00:00:00"/>
    <s v="as\afok"/>
    <m/>
    <s v="2012"/>
    <m/>
    <m/>
    <m/>
    <m/>
    <m/>
    <x v="0"/>
    <x v="0"/>
    <x v="0"/>
    <x v="16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0"/>
    <m/>
    <m/>
    <m/>
    <s v="CP"/>
    <m/>
    <m/>
    <s v="CP "/>
    <x v="0"/>
    <x v="1"/>
    <m/>
    <x v="6"/>
  </r>
  <r>
    <n v="1507"/>
    <x v="180"/>
    <x v="180"/>
    <x v="170"/>
    <x v="5"/>
    <x v="12"/>
    <n v="1469"/>
    <x v="2"/>
    <n v="1"/>
    <m/>
    <s v="Supplier"/>
    <m/>
    <x v="625"/>
    <s v="Patelec_SIF_Jan2014.xlsx"/>
    <s v=".xlsx"/>
    <d v="2014-04-02T00:00:00"/>
    <s v="as\afok"/>
    <m/>
    <s v="2014"/>
    <m/>
    <m/>
    <m/>
    <m/>
    <m/>
    <x v="0"/>
    <x v="0"/>
    <x v="0"/>
    <x v="0"/>
    <x v="3"/>
    <x v="25"/>
    <x v="168"/>
    <x v="152"/>
    <x v="136"/>
    <x v="129"/>
    <x v="0"/>
    <x v="10"/>
    <x v="29"/>
    <x v="31"/>
    <x v="29"/>
    <s v="CP Panel"/>
    <x v="0"/>
    <x v="0"/>
    <x v="1"/>
    <x v="3"/>
    <m/>
    <m/>
    <m/>
    <n v="0"/>
    <m/>
    <m/>
    <m/>
    <s v="CP"/>
    <m/>
    <m/>
    <s v="CP "/>
    <x v="2"/>
    <x v="1"/>
    <m/>
    <x v="6"/>
  </r>
  <r>
    <n v="1511"/>
    <x v="180"/>
    <x v="180"/>
    <x v="170"/>
    <x v="5"/>
    <x v="12"/>
    <n v="1473"/>
    <x v="3"/>
    <m/>
    <m/>
    <s v="Supplier"/>
    <m/>
    <x v="22"/>
    <s v="Patelec_SPR 2011 DEC.pptx"/>
    <s v=".pptx"/>
    <d v="2014-04-02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0"/>
    <m/>
    <n v="1"/>
    <m/>
    <s v="CP"/>
    <m/>
    <m/>
    <s v="CP "/>
    <x v="0"/>
    <x v="1"/>
    <m/>
    <x v="6"/>
  </r>
  <r>
    <n v="2507"/>
    <x v="181"/>
    <x v="181"/>
    <x v="171"/>
    <x v="5"/>
    <x v="16"/>
    <n v="2389"/>
    <x v="4"/>
    <m/>
    <m/>
    <s v="Supplier"/>
    <m/>
    <x v="706"/>
    <s v="Payer FHA00016 ind. 09 20080825.pdf"/>
    <s v=".pdf"/>
    <d v="2014-04-23T00:00:00"/>
    <s v="as\afok"/>
    <m/>
    <s v="FHA 00 016 ind.09"/>
    <s v="37E4 - 45 days end of month Due net on posting date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4"/>
    <x v="0"/>
    <x v="0"/>
    <n v="1"/>
    <m/>
    <m/>
    <n v="0"/>
    <m/>
    <n v="1"/>
    <s v="FP"/>
    <m/>
    <s v="SP"/>
    <m/>
    <s v="FP SP "/>
    <x v="0"/>
    <x v="1"/>
    <m/>
    <x v="10"/>
  </r>
  <r>
    <n v="2508"/>
    <x v="182"/>
    <x v="182"/>
    <x v="171"/>
    <x v="5"/>
    <x v="16"/>
    <n v="2389"/>
    <x v="4"/>
    <m/>
    <m/>
    <s v="Supplier"/>
    <m/>
    <x v="706"/>
    <s v="Payer FHA00016 ind. 09 20080825.pdf"/>
    <s v=".pdf"/>
    <d v="2014-04-23T00:00:00"/>
    <s v="as\afok"/>
    <m/>
    <s v="FHA 00 016 ind.09"/>
    <s v="37E4 - 45 days end of month Due net on posting date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4"/>
    <x v="0"/>
    <x v="0"/>
    <n v="1"/>
    <m/>
    <m/>
    <n v="0"/>
    <m/>
    <m/>
    <s v="FP"/>
    <m/>
    <m/>
    <s v="MOULD"/>
    <s v="FP MOULD "/>
    <x v="0"/>
    <x v="2"/>
    <m/>
    <x v="10"/>
  </r>
  <r>
    <n v="2501"/>
    <x v="181"/>
    <x v="181"/>
    <x v="171"/>
    <x v="5"/>
    <x v="16"/>
    <n v="2386"/>
    <x v="11"/>
    <m/>
    <m/>
    <s v="Product / Project"/>
    <m/>
    <x v="595"/>
    <s v="Payer_Exclusivity agreement_Hair Clipper_7Sep2012.pdf"/>
    <s v=".pdf"/>
    <d v="2014-04-23T00:00:00"/>
    <s v="as\afok"/>
    <m/>
    <s v="FRD 6E 030 ind.00"/>
    <m/>
    <m/>
    <m/>
    <m/>
    <s v="Hair Clipper"/>
    <x v="0"/>
    <x v="0"/>
    <x v="0"/>
    <x v="0"/>
    <x v="0"/>
    <x v="0"/>
    <x v="0"/>
    <x v="0"/>
    <x v="0"/>
    <x v="0"/>
    <x v="0"/>
    <x v="0"/>
    <x v="0"/>
    <x v="0"/>
    <x v="0"/>
    <s v="FP panel"/>
    <x v="1"/>
    <x v="4"/>
    <x v="0"/>
    <x v="0"/>
    <m/>
    <m/>
    <m/>
    <n v="0"/>
    <m/>
    <m/>
    <s v="FP"/>
    <m/>
    <s v="SP"/>
    <m/>
    <s v="FP SP "/>
    <x v="0"/>
    <x v="1"/>
    <m/>
    <x v="10"/>
  </r>
  <r>
    <n v="2494"/>
    <x v="182"/>
    <x v="182"/>
    <x v="171"/>
    <x v="5"/>
    <x v="16"/>
    <n v="2382"/>
    <x v="11"/>
    <m/>
    <m/>
    <s v="Supplier"/>
    <m/>
    <x v="481"/>
    <s v="Payer_Exclusivity Summary 2012-12-28.xlsx"/>
    <s v=".xlsx"/>
    <d v="2014-04-23T00:00:00"/>
    <s v="as\afok"/>
    <s v="Exclusivity Summary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4"/>
    <x v="0"/>
    <x v="0"/>
    <m/>
    <m/>
    <m/>
    <n v="0"/>
    <m/>
    <m/>
    <s v="FP"/>
    <m/>
    <m/>
    <s v="MOULD"/>
    <s v="FP MOULD "/>
    <x v="0"/>
    <x v="2"/>
    <m/>
    <x v="10"/>
  </r>
  <r>
    <n v="2499"/>
    <x v="181"/>
    <x v="181"/>
    <x v="171"/>
    <x v="5"/>
    <x v="16"/>
    <n v="2385"/>
    <x v="11"/>
    <m/>
    <m/>
    <s v="Product / Project"/>
    <m/>
    <x v="595"/>
    <s v="Payer_Exclusivity agreement_Multi trimmer_7Sep2012.pdf"/>
    <s v=".pdf"/>
    <d v="2014-04-23T00:00:00"/>
    <s v="as\afok"/>
    <m/>
    <s v="FRD 6E 030 ind.00"/>
    <m/>
    <m/>
    <m/>
    <m/>
    <s v="Multi trimmer"/>
    <x v="0"/>
    <x v="0"/>
    <x v="0"/>
    <x v="0"/>
    <x v="0"/>
    <x v="0"/>
    <x v="0"/>
    <x v="0"/>
    <x v="0"/>
    <x v="0"/>
    <x v="0"/>
    <x v="0"/>
    <x v="0"/>
    <x v="0"/>
    <x v="0"/>
    <s v="FP panel"/>
    <x v="1"/>
    <x v="4"/>
    <x v="0"/>
    <x v="0"/>
    <m/>
    <m/>
    <m/>
    <n v="0"/>
    <m/>
    <m/>
    <s v="FP"/>
    <m/>
    <s v="SP"/>
    <m/>
    <s v="FP SP "/>
    <x v="0"/>
    <x v="1"/>
    <m/>
    <x v="10"/>
  </r>
  <r>
    <n v="2493"/>
    <x v="181"/>
    <x v="181"/>
    <x v="171"/>
    <x v="5"/>
    <x v="16"/>
    <n v="2382"/>
    <x v="11"/>
    <m/>
    <m/>
    <s v="Supplier"/>
    <m/>
    <x v="481"/>
    <s v="Payer_Exclusivity Summary 2012-12-28.xlsx"/>
    <s v=".xlsx"/>
    <d v="2014-04-23T00:00:00"/>
    <s v="as\afok"/>
    <s v="Exclusivity Summary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4"/>
    <x v="0"/>
    <x v="0"/>
    <m/>
    <m/>
    <m/>
    <n v="0"/>
    <m/>
    <m/>
    <s v="FP"/>
    <m/>
    <s v="SP"/>
    <m/>
    <s v="FP SP "/>
    <x v="0"/>
    <x v="1"/>
    <m/>
    <x v="10"/>
  </r>
  <r>
    <n v="2500"/>
    <x v="182"/>
    <x v="182"/>
    <x v="171"/>
    <x v="5"/>
    <x v="16"/>
    <n v="2385"/>
    <x v="11"/>
    <m/>
    <m/>
    <s v="Product / Project"/>
    <m/>
    <x v="595"/>
    <s v="Payer_Exclusivity agreement_Multi trimmer_7Sep2012.pdf"/>
    <s v=".pdf"/>
    <d v="2014-04-23T00:00:00"/>
    <s v="as\afok"/>
    <m/>
    <s v="FRD 6E 030 ind.00"/>
    <m/>
    <m/>
    <m/>
    <m/>
    <s v="Multi trimmer"/>
    <x v="0"/>
    <x v="0"/>
    <x v="0"/>
    <x v="0"/>
    <x v="0"/>
    <x v="0"/>
    <x v="0"/>
    <x v="0"/>
    <x v="0"/>
    <x v="0"/>
    <x v="0"/>
    <x v="0"/>
    <x v="0"/>
    <x v="0"/>
    <x v="0"/>
    <s v="FP panel"/>
    <x v="1"/>
    <x v="4"/>
    <x v="0"/>
    <x v="0"/>
    <m/>
    <m/>
    <m/>
    <n v="0"/>
    <m/>
    <m/>
    <s v="FP"/>
    <m/>
    <m/>
    <s v="MOULD"/>
    <s v="FP MOULD "/>
    <x v="0"/>
    <x v="2"/>
    <m/>
    <x v="10"/>
  </r>
  <r>
    <n v="2502"/>
    <x v="182"/>
    <x v="182"/>
    <x v="171"/>
    <x v="5"/>
    <x v="16"/>
    <n v="2386"/>
    <x v="11"/>
    <m/>
    <m/>
    <s v="Product / Project"/>
    <m/>
    <x v="595"/>
    <s v="Payer_Exclusivity agreement_Hair Clipper_7Sep2012.pdf"/>
    <s v=".pdf"/>
    <d v="2014-04-23T00:00:00"/>
    <s v="as\afok"/>
    <m/>
    <s v="FRD 6E 030 ind.00"/>
    <m/>
    <m/>
    <m/>
    <m/>
    <s v="Hair Clipper"/>
    <x v="0"/>
    <x v="0"/>
    <x v="0"/>
    <x v="0"/>
    <x v="0"/>
    <x v="0"/>
    <x v="0"/>
    <x v="0"/>
    <x v="0"/>
    <x v="0"/>
    <x v="0"/>
    <x v="0"/>
    <x v="0"/>
    <x v="0"/>
    <x v="0"/>
    <s v="FP panel"/>
    <x v="1"/>
    <x v="4"/>
    <x v="0"/>
    <x v="0"/>
    <m/>
    <m/>
    <m/>
    <n v="0"/>
    <m/>
    <m/>
    <s v="FP"/>
    <m/>
    <m/>
    <s v="MOULD"/>
    <s v="FP MOULD "/>
    <x v="0"/>
    <x v="2"/>
    <m/>
    <x v="10"/>
  </r>
  <r>
    <n v="2495"/>
    <x v="181"/>
    <x v="181"/>
    <x v="171"/>
    <x v="5"/>
    <x v="16"/>
    <n v="2383"/>
    <x v="13"/>
    <m/>
    <m/>
    <s v="Supplier"/>
    <d v="2012-12-09T00:00:00"/>
    <x v="57"/>
    <s v="Payer_ISO14001_02Jun2010.pdf"/>
    <s v=".pdf"/>
    <d v="2014-04-2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4"/>
    <x v="0"/>
    <x v="0"/>
    <m/>
    <m/>
    <m/>
    <n v="0"/>
    <m/>
    <m/>
    <s v="FP"/>
    <m/>
    <s v="SP"/>
    <m/>
    <s v="FP SP "/>
    <x v="0"/>
    <x v="1"/>
    <m/>
    <x v="10"/>
  </r>
  <r>
    <n v="2496"/>
    <x v="182"/>
    <x v="182"/>
    <x v="171"/>
    <x v="5"/>
    <x v="16"/>
    <n v="2383"/>
    <x v="13"/>
    <m/>
    <m/>
    <s v="Supplier"/>
    <d v="2012-12-09T00:00:00"/>
    <x v="57"/>
    <s v="Payer_ISO14001_02Jun2010.pdf"/>
    <s v=".pdf"/>
    <d v="2014-04-2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4"/>
    <x v="0"/>
    <x v="0"/>
    <m/>
    <m/>
    <m/>
    <n v="0"/>
    <m/>
    <m/>
    <s v="FP"/>
    <m/>
    <m/>
    <s v="MOULD"/>
    <s v="FP MOULD "/>
    <x v="0"/>
    <x v="2"/>
    <m/>
    <x v="10"/>
  </r>
  <r>
    <n v="2504"/>
    <x v="182"/>
    <x v="182"/>
    <x v="171"/>
    <x v="5"/>
    <x v="16"/>
    <n v="2387"/>
    <x v="8"/>
    <m/>
    <m/>
    <s v="Supplier"/>
    <m/>
    <x v="261"/>
    <s v="Payer_Responsible Purchaser Charter_9Aug2012.pdf"/>
    <s v=".pdf"/>
    <d v="2014-04-2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4"/>
    <x v="0"/>
    <x v="0"/>
    <m/>
    <m/>
    <m/>
    <n v="0"/>
    <m/>
    <m/>
    <s v="FP"/>
    <m/>
    <m/>
    <s v="MOULD"/>
    <s v="FP MOULD "/>
    <x v="0"/>
    <x v="2"/>
    <m/>
    <x v="10"/>
  </r>
  <r>
    <n v="2503"/>
    <x v="181"/>
    <x v="181"/>
    <x v="171"/>
    <x v="5"/>
    <x v="16"/>
    <n v="2387"/>
    <x v="8"/>
    <m/>
    <m/>
    <s v="Supplier"/>
    <m/>
    <x v="261"/>
    <s v="Payer_Responsible Purchaser Charter_9Aug2012.pdf"/>
    <s v=".pdf"/>
    <d v="2014-04-2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4"/>
    <x v="0"/>
    <x v="0"/>
    <m/>
    <m/>
    <m/>
    <n v="0"/>
    <m/>
    <m/>
    <s v="FP"/>
    <m/>
    <s v="SP"/>
    <m/>
    <s v="FP SP "/>
    <x v="0"/>
    <x v="1"/>
    <m/>
    <x v="10"/>
  </r>
  <r>
    <n v="2506"/>
    <x v="182"/>
    <x v="182"/>
    <x v="171"/>
    <x v="5"/>
    <x v="16"/>
    <n v="2388"/>
    <x v="1"/>
    <m/>
    <m/>
    <s v="Supplier"/>
    <m/>
    <x v="707"/>
    <s v="SEF Payer2011 Nov.xlsx"/>
    <s v=".xlsx"/>
    <d v="2014-04-23T00:00:00"/>
    <s v="as\afok"/>
    <m/>
    <s v="2011"/>
    <m/>
    <m/>
    <m/>
    <m/>
    <m/>
    <x v="0"/>
    <x v="0"/>
    <x v="0"/>
    <x v="9"/>
    <x v="0"/>
    <x v="0"/>
    <x v="0"/>
    <x v="0"/>
    <x v="0"/>
    <x v="0"/>
    <x v="0"/>
    <x v="0"/>
    <x v="0"/>
    <x v="0"/>
    <x v="0"/>
    <s v="FP panel"/>
    <x v="1"/>
    <x v="4"/>
    <x v="0"/>
    <x v="0"/>
    <m/>
    <m/>
    <m/>
    <n v="0"/>
    <m/>
    <m/>
    <s v="FP"/>
    <m/>
    <m/>
    <s v="MOULD"/>
    <s v="FP MOULD "/>
    <x v="0"/>
    <x v="2"/>
    <m/>
    <x v="10"/>
  </r>
  <r>
    <n v="2505"/>
    <x v="181"/>
    <x v="181"/>
    <x v="171"/>
    <x v="5"/>
    <x v="16"/>
    <n v="2388"/>
    <x v="1"/>
    <m/>
    <m/>
    <s v="Supplier"/>
    <m/>
    <x v="707"/>
    <s v="SEF Payer2011 Nov.xlsx"/>
    <s v=".xlsx"/>
    <d v="2014-04-23T00:00:00"/>
    <s v="as\afok"/>
    <m/>
    <s v="2011"/>
    <m/>
    <m/>
    <m/>
    <m/>
    <m/>
    <x v="0"/>
    <x v="0"/>
    <x v="0"/>
    <x v="9"/>
    <x v="0"/>
    <x v="0"/>
    <x v="0"/>
    <x v="0"/>
    <x v="0"/>
    <x v="0"/>
    <x v="0"/>
    <x v="0"/>
    <x v="0"/>
    <x v="0"/>
    <x v="0"/>
    <s v="FP panel"/>
    <x v="1"/>
    <x v="4"/>
    <x v="0"/>
    <x v="0"/>
    <m/>
    <m/>
    <m/>
    <n v="0"/>
    <m/>
    <m/>
    <s v="FP"/>
    <m/>
    <s v="SP"/>
    <m/>
    <s v="FP SP "/>
    <x v="0"/>
    <x v="1"/>
    <m/>
    <x v="10"/>
  </r>
  <r>
    <n v="2497"/>
    <x v="181"/>
    <x v="181"/>
    <x v="171"/>
    <x v="5"/>
    <x v="16"/>
    <n v="2384"/>
    <x v="2"/>
    <m/>
    <m/>
    <s v="Supplier"/>
    <m/>
    <x v="336"/>
    <s v="PAYER(SUZHOU)_SIF_6Feb2012.xlsx"/>
    <s v=".xlsx"/>
    <d v="2014-04-23T00:00:00"/>
    <s v="as\afok"/>
    <m/>
    <s v="2012"/>
    <m/>
    <m/>
    <m/>
    <m/>
    <m/>
    <x v="0"/>
    <x v="0"/>
    <x v="0"/>
    <x v="0"/>
    <x v="1"/>
    <x v="45"/>
    <x v="169"/>
    <x v="153"/>
    <x v="137"/>
    <x v="130"/>
    <x v="49"/>
    <x v="92"/>
    <x v="83"/>
    <x v="11"/>
    <x v="55"/>
    <s v="FP panel"/>
    <x v="1"/>
    <x v="4"/>
    <x v="0"/>
    <x v="0"/>
    <m/>
    <m/>
    <m/>
    <n v="0"/>
    <m/>
    <m/>
    <s v="FP"/>
    <m/>
    <s v="SP"/>
    <m/>
    <s v="FP SP "/>
    <x v="3"/>
    <x v="1"/>
    <m/>
    <x v="10"/>
  </r>
  <r>
    <n v="2438"/>
    <x v="182"/>
    <x v="182"/>
    <x v="171"/>
    <x v="5"/>
    <x v="16"/>
    <n v="2378"/>
    <x v="2"/>
    <m/>
    <m/>
    <s v="Supplier"/>
    <m/>
    <x v="215"/>
    <s v="PayerSuzhou_SIF_20140213.xlsx"/>
    <s v=".xlsx"/>
    <d v="2014-04-17T00:00:00"/>
    <s v="as\afok"/>
    <m/>
    <s v="2014"/>
    <m/>
    <m/>
    <m/>
    <m/>
    <m/>
    <x v="0"/>
    <x v="0"/>
    <x v="0"/>
    <x v="0"/>
    <x v="3"/>
    <x v="45"/>
    <x v="42"/>
    <x v="154"/>
    <x v="138"/>
    <x v="131"/>
    <x v="49"/>
    <x v="52"/>
    <x v="84"/>
    <x v="73"/>
    <x v="41"/>
    <s v="FP panel"/>
    <x v="1"/>
    <x v="4"/>
    <x v="0"/>
    <x v="0"/>
    <m/>
    <m/>
    <m/>
    <n v="0"/>
    <m/>
    <m/>
    <s v="FP"/>
    <m/>
    <m/>
    <s v="MOULD"/>
    <s v="FP MOULD "/>
    <x v="3"/>
    <x v="2"/>
    <m/>
    <x v="10"/>
  </r>
  <r>
    <n v="2437"/>
    <x v="181"/>
    <x v="181"/>
    <x v="171"/>
    <x v="5"/>
    <x v="16"/>
    <n v="2378"/>
    <x v="2"/>
    <n v="1"/>
    <m/>
    <s v="Supplier"/>
    <m/>
    <x v="215"/>
    <s v="PayerSuzhou_SIF_20140213.xlsx"/>
    <s v=".xlsx"/>
    <d v="2014-04-17T00:00:00"/>
    <s v="as\afok"/>
    <m/>
    <s v="2014"/>
    <m/>
    <m/>
    <m/>
    <m/>
    <m/>
    <x v="0"/>
    <x v="0"/>
    <x v="0"/>
    <x v="0"/>
    <x v="3"/>
    <x v="45"/>
    <x v="42"/>
    <x v="154"/>
    <x v="138"/>
    <x v="131"/>
    <x v="49"/>
    <x v="52"/>
    <x v="84"/>
    <x v="73"/>
    <x v="41"/>
    <s v="FP panel"/>
    <x v="1"/>
    <x v="4"/>
    <x v="0"/>
    <x v="0"/>
    <m/>
    <m/>
    <m/>
    <n v="0"/>
    <m/>
    <m/>
    <s v="FP"/>
    <m/>
    <s v="SP"/>
    <m/>
    <s v="FP SP "/>
    <x v="3"/>
    <x v="1"/>
    <m/>
    <x v="10"/>
  </r>
  <r>
    <n v="2498"/>
    <x v="182"/>
    <x v="182"/>
    <x v="171"/>
    <x v="5"/>
    <x v="16"/>
    <n v="2384"/>
    <x v="2"/>
    <m/>
    <m/>
    <s v="Supplier"/>
    <m/>
    <x v="336"/>
    <s v="PAYER(SUZHOU)_SIF_6Feb2012.xlsx"/>
    <s v=".xlsx"/>
    <d v="2014-04-23T00:00:00"/>
    <s v="as\afok"/>
    <m/>
    <s v="2012"/>
    <m/>
    <m/>
    <m/>
    <m/>
    <m/>
    <x v="0"/>
    <x v="0"/>
    <x v="0"/>
    <x v="0"/>
    <x v="1"/>
    <x v="45"/>
    <x v="169"/>
    <x v="153"/>
    <x v="137"/>
    <x v="130"/>
    <x v="49"/>
    <x v="92"/>
    <x v="83"/>
    <x v="11"/>
    <x v="55"/>
    <s v="FP panel"/>
    <x v="1"/>
    <x v="4"/>
    <x v="0"/>
    <x v="0"/>
    <m/>
    <m/>
    <m/>
    <n v="0"/>
    <m/>
    <m/>
    <s v="FP"/>
    <m/>
    <m/>
    <s v="MOULD"/>
    <s v="FP MOULD "/>
    <x v="3"/>
    <x v="2"/>
    <m/>
    <x v="10"/>
  </r>
  <r>
    <n v="2491"/>
    <x v="181"/>
    <x v="181"/>
    <x v="171"/>
    <x v="5"/>
    <x v="16"/>
    <n v="2381"/>
    <x v="3"/>
    <m/>
    <m/>
    <s v="Supplier"/>
    <m/>
    <x v="708"/>
    <s v="Payer_SPR 2013.pptx"/>
    <s v=".pptx"/>
    <d v="2014-04-23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4"/>
    <x v="0"/>
    <x v="0"/>
    <m/>
    <m/>
    <m/>
    <n v="0"/>
    <m/>
    <m/>
    <s v="FP"/>
    <m/>
    <s v="SP"/>
    <m/>
    <s v="FP SP "/>
    <x v="0"/>
    <x v="1"/>
    <m/>
    <x v="10"/>
  </r>
  <r>
    <n v="2492"/>
    <x v="182"/>
    <x v="182"/>
    <x v="171"/>
    <x v="5"/>
    <x v="16"/>
    <n v="2381"/>
    <x v="3"/>
    <m/>
    <m/>
    <s v="Supplier"/>
    <m/>
    <x v="708"/>
    <s v="Payer_SPR 2013.pptx"/>
    <s v=".pptx"/>
    <d v="2014-04-23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4"/>
    <x v="0"/>
    <x v="0"/>
    <m/>
    <m/>
    <m/>
    <n v="0"/>
    <m/>
    <m/>
    <s v="FP"/>
    <m/>
    <m/>
    <s v="MOULD"/>
    <s v="FP MOULD "/>
    <x v="0"/>
    <x v="2"/>
    <m/>
    <x v="10"/>
  </r>
  <r>
    <n v="1729"/>
    <x v="183"/>
    <x v="183"/>
    <x v="172"/>
    <x v="5"/>
    <x v="7"/>
    <n v="1686"/>
    <x v="7"/>
    <m/>
    <m/>
    <s v="Supplier"/>
    <m/>
    <x v="208"/>
    <s v="PCI_Shanghai_Env_Declaration_07Jun2010.xls"/>
    <s v=".xls"/>
    <d v="2014-04-08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0"/>
    <m/>
    <m/>
    <m/>
    <n v="0"/>
    <m/>
    <m/>
    <m/>
    <s v="CP"/>
    <m/>
    <m/>
    <s v="CP "/>
    <x v="0"/>
    <x v="1"/>
    <m/>
    <x v="10"/>
  </r>
  <r>
    <n v="1731"/>
    <x v="183"/>
    <x v="183"/>
    <x v="172"/>
    <x v="5"/>
    <x v="7"/>
    <n v="1688"/>
    <x v="13"/>
    <m/>
    <m/>
    <s v="Supplier"/>
    <d v="2012-02-10T00:00:00"/>
    <x v="355"/>
    <s v="PCI SHANGHAI_ISO 14001_201105.PDF"/>
    <s v=".pdf"/>
    <d v="2014-04-0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0"/>
    <m/>
    <m/>
    <m/>
    <n v="0"/>
    <m/>
    <m/>
    <m/>
    <s v="CP"/>
    <m/>
    <m/>
    <s v="CP "/>
    <x v="0"/>
    <x v="1"/>
    <m/>
    <x v="10"/>
  </r>
  <r>
    <n v="1732"/>
    <x v="183"/>
    <x v="183"/>
    <x v="172"/>
    <x v="5"/>
    <x v="7"/>
    <n v="1689"/>
    <x v="13"/>
    <m/>
    <m/>
    <s v="Supplier"/>
    <d v="2012-02-10T00:00:00"/>
    <x v="355"/>
    <s v="PCI_Shanghai_ISO14001_2017.pdf"/>
    <s v=".pdf"/>
    <d v="2014-04-0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0"/>
    <m/>
    <m/>
    <m/>
    <n v="0"/>
    <m/>
    <m/>
    <m/>
    <s v="CP"/>
    <m/>
    <m/>
    <s v="CP "/>
    <x v="0"/>
    <x v="1"/>
    <m/>
    <x v="10"/>
  </r>
  <r>
    <n v="1730"/>
    <x v="183"/>
    <x v="183"/>
    <x v="172"/>
    <x v="5"/>
    <x v="7"/>
    <n v="1687"/>
    <x v="9"/>
    <m/>
    <m/>
    <s v="Supplier"/>
    <m/>
    <x v="709"/>
    <s v="PCI SHANGHAI_LOC_ 18MAR2011.pdf"/>
    <s v=".pdf"/>
    <d v="2014-04-0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0"/>
    <m/>
    <m/>
    <m/>
    <n v="0"/>
    <m/>
    <m/>
    <m/>
    <s v="CP"/>
    <m/>
    <m/>
    <s v="CP "/>
    <x v="0"/>
    <x v="1"/>
    <m/>
    <x v="10"/>
  </r>
  <r>
    <n v="1733"/>
    <x v="183"/>
    <x v="183"/>
    <x v="172"/>
    <x v="5"/>
    <x v="7"/>
    <n v="1690"/>
    <x v="8"/>
    <m/>
    <m/>
    <s v="Supplier"/>
    <m/>
    <x v="710"/>
    <s v="PCI_Responsible Purchasing Charter_20120725.pdf"/>
    <s v=".pdf"/>
    <d v="2014-04-0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0"/>
    <m/>
    <m/>
    <m/>
    <n v="0"/>
    <m/>
    <m/>
    <m/>
    <s v="CP"/>
    <m/>
    <m/>
    <s v="CP "/>
    <x v="0"/>
    <x v="1"/>
    <m/>
    <x v="10"/>
  </r>
  <r>
    <n v="1734"/>
    <x v="183"/>
    <x v="183"/>
    <x v="172"/>
    <x v="5"/>
    <x v="7"/>
    <n v="1691"/>
    <x v="1"/>
    <m/>
    <m/>
    <s v="Supplier"/>
    <m/>
    <x v="474"/>
    <s v="PCI_SEF_Jun2012.xlsx"/>
    <s v=".xlsx"/>
    <d v="2014-04-08T00:00:00"/>
    <s v="as\afok"/>
    <m/>
    <s v="2012"/>
    <m/>
    <m/>
    <m/>
    <m/>
    <m/>
    <x v="0"/>
    <x v="0"/>
    <x v="0"/>
    <x v="19"/>
    <x v="0"/>
    <x v="0"/>
    <x v="0"/>
    <x v="0"/>
    <x v="0"/>
    <x v="0"/>
    <x v="0"/>
    <x v="0"/>
    <x v="0"/>
    <x v="0"/>
    <x v="0"/>
    <s v="CP Panel"/>
    <x v="0"/>
    <x v="0"/>
    <x v="1"/>
    <x v="10"/>
    <m/>
    <m/>
    <m/>
    <n v="0"/>
    <m/>
    <m/>
    <m/>
    <s v="CP"/>
    <m/>
    <m/>
    <s v="CP "/>
    <x v="0"/>
    <x v="1"/>
    <m/>
    <x v="10"/>
  </r>
  <r>
    <n v="1736"/>
    <x v="183"/>
    <x v="183"/>
    <x v="172"/>
    <x v="5"/>
    <x v="7"/>
    <n v="1693"/>
    <x v="2"/>
    <n v="1"/>
    <m/>
    <s v="Supplier"/>
    <m/>
    <x v="711"/>
    <s v="PCI_SIF_15May2012.xls"/>
    <s v=".xls"/>
    <d v="2014-04-08T00:00:00"/>
    <s v="as\afok"/>
    <m/>
    <s v="2012"/>
    <m/>
    <m/>
    <m/>
    <m/>
    <m/>
    <x v="0"/>
    <x v="0"/>
    <x v="0"/>
    <x v="0"/>
    <x v="1"/>
    <x v="6"/>
    <x v="8"/>
    <x v="155"/>
    <x v="139"/>
    <x v="48"/>
    <x v="17"/>
    <x v="93"/>
    <x v="85"/>
    <x v="6"/>
    <x v="9"/>
    <s v="CP Panel"/>
    <x v="0"/>
    <x v="0"/>
    <x v="1"/>
    <x v="10"/>
    <m/>
    <m/>
    <m/>
    <n v="0"/>
    <m/>
    <n v="1"/>
    <m/>
    <s v="CP"/>
    <m/>
    <m/>
    <s v="CP "/>
    <x v="2"/>
    <x v="1"/>
    <m/>
    <x v="10"/>
  </r>
  <r>
    <n v="1728"/>
    <x v="183"/>
    <x v="183"/>
    <x v="172"/>
    <x v="5"/>
    <x v="7"/>
    <n v="1685"/>
    <x v="3"/>
    <m/>
    <m/>
    <s v="Supplier"/>
    <m/>
    <x v="138"/>
    <s v="PCI_SPR _2013.pptx"/>
    <s v=".pptx"/>
    <d v="2014-04-08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0"/>
    <m/>
    <m/>
    <m/>
    <n v="0"/>
    <m/>
    <m/>
    <m/>
    <s v="CP"/>
    <m/>
    <m/>
    <s v="CP "/>
    <x v="0"/>
    <x v="1"/>
    <m/>
    <x v="10"/>
  </r>
  <r>
    <n v="1735"/>
    <x v="183"/>
    <x v="183"/>
    <x v="172"/>
    <x v="5"/>
    <x v="7"/>
    <n v="1692"/>
    <x v="3"/>
    <m/>
    <m/>
    <s v="Supplier"/>
    <m/>
    <x v="710"/>
    <s v="PCI_SPR_Sep2012.pptx"/>
    <s v=".pptx"/>
    <d v="2014-04-08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0"/>
    <m/>
    <m/>
    <m/>
    <n v="0"/>
    <m/>
    <m/>
    <m/>
    <s v="CP"/>
    <m/>
    <m/>
    <s v="CP "/>
    <x v="0"/>
    <x v="1"/>
    <m/>
    <x v="10"/>
  </r>
  <r>
    <n v="2831"/>
    <x v="184"/>
    <x v="184"/>
    <x v="173"/>
    <x v="1"/>
    <x v="11"/>
    <n v="1035"/>
    <x v="5"/>
    <m/>
    <m/>
    <s v="Supplier"/>
    <m/>
    <x v="206"/>
    <s v="Perennial_Quality Appendix_07May2012.pdf"/>
    <s v=".pdf"/>
    <d v="2014-03-25T00:00:00"/>
    <s v="as\afok"/>
    <m/>
    <m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n v="1"/>
    <m/>
    <n v="0"/>
    <m/>
    <m/>
    <m/>
    <s v="CP"/>
    <m/>
    <m/>
    <s v="CP "/>
    <x v="0"/>
    <x v="1"/>
    <m/>
    <x v="26"/>
  </r>
  <r>
    <n v="2832"/>
    <x v="185"/>
    <x v="185"/>
    <x v="173"/>
    <x v="1"/>
    <x v="11"/>
    <n v="1035"/>
    <x v="5"/>
    <m/>
    <m/>
    <s v="Supplier"/>
    <m/>
    <x v="206"/>
    <s v="Perennial_Quality Appendix_07May2012.pdf"/>
    <s v=".pdf"/>
    <d v="2014-03-25T00:00:00"/>
    <s v="as\afok"/>
    <m/>
    <m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n v="1"/>
    <m/>
    <n v="0"/>
    <m/>
    <m/>
    <m/>
    <s v="CP"/>
    <m/>
    <m/>
    <s v="CP "/>
    <x v="0"/>
    <x v="1"/>
    <m/>
    <x v="8"/>
  </r>
  <r>
    <n v="2829"/>
    <x v="184"/>
    <x v="184"/>
    <x v="173"/>
    <x v="1"/>
    <x v="11"/>
    <n v="1041"/>
    <x v="13"/>
    <m/>
    <m/>
    <s v="Supplier"/>
    <d v="2013-05-25T00:00:00"/>
    <x v="343"/>
    <s v="Perennial cable_ISO14001-2013.pdf"/>
    <s v=".pdf"/>
    <d v="2014-03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m/>
    <s v="CP"/>
    <m/>
    <m/>
    <s v="CP "/>
    <x v="0"/>
    <x v="1"/>
    <m/>
    <x v="26"/>
  </r>
  <r>
    <n v="2830"/>
    <x v="185"/>
    <x v="185"/>
    <x v="173"/>
    <x v="1"/>
    <x v="11"/>
    <n v="1041"/>
    <x v="13"/>
    <m/>
    <m/>
    <s v="Supplier"/>
    <d v="2013-05-25T00:00:00"/>
    <x v="343"/>
    <s v="Perennial cable_ISO14001-2013.pdf"/>
    <s v=".pdf"/>
    <d v="2014-03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m/>
    <s v="CP"/>
    <m/>
    <m/>
    <s v="CP "/>
    <x v="0"/>
    <x v="1"/>
    <m/>
    <x v="8"/>
  </r>
  <r>
    <n v="2833"/>
    <x v="184"/>
    <x v="184"/>
    <x v="173"/>
    <x v="1"/>
    <x v="11"/>
    <n v="1038"/>
    <x v="9"/>
    <m/>
    <m/>
    <s v="Supplier"/>
    <m/>
    <x v="712"/>
    <s v="LOC_Perennial.pdf"/>
    <s v=".pdf"/>
    <d v="2014-03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m/>
    <s v="CP"/>
    <m/>
    <m/>
    <s v="CP "/>
    <x v="0"/>
    <x v="1"/>
    <m/>
    <x v="26"/>
  </r>
  <r>
    <n v="2834"/>
    <x v="185"/>
    <x v="185"/>
    <x v="173"/>
    <x v="1"/>
    <x v="11"/>
    <n v="1038"/>
    <x v="9"/>
    <m/>
    <m/>
    <s v="Supplier"/>
    <m/>
    <x v="712"/>
    <s v="LOC_Perennial.pdf"/>
    <s v=".pdf"/>
    <d v="2014-03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m/>
    <s v="CP"/>
    <m/>
    <m/>
    <s v="CP "/>
    <x v="0"/>
    <x v="1"/>
    <m/>
    <x v="8"/>
  </r>
  <r>
    <n v="2837"/>
    <x v="184"/>
    <x v="184"/>
    <x v="173"/>
    <x v="1"/>
    <x v="11"/>
    <n v="1036"/>
    <x v="8"/>
    <m/>
    <m/>
    <s v="Supplier"/>
    <m/>
    <x v="77"/>
    <s v="PERENNIAL_Responsible_Purchasing_Charter_03Aug12.pdf"/>
    <s v=".pdf"/>
    <d v="2014-03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m/>
    <s v="CP"/>
    <m/>
    <m/>
    <s v="CP "/>
    <x v="0"/>
    <x v="1"/>
    <m/>
    <x v="26"/>
  </r>
  <r>
    <n v="2838"/>
    <x v="185"/>
    <x v="185"/>
    <x v="173"/>
    <x v="1"/>
    <x v="11"/>
    <n v="1036"/>
    <x v="8"/>
    <m/>
    <m/>
    <s v="Supplier"/>
    <m/>
    <x v="77"/>
    <s v="PERENNIAL_Responsible_Purchasing_Charter_03Aug12.pdf"/>
    <s v=".pdf"/>
    <d v="2014-03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m/>
    <s v="CP"/>
    <m/>
    <m/>
    <s v="CP "/>
    <x v="0"/>
    <x v="1"/>
    <m/>
    <x v="8"/>
  </r>
  <r>
    <n v="2835"/>
    <x v="184"/>
    <x v="184"/>
    <x v="173"/>
    <x v="1"/>
    <x v="11"/>
    <n v="1039"/>
    <x v="1"/>
    <m/>
    <m/>
    <s v="Supplier"/>
    <m/>
    <x v="112"/>
    <s v="Perennial_SEF_2012-2.xlsx"/>
    <s v=".xlsx"/>
    <d v="2014-03-25T00:00:00"/>
    <s v="as\afok"/>
    <m/>
    <s v="2012"/>
    <m/>
    <m/>
    <m/>
    <m/>
    <m/>
    <x v="0"/>
    <x v="0"/>
    <x v="0"/>
    <x v="5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m/>
    <s v="CP"/>
    <m/>
    <m/>
    <s v="CP "/>
    <x v="0"/>
    <x v="1"/>
    <m/>
    <x v="26"/>
  </r>
  <r>
    <n v="2841"/>
    <x v="184"/>
    <x v="184"/>
    <x v="173"/>
    <x v="1"/>
    <x v="11"/>
    <n v="1034"/>
    <x v="1"/>
    <m/>
    <m/>
    <s v="Supplier"/>
    <m/>
    <x v="190"/>
    <s v="Perennial_SEF_2013-1.xls"/>
    <s v=".xls"/>
    <d v="2014-03-25T00:00:00"/>
    <s v="as\afok"/>
    <m/>
    <s v="2013"/>
    <m/>
    <m/>
    <m/>
    <m/>
    <m/>
    <x v="0"/>
    <x v="0"/>
    <x v="0"/>
    <x v="9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m/>
    <s v="CP"/>
    <m/>
    <m/>
    <s v="CP "/>
    <x v="0"/>
    <x v="1"/>
    <m/>
    <x v="26"/>
  </r>
  <r>
    <n v="2827"/>
    <x v="184"/>
    <x v="184"/>
    <x v="173"/>
    <x v="1"/>
    <x v="11"/>
    <n v="1040"/>
    <x v="1"/>
    <m/>
    <m/>
    <s v="Supplier"/>
    <m/>
    <x v="145"/>
    <s v="Perennial_SEF_2012.xls"/>
    <s v=".xls"/>
    <d v="2014-03-25T00:00:00"/>
    <s v="as\afok"/>
    <m/>
    <s v="2012"/>
    <m/>
    <m/>
    <m/>
    <m/>
    <m/>
    <x v="0"/>
    <x v="0"/>
    <x v="0"/>
    <x v="23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m/>
    <s v="CP"/>
    <m/>
    <m/>
    <s v="CP "/>
    <x v="0"/>
    <x v="1"/>
    <m/>
    <x v="26"/>
  </r>
  <r>
    <n v="2828"/>
    <x v="185"/>
    <x v="185"/>
    <x v="173"/>
    <x v="1"/>
    <x v="11"/>
    <n v="1040"/>
    <x v="1"/>
    <m/>
    <m/>
    <s v="Supplier"/>
    <m/>
    <x v="145"/>
    <s v="Perennial_SEF_2012.xls"/>
    <s v=".xls"/>
    <d v="2014-03-25T00:00:00"/>
    <s v="as\afok"/>
    <m/>
    <s v="2012"/>
    <m/>
    <m/>
    <m/>
    <m/>
    <m/>
    <x v="0"/>
    <x v="0"/>
    <x v="0"/>
    <x v="23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m/>
    <s v="CP"/>
    <m/>
    <m/>
    <s v="CP "/>
    <x v="0"/>
    <x v="1"/>
    <m/>
    <x v="8"/>
  </r>
  <r>
    <n v="2842"/>
    <x v="185"/>
    <x v="185"/>
    <x v="173"/>
    <x v="1"/>
    <x v="11"/>
    <n v="1034"/>
    <x v="1"/>
    <m/>
    <m/>
    <s v="Supplier"/>
    <m/>
    <x v="190"/>
    <s v="Perennial_SEF_2013-1.xls"/>
    <s v=".xls"/>
    <d v="2014-03-25T00:00:00"/>
    <s v="as\afok"/>
    <m/>
    <s v="2013"/>
    <m/>
    <m/>
    <m/>
    <m/>
    <m/>
    <x v="0"/>
    <x v="0"/>
    <x v="0"/>
    <x v="9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n v="1"/>
    <m/>
    <s v="CP"/>
    <m/>
    <m/>
    <s v="CP "/>
    <x v="0"/>
    <x v="1"/>
    <m/>
    <x v="8"/>
  </r>
  <r>
    <n v="2836"/>
    <x v="185"/>
    <x v="185"/>
    <x v="173"/>
    <x v="1"/>
    <x v="11"/>
    <n v="1039"/>
    <x v="1"/>
    <m/>
    <m/>
    <s v="Supplier"/>
    <m/>
    <x v="112"/>
    <s v="Perennial_SEF_2012-2.xlsx"/>
    <s v=".xlsx"/>
    <d v="2014-03-25T00:00:00"/>
    <s v="as\afok"/>
    <m/>
    <s v="2012"/>
    <m/>
    <m/>
    <m/>
    <m/>
    <m/>
    <x v="0"/>
    <x v="0"/>
    <x v="0"/>
    <x v="5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m/>
    <s v="CP"/>
    <m/>
    <m/>
    <s v="CP "/>
    <x v="0"/>
    <x v="1"/>
    <m/>
    <x v="8"/>
  </r>
  <r>
    <n v="2825"/>
    <x v="184"/>
    <x v="184"/>
    <x v="173"/>
    <x v="1"/>
    <x v="11"/>
    <n v="1042"/>
    <x v="2"/>
    <m/>
    <m/>
    <s v="Supplier"/>
    <m/>
    <x v="713"/>
    <s v="Perennial_SIF_2010.xls"/>
    <s v=".xls"/>
    <d v="2014-03-25T00:00:00"/>
    <s v="as\afok"/>
    <m/>
    <s v="2010"/>
    <m/>
    <m/>
    <m/>
    <m/>
    <m/>
    <x v="0"/>
    <x v="0"/>
    <x v="0"/>
    <x v="0"/>
    <x v="4"/>
    <x v="0"/>
    <x v="170"/>
    <x v="156"/>
    <x v="0"/>
    <x v="0"/>
    <x v="0"/>
    <x v="30"/>
    <x v="0"/>
    <x v="0"/>
    <x v="0"/>
    <s v="CP Panel"/>
    <x v="0"/>
    <x v="0"/>
    <x v="1"/>
    <x v="1"/>
    <m/>
    <m/>
    <m/>
    <n v="0"/>
    <m/>
    <m/>
    <m/>
    <s v="CP"/>
    <m/>
    <m/>
    <s v="CP "/>
    <x v="2"/>
    <x v="1"/>
    <m/>
    <x v="26"/>
  </r>
  <r>
    <n v="2826"/>
    <x v="185"/>
    <x v="185"/>
    <x v="173"/>
    <x v="1"/>
    <x v="11"/>
    <n v="1042"/>
    <x v="2"/>
    <n v="1"/>
    <m/>
    <s v="Supplier"/>
    <m/>
    <x v="713"/>
    <s v="Perennial_SIF_2010.xls"/>
    <s v=".xls"/>
    <d v="2014-03-25T00:00:00"/>
    <s v="as\afok"/>
    <m/>
    <s v="2010"/>
    <m/>
    <m/>
    <m/>
    <m/>
    <m/>
    <x v="0"/>
    <x v="0"/>
    <x v="0"/>
    <x v="0"/>
    <x v="4"/>
    <x v="0"/>
    <x v="170"/>
    <x v="156"/>
    <x v="0"/>
    <x v="0"/>
    <x v="0"/>
    <x v="30"/>
    <x v="0"/>
    <x v="0"/>
    <x v="0"/>
    <s v="CP Panel"/>
    <x v="0"/>
    <x v="0"/>
    <x v="1"/>
    <x v="1"/>
    <m/>
    <m/>
    <m/>
    <n v="0"/>
    <m/>
    <m/>
    <m/>
    <s v="CP"/>
    <m/>
    <m/>
    <s v="CP "/>
    <x v="2"/>
    <x v="1"/>
    <m/>
    <x v="8"/>
  </r>
  <r>
    <n v="2839"/>
    <x v="184"/>
    <x v="184"/>
    <x v="173"/>
    <x v="1"/>
    <x v="11"/>
    <n v="1037"/>
    <x v="3"/>
    <m/>
    <m/>
    <s v="Supplier"/>
    <m/>
    <x v="222"/>
    <s v="Perennial-SPR- Dec 2012.pptx"/>
    <s v=".pptx"/>
    <d v="2014-03-25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m/>
    <s v="CP"/>
    <m/>
    <m/>
    <s v="CP "/>
    <x v="0"/>
    <x v="1"/>
    <m/>
    <x v="26"/>
  </r>
  <r>
    <n v="2840"/>
    <x v="185"/>
    <x v="185"/>
    <x v="173"/>
    <x v="1"/>
    <x v="11"/>
    <n v="1037"/>
    <x v="3"/>
    <m/>
    <m/>
    <s v="Supplier"/>
    <m/>
    <x v="222"/>
    <s v="Perennial-SPR- Dec 2012.pptx"/>
    <s v=".pptx"/>
    <d v="2014-03-25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m/>
    <s v="CP"/>
    <m/>
    <m/>
    <s v="CP "/>
    <x v="0"/>
    <x v="1"/>
    <m/>
    <x v="8"/>
  </r>
  <r>
    <n v="2514"/>
    <x v="186"/>
    <x v="186"/>
    <x v="174"/>
    <x v="5"/>
    <x v="16"/>
    <n v="2395"/>
    <x v="4"/>
    <m/>
    <m/>
    <s v="Supplier"/>
    <m/>
    <x v="567"/>
    <s v="Povos_General Agreement(full set)_19Jun2013.PDF"/>
    <s v=".pdf"/>
    <d v="2014-04-23T00:00:00"/>
    <s v="as\afok"/>
    <m/>
    <s v="FHA 00 016 ind.12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m/>
    <s v="SP"/>
    <m/>
    <s v="FP SP "/>
    <x v="0"/>
    <x v="1"/>
    <m/>
    <x v="10"/>
  </r>
  <r>
    <n v="2513"/>
    <x v="186"/>
    <x v="186"/>
    <x v="174"/>
    <x v="5"/>
    <x v="16"/>
    <n v="2394"/>
    <x v="5"/>
    <m/>
    <m/>
    <s v="Supplier"/>
    <m/>
    <x v="567"/>
    <s v="Povos_Quality Appendix_19Jun2013.pdf"/>
    <s v=".pdf"/>
    <d v="2014-04-23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m/>
    <s v="SP"/>
    <m/>
    <s v="FP SP "/>
    <x v="0"/>
    <x v="1"/>
    <m/>
    <x v="10"/>
  </r>
  <r>
    <n v="2512"/>
    <x v="186"/>
    <x v="186"/>
    <x v="174"/>
    <x v="5"/>
    <x v="16"/>
    <n v="2393"/>
    <x v="6"/>
    <m/>
    <m/>
    <s v="Supplier"/>
    <m/>
    <x v="567"/>
    <s v="Povos_Supply Chain Appendix_19Jun2013.pdf"/>
    <s v=".pdf"/>
    <d v="2014-04-23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m/>
    <s v="SP"/>
    <m/>
    <s v="FP SP "/>
    <x v="0"/>
    <x v="1"/>
    <m/>
    <x v="10"/>
  </r>
  <r>
    <n v="2516"/>
    <x v="186"/>
    <x v="186"/>
    <x v="174"/>
    <x v="5"/>
    <x v="16"/>
    <n v="2397"/>
    <x v="10"/>
    <m/>
    <m/>
    <s v="Supplier"/>
    <m/>
    <x v="452"/>
    <s v="Povos_General Agreement(full set)_19Jun2013.PDF"/>
    <s v=".pdf"/>
    <d v="2014-04-2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10"/>
  </r>
  <r>
    <n v="2515"/>
    <x v="186"/>
    <x v="186"/>
    <x v="174"/>
    <x v="5"/>
    <x v="16"/>
    <n v="2396"/>
    <x v="7"/>
    <m/>
    <m/>
    <s v="Supplier"/>
    <m/>
    <x v="452"/>
    <s v="Povos_General Agreement(full set)_19Jun2013.PDF"/>
    <s v=".pdf"/>
    <d v="2014-04-23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10"/>
  </r>
  <r>
    <n v="2510"/>
    <x v="186"/>
    <x v="186"/>
    <x v="174"/>
    <x v="5"/>
    <x v="16"/>
    <n v="2391"/>
    <x v="11"/>
    <m/>
    <m/>
    <s v="Product / Project"/>
    <m/>
    <x v="252"/>
    <s v="Povos_EA_Hair dryer PH1705_27May2013.pdf"/>
    <s v=".pdf"/>
    <d v="2014-04-23T00:00:00"/>
    <s v="as\afok"/>
    <m/>
    <s v="FRD 6E 030 ind.00"/>
    <m/>
    <m/>
    <m/>
    <m/>
    <s v="Hair dryer PH1705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10"/>
  </r>
  <r>
    <n v="2519"/>
    <x v="186"/>
    <x v="186"/>
    <x v="174"/>
    <x v="5"/>
    <x v="16"/>
    <n v="2400"/>
    <x v="11"/>
    <m/>
    <m/>
    <s v="Product / Project"/>
    <m/>
    <x v="625"/>
    <s v="Povos_EA_Hair Dryer PH520X_26Nov2013.pdf"/>
    <s v=".pdf"/>
    <d v="2014-04-23T00:00:00"/>
    <s v="as\afok"/>
    <m/>
    <s v="FRD 6E 030 ind.00"/>
    <m/>
    <m/>
    <m/>
    <m/>
    <s v="Hair Dryer PH520X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n v="1"/>
    <m/>
    <s v="FP"/>
    <m/>
    <s v="SP"/>
    <m/>
    <s v="FP SP "/>
    <x v="0"/>
    <x v="1"/>
    <m/>
    <x v="10"/>
  </r>
  <r>
    <n v="2518"/>
    <x v="186"/>
    <x v="186"/>
    <x v="174"/>
    <x v="5"/>
    <x v="16"/>
    <n v="2399"/>
    <x v="11"/>
    <m/>
    <m/>
    <s v="Supplier"/>
    <m/>
    <x v="714"/>
    <s v="Povos_EA Summary.xlsx"/>
    <s v=".xlsx"/>
    <d v="2014-04-23T00:00:00"/>
    <s v="as\afok"/>
    <s v="Exclusivity Summary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10"/>
  </r>
  <r>
    <n v="2511"/>
    <x v="186"/>
    <x v="186"/>
    <x v="174"/>
    <x v="5"/>
    <x v="16"/>
    <n v="2392"/>
    <x v="8"/>
    <m/>
    <m/>
    <s v="Supplier"/>
    <m/>
    <x v="452"/>
    <s v="Povos_Responsible Purchasing Charter_19Jun2013.pdf"/>
    <s v=".pdf"/>
    <d v="2014-04-2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10"/>
  </r>
  <r>
    <n v="2509"/>
    <x v="186"/>
    <x v="186"/>
    <x v="174"/>
    <x v="5"/>
    <x v="16"/>
    <n v="2390"/>
    <x v="2"/>
    <m/>
    <m/>
    <s v="Supplier"/>
    <m/>
    <x v="505"/>
    <s v="POVOS_SIF_Feb2013.XLSX"/>
    <s v=".xlsx"/>
    <d v="2014-04-23T00:00:00"/>
    <s v="as\afok"/>
    <m/>
    <s v="2013"/>
    <m/>
    <m/>
    <m/>
    <m/>
    <m/>
    <x v="0"/>
    <x v="0"/>
    <x v="0"/>
    <x v="0"/>
    <x v="2"/>
    <x v="0"/>
    <x v="171"/>
    <x v="157"/>
    <x v="140"/>
    <x v="132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3"/>
    <x v="1"/>
    <m/>
    <x v="10"/>
  </r>
  <r>
    <n v="2517"/>
    <x v="186"/>
    <x v="186"/>
    <x v="174"/>
    <x v="5"/>
    <x v="16"/>
    <n v="2398"/>
    <x v="2"/>
    <m/>
    <m/>
    <s v="Supplier"/>
    <m/>
    <x v="715"/>
    <s v="POVOS_SIF_JAN 2014.XLSX"/>
    <s v=".xlsx"/>
    <d v="2014-04-23T00:00:00"/>
    <s v="as\afok"/>
    <m/>
    <s v="2014"/>
    <m/>
    <m/>
    <m/>
    <m/>
    <m/>
    <x v="0"/>
    <x v="0"/>
    <x v="0"/>
    <x v="0"/>
    <x v="3"/>
    <x v="130"/>
    <x v="42"/>
    <x v="157"/>
    <x v="140"/>
    <x v="132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3"/>
    <x v="1"/>
    <m/>
    <x v="10"/>
  </r>
  <r>
    <n v="876"/>
    <x v="187"/>
    <x v="187"/>
    <x v="175"/>
    <x v="1"/>
    <x v="1"/>
    <n v="854"/>
    <x v="4"/>
    <m/>
    <m/>
    <s v="Supplier"/>
    <m/>
    <x v="503"/>
    <s v="Power_Motor_General_agreement_Jul12.pdf"/>
    <s v=".pdf"/>
    <d v="2014-03-21T00:00:00"/>
    <s v="as\afok"/>
    <m/>
    <s v="V7"/>
    <s v="37E4 - 45 days end of month Due net on posting date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n v="1"/>
    <m/>
    <m/>
    <n v="1"/>
    <m/>
    <m/>
    <m/>
    <s v="CP"/>
    <m/>
    <m/>
    <s v="CP "/>
    <x v="0"/>
    <x v="1"/>
    <m/>
    <x v="6"/>
  </r>
  <r>
    <n v="883"/>
    <x v="187"/>
    <x v="187"/>
    <x v="175"/>
    <x v="1"/>
    <x v="1"/>
    <n v="861"/>
    <x v="4"/>
    <m/>
    <m/>
    <s v="Supplier"/>
    <m/>
    <x v="716"/>
    <s v="Power_Motor_Purchase_Agreement_2008.pdf"/>
    <s v=".pdf"/>
    <d v="2014-03-21T00:00:00"/>
    <s v="as\afok"/>
    <m/>
    <s v="V5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n v="1"/>
    <m/>
    <m/>
    <n v="1"/>
    <m/>
    <m/>
    <m/>
    <s v="CP"/>
    <m/>
    <m/>
    <s v="CP "/>
    <x v="0"/>
    <x v="1"/>
    <m/>
    <x v="6"/>
  </r>
  <r>
    <n v="879"/>
    <x v="187"/>
    <x v="187"/>
    <x v="175"/>
    <x v="1"/>
    <x v="1"/>
    <n v="857"/>
    <x v="5"/>
    <m/>
    <m/>
    <s v="Supplier"/>
    <m/>
    <x v="217"/>
    <s v="Power_Motor_General_agreement_Jul12.pdf"/>
    <s v=".pdf"/>
    <d v="2014-03-21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n v="1"/>
    <m/>
    <n v="1"/>
    <m/>
    <m/>
    <m/>
    <s v="CP"/>
    <m/>
    <m/>
    <s v="CP "/>
    <x v="0"/>
    <x v="1"/>
    <m/>
    <x v="6"/>
  </r>
  <r>
    <n v="884"/>
    <x v="187"/>
    <x v="187"/>
    <x v="175"/>
    <x v="1"/>
    <x v="1"/>
    <n v="862"/>
    <x v="5"/>
    <m/>
    <m/>
    <s v="Supplier"/>
    <m/>
    <x v="716"/>
    <s v="Power_Motor_Purchase_Agreement_2008.pdf"/>
    <s v=".pdf"/>
    <d v="2014-03-21T00:00:00"/>
    <s v="as\afok"/>
    <m/>
    <s v="FHA 00 014"/>
    <m/>
    <m/>
    <m/>
    <n v="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n v="1"/>
    <m/>
    <n v="1"/>
    <m/>
    <m/>
    <m/>
    <s v="CP"/>
    <m/>
    <m/>
    <s v="CP "/>
    <x v="0"/>
    <x v="1"/>
    <m/>
    <x v="6"/>
  </r>
  <r>
    <n v="878"/>
    <x v="187"/>
    <x v="187"/>
    <x v="175"/>
    <x v="1"/>
    <x v="1"/>
    <n v="856"/>
    <x v="6"/>
    <m/>
    <m/>
    <s v="Supplier"/>
    <m/>
    <x v="217"/>
    <s v="Power_Motor_General_agreement_Jul12.pdf"/>
    <s v=".pdf"/>
    <d v="2014-03-21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m/>
    <n v="1"/>
    <n v="1"/>
    <m/>
    <m/>
    <m/>
    <s v="CP"/>
    <m/>
    <m/>
    <s v="CP "/>
    <x v="0"/>
    <x v="1"/>
    <m/>
    <x v="6"/>
  </r>
  <r>
    <n v="880"/>
    <x v="187"/>
    <x v="187"/>
    <x v="175"/>
    <x v="1"/>
    <x v="1"/>
    <n v="858"/>
    <x v="10"/>
    <m/>
    <m/>
    <s v="Supplier"/>
    <m/>
    <x v="503"/>
    <s v="Power_Motor_General_agreement_Jul12.pdf"/>
    <s v=".pdf"/>
    <d v="2014-03-2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m/>
    <m/>
    <n v="1"/>
    <m/>
    <m/>
    <m/>
    <s v="CP"/>
    <m/>
    <m/>
    <s v="CP "/>
    <x v="0"/>
    <x v="1"/>
    <m/>
    <x v="6"/>
  </r>
  <r>
    <n v="877"/>
    <x v="187"/>
    <x v="187"/>
    <x v="175"/>
    <x v="1"/>
    <x v="1"/>
    <n v="855"/>
    <x v="7"/>
    <m/>
    <m/>
    <s v="Supplier"/>
    <m/>
    <x v="561"/>
    <s v="Power_Motor_General_agreement_Jul12.pdf"/>
    <s v=".pdf"/>
    <d v="2014-03-21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m/>
    <m/>
    <n v="1"/>
    <m/>
    <m/>
    <m/>
    <s v="CP"/>
    <m/>
    <m/>
    <s v="CP "/>
    <x v="0"/>
    <x v="1"/>
    <m/>
    <x v="6"/>
  </r>
  <r>
    <n v="885"/>
    <x v="187"/>
    <x v="187"/>
    <x v="175"/>
    <x v="1"/>
    <x v="1"/>
    <n v="863"/>
    <x v="13"/>
    <m/>
    <m/>
    <s v="Supplier"/>
    <d v="2011-01-23T00:00:00"/>
    <x v="717"/>
    <s v="Power-Motor_ISO14001_12May2010.pdf"/>
    <s v=".pdf"/>
    <d v="2014-03-2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m/>
    <m/>
    <n v="1"/>
    <m/>
    <m/>
    <m/>
    <s v="CP"/>
    <m/>
    <m/>
    <s v="CP "/>
    <x v="0"/>
    <x v="1"/>
    <m/>
    <x v="6"/>
  </r>
  <r>
    <n v="873"/>
    <x v="187"/>
    <x v="187"/>
    <x v="175"/>
    <x v="1"/>
    <x v="1"/>
    <n v="851"/>
    <x v="8"/>
    <m/>
    <m/>
    <s v="Supplier"/>
    <m/>
    <x v="77"/>
    <s v="Power_Motor_Responsible_Purchasing_Charter_03Aug12.pdf"/>
    <s v=".pdf"/>
    <d v="2014-03-2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m/>
    <m/>
    <n v="1"/>
    <m/>
    <m/>
    <m/>
    <s v="CP"/>
    <m/>
    <m/>
    <s v="CP "/>
    <x v="0"/>
    <x v="1"/>
    <m/>
    <x v="6"/>
  </r>
  <r>
    <n v="872"/>
    <x v="187"/>
    <x v="187"/>
    <x v="175"/>
    <x v="1"/>
    <x v="1"/>
    <n v="850"/>
    <x v="1"/>
    <m/>
    <m/>
    <s v="Supplier"/>
    <m/>
    <x v="9"/>
    <s v="Power SEF 2013-Designer-20130601-78.xlsx"/>
    <s v=".xlsx"/>
    <d v="2014-03-21T00:00:00"/>
    <s v="as\afok"/>
    <m/>
    <s v="2013"/>
    <m/>
    <m/>
    <m/>
    <m/>
    <m/>
    <x v="0"/>
    <x v="0"/>
    <x v="0"/>
    <x v="9"/>
    <x v="0"/>
    <x v="0"/>
    <x v="0"/>
    <x v="0"/>
    <x v="0"/>
    <x v="0"/>
    <x v="0"/>
    <x v="0"/>
    <x v="0"/>
    <x v="0"/>
    <x v="0"/>
    <s v="CP Panel"/>
    <x v="0"/>
    <x v="0"/>
    <x v="1"/>
    <x v="7"/>
    <m/>
    <m/>
    <m/>
    <n v="1"/>
    <m/>
    <m/>
    <m/>
    <s v="CP"/>
    <m/>
    <m/>
    <s v="CP "/>
    <x v="0"/>
    <x v="1"/>
    <m/>
    <x v="6"/>
  </r>
  <r>
    <n v="881"/>
    <x v="187"/>
    <x v="187"/>
    <x v="175"/>
    <x v="1"/>
    <x v="1"/>
    <n v="859"/>
    <x v="1"/>
    <m/>
    <m/>
    <s v="Supplier"/>
    <m/>
    <x v="10"/>
    <s v="Power Motor_SEF_2012.xlsx"/>
    <s v=".xlsx"/>
    <d v="2014-03-21T00:00:00"/>
    <s v="as\afok"/>
    <m/>
    <s v="2012"/>
    <m/>
    <m/>
    <m/>
    <m/>
    <m/>
    <x v="0"/>
    <x v="0"/>
    <x v="0"/>
    <x v="28"/>
    <x v="0"/>
    <x v="0"/>
    <x v="0"/>
    <x v="0"/>
    <x v="0"/>
    <x v="0"/>
    <x v="0"/>
    <x v="0"/>
    <x v="0"/>
    <x v="0"/>
    <x v="0"/>
    <s v="CP Panel"/>
    <x v="0"/>
    <x v="0"/>
    <x v="1"/>
    <x v="7"/>
    <m/>
    <m/>
    <m/>
    <n v="1"/>
    <m/>
    <m/>
    <m/>
    <s v="CP"/>
    <m/>
    <m/>
    <s v="CP "/>
    <x v="0"/>
    <x v="1"/>
    <m/>
    <x v="6"/>
  </r>
  <r>
    <n v="886"/>
    <x v="187"/>
    <x v="187"/>
    <x v="175"/>
    <x v="1"/>
    <x v="1"/>
    <n v="864"/>
    <x v="2"/>
    <n v="1"/>
    <m/>
    <s v="Supplier"/>
    <m/>
    <x v="455"/>
    <s v="Power_Motor_2009.pdf"/>
    <s v=".pdf"/>
    <d v="2014-03-21T00:00:00"/>
    <s v="as\afok"/>
    <m/>
    <s v="2009"/>
    <m/>
    <m/>
    <m/>
    <m/>
    <m/>
    <x v="0"/>
    <x v="0"/>
    <x v="0"/>
    <x v="0"/>
    <x v="4"/>
    <x v="91"/>
    <x v="68"/>
    <x v="58"/>
    <x v="0"/>
    <x v="0"/>
    <x v="0"/>
    <x v="0"/>
    <x v="0"/>
    <x v="0"/>
    <x v="0"/>
    <s v="CP Panel"/>
    <x v="0"/>
    <x v="0"/>
    <x v="1"/>
    <x v="7"/>
    <m/>
    <m/>
    <m/>
    <n v="1"/>
    <n v="1"/>
    <m/>
    <m/>
    <s v="CP"/>
    <m/>
    <m/>
    <s v="CP "/>
    <x v="2"/>
    <x v="1"/>
    <m/>
    <x v="6"/>
  </r>
  <r>
    <n v="875"/>
    <x v="187"/>
    <x v="187"/>
    <x v="175"/>
    <x v="1"/>
    <x v="1"/>
    <n v="853"/>
    <x v="2"/>
    <n v="1"/>
    <m/>
    <s v="Supplier"/>
    <m/>
    <x v="252"/>
    <s v="Power_Motor_SIF2013.xls"/>
    <s v=".xls"/>
    <d v="2014-03-21T00:00:00"/>
    <s v="as\afok"/>
    <m/>
    <s v="2013"/>
    <m/>
    <m/>
    <m/>
    <m/>
    <m/>
    <x v="0"/>
    <x v="0"/>
    <x v="0"/>
    <x v="0"/>
    <x v="2"/>
    <x v="39"/>
    <x v="148"/>
    <x v="158"/>
    <x v="141"/>
    <x v="133"/>
    <x v="0"/>
    <x v="0"/>
    <x v="0"/>
    <x v="0"/>
    <x v="0"/>
    <s v="CP Panel"/>
    <x v="0"/>
    <x v="0"/>
    <x v="1"/>
    <x v="7"/>
    <m/>
    <m/>
    <m/>
    <n v="1"/>
    <m/>
    <m/>
    <m/>
    <s v="CP"/>
    <m/>
    <m/>
    <s v="CP "/>
    <x v="2"/>
    <x v="1"/>
    <m/>
    <x v="6"/>
  </r>
  <r>
    <n v="882"/>
    <x v="187"/>
    <x v="187"/>
    <x v="175"/>
    <x v="1"/>
    <x v="1"/>
    <n v="860"/>
    <x v="2"/>
    <n v="1"/>
    <m/>
    <s v="Supplier"/>
    <m/>
    <x v="191"/>
    <s v="Power Motor_SIF2012_2Mar12.xls"/>
    <s v=".xls"/>
    <d v="2014-03-21T00:00:00"/>
    <s v="as\afok"/>
    <m/>
    <s v="2012"/>
    <m/>
    <m/>
    <m/>
    <m/>
    <m/>
    <x v="0"/>
    <x v="0"/>
    <x v="0"/>
    <x v="0"/>
    <x v="1"/>
    <x v="131"/>
    <x v="172"/>
    <x v="159"/>
    <x v="142"/>
    <x v="134"/>
    <x v="0"/>
    <x v="0"/>
    <x v="0"/>
    <x v="74"/>
    <x v="0"/>
    <s v="CP Panel"/>
    <x v="0"/>
    <x v="0"/>
    <x v="1"/>
    <x v="7"/>
    <m/>
    <m/>
    <m/>
    <n v="1"/>
    <m/>
    <m/>
    <m/>
    <s v="CP"/>
    <m/>
    <m/>
    <s v="CP "/>
    <x v="2"/>
    <x v="1"/>
    <m/>
    <x v="6"/>
  </r>
  <r>
    <n v="874"/>
    <x v="187"/>
    <x v="187"/>
    <x v="175"/>
    <x v="1"/>
    <x v="1"/>
    <n v="852"/>
    <x v="18"/>
    <m/>
    <m/>
    <s v="Supplier"/>
    <m/>
    <x v="302"/>
    <s v="POWER_MOTOR_SSR_20130710.pptx"/>
    <s v=".pptx"/>
    <d v="2014-03-21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m/>
    <m/>
    <n v="1"/>
    <m/>
    <m/>
    <m/>
    <s v="CP"/>
    <m/>
    <m/>
    <s v="CP "/>
    <x v="0"/>
    <x v="1"/>
    <m/>
    <x v="6"/>
  </r>
  <r>
    <n v="1881"/>
    <x v="188"/>
    <x v="188"/>
    <x v="176"/>
    <x v="4"/>
    <x v="17"/>
    <n v="1837"/>
    <x v="7"/>
    <m/>
    <m/>
    <s v="Supplier"/>
    <m/>
    <x v="83"/>
    <s v="Precision_Product_Env_Declaration_27Mar2010.pdf"/>
    <s v=".pdf"/>
    <d v="2014-04-09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s v="CP"/>
    <m/>
    <m/>
    <s v="CP "/>
    <x v="0"/>
    <x v="1"/>
    <m/>
    <x v="0"/>
  </r>
  <r>
    <n v="1879"/>
    <x v="188"/>
    <x v="188"/>
    <x v="176"/>
    <x v="4"/>
    <x v="17"/>
    <n v="1835"/>
    <x v="8"/>
    <m/>
    <m/>
    <s v="Supplier"/>
    <m/>
    <x v="8"/>
    <s v="PPM_Responsible_Purchasing_Charter_08Aug12.pdf"/>
    <s v=".pdf"/>
    <d v="2014-04-0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0"/>
  </r>
  <r>
    <n v="1880"/>
    <x v="188"/>
    <x v="188"/>
    <x v="176"/>
    <x v="4"/>
    <x v="17"/>
    <n v="1836"/>
    <x v="2"/>
    <m/>
    <m/>
    <s v="Supplier"/>
    <m/>
    <x v="220"/>
    <s v="PPM_SIF 2012_17Apr12.xlsx"/>
    <s v=".xlsx"/>
    <d v="2014-04-09T00:00:00"/>
    <s v="as\afok"/>
    <m/>
    <s v="2012"/>
    <m/>
    <m/>
    <m/>
    <m/>
    <m/>
    <x v="0"/>
    <x v="0"/>
    <x v="0"/>
    <x v="0"/>
    <x v="1"/>
    <x v="0"/>
    <x v="68"/>
    <x v="51"/>
    <x v="5"/>
    <x v="0"/>
    <x v="0"/>
    <x v="94"/>
    <x v="86"/>
    <x v="0"/>
    <x v="0"/>
    <m/>
    <x v="0"/>
    <x v="0"/>
    <x v="0"/>
    <x v="0"/>
    <m/>
    <m/>
    <m/>
    <n v="0"/>
    <m/>
    <m/>
    <m/>
    <s v="CP"/>
    <m/>
    <m/>
    <s v="CP "/>
    <x v="2"/>
    <x v="1"/>
    <m/>
    <x v="0"/>
  </r>
  <r>
    <n v="2345"/>
    <x v="189"/>
    <x v="189"/>
    <x v="177"/>
    <x v="1"/>
    <x v="5"/>
    <n v="2286"/>
    <x v="4"/>
    <m/>
    <m/>
    <s v="Supplier"/>
    <m/>
    <x v="718"/>
    <s v="Pro-tent_General Agreement_V7.pdf"/>
    <s v=".pdf"/>
    <d v="2014-04-17T00:00:00"/>
    <s v="as\afok"/>
    <m/>
    <s v="V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n v="1"/>
    <m/>
    <m/>
    <n v="1"/>
    <m/>
    <m/>
    <m/>
    <s v="CP"/>
    <m/>
    <m/>
    <s v="CP "/>
    <x v="0"/>
    <x v="1"/>
    <m/>
    <x v="11"/>
  </r>
  <r>
    <n v="2348"/>
    <x v="189"/>
    <x v="189"/>
    <x v="177"/>
    <x v="1"/>
    <x v="5"/>
    <n v="2289"/>
    <x v="5"/>
    <m/>
    <m/>
    <s v="Supplier"/>
    <m/>
    <x v="389"/>
    <s v="Pro-tent_General Agreement_V7.pdf"/>
    <s v=".pdf"/>
    <d v="2014-04-17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n v="1"/>
    <m/>
    <n v="1"/>
    <m/>
    <m/>
    <m/>
    <s v="CP"/>
    <m/>
    <m/>
    <s v="CP "/>
    <x v="0"/>
    <x v="1"/>
    <m/>
    <x v="11"/>
  </r>
  <r>
    <n v="2347"/>
    <x v="189"/>
    <x v="189"/>
    <x v="177"/>
    <x v="1"/>
    <x v="5"/>
    <n v="2288"/>
    <x v="6"/>
    <m/>
    <m/>
    <s v="Supplier"/>
    <m/>
    <x v="335"/>
    <s v="Pro-tent_General Agreement_V7.pdf"/>
    <s v=".pdf"/>
    <d v="2014-04-17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n v="1"/>
    <n v="1"/>
    <m/>
    <m/>
    <m/>
    <s v="CP"/>
    <m/>
    <m/>
    <s v="CP "/>
    <x v="0"/>
    <x v="1"/>
    <m/>
    <x v="11"/>
  </r>
  <r>
    <n v="2349"/>
    <x v="189"/>
    <x v="189"/>
    <x v="177"/>
    <x v="1"/>
    <x v="5"/>
    <n v="2290"/>
    <x v="10"/>
    <m/>
    <m/>
    <s v="Supplier"/>
    <m/>
    <x v="719"/>
    <s v="Pro-tent_General Agreement_V7.pdf"/>
    <s v=".pdf"/>
    <d v="2014-04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n v="1"/>
    <m/>
    <m/>
    <s v="CP"/>
    <m/>
    <m/>
    <s v="CP "/>
    <x v="0"/>
    <x v="1"/>
    <m/>
    <x v="11"/>
  </r>
  <r>
    <n v="2346"/>
    <x v="189"/>
    <x v="189"/>
    <x v="177"/>
    <x v="1"/>
    <x v="5"/>
    <n v="2287"/>
    <x v="7"/>
    <m/>
    <m/>
    <s v="Supplier"/>
    <m/>
    <x v="718"/>
    <s v="Pro-Tent_Env_Declaration_31May2010.xls"/>
    <s v=".xls"/>
    <d v="2014-04-17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11"/>
  </r>
  <r>
    <n v="2342"/>
    <x v="189"/>
    <x v="189"/>
    <x v="177"/>
    <x v="1"/>
    <x v="5"/>
    <n v="2283"/>
    <x v="7"/>
    <m/>
    <m/>
    <s v="Supplier"/>
    <m/>
    <x v="133"/>
    <s v="Pro-Tent_Env_Declaration_31May2010.xls"/>
    <s v=".xls"/>
    <d v="2014-04-17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11"/>
  </r>
  <r>
    <n v="2341"/>
    <x v="189"/>
    <x v="189"/>
    <x v="177"/>
    <x v="1"/>
    <x v="5"/>
    <n v="2282"/>
    <x v="8"/>
    <m/>
    <m/>
    <s v="Supplier"/>
    <m/>
    <x v="77"/>
    <s v="Protent_Responsible_Purchasing_Charter_03Aug12.pdf"/>
    <s v=".pdf"/>
    <d v="2014-04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11"/>
  </r>
  <r>
    <n v="2344"/>
    <x v="189"/>
    <x v="189"/>
    <x v="177"/>
    <x v="1"/>
    <x v="5"/>
    <n v="2285"/>
    <x v="1"/>
    <m/>
    <m/>
    <s v="Supplier"/>
    <m/>
    <x v="205"/>
    <s v="Protent_SEF_2012-2.xlsx"/>
    <s v=".xlsx"/>
    <d v="2014-04-17T00:00:00"/>
    <s v="as\afok"/>
    <m/>
    <s v="2012"/>
    <m/>
    <m/>
    <m/>
    <m/>
    <m/>
    <x v="0"/>
    <x v="0"/>
    <x v="0"/>
    <x v="1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11"/>
  </r>
  <r>
    <n v="2340"/>
    <x v="189"/>
    <x v="189"/>
    <x v="177"/>
    <x v="1"/>
    <x v="5"/>
    <n v="2281"/>
    <x v="2"/>
    <n v="1"/>
    <m/>
    <s v="Supplier"/>
    <m/>
    <x v="720"/>
    <s v="Pro_Tent_SIF 2013-1 30 Jul 2013.xlsx"/>
    <s v=".xlsx"/>
    <d v="2014-04-17T00:00:00"/>
    <s v="as\afok"/>
    <m/>
    <s v="2013"/>
    <m/>
    <m/>
    <m/>
    <m/>
    <m/>
    <x v="0"/>
    <x v="0"/>
    <x v="0"/>
    <x v="0"/>
    <x v="2"/>
    <x v="132"/>
    <x v="173"/>
    <x v="160"/>
    <x v="46"/>
    <x v="81"/>
    <x v="9"/>
    <x v="0"/>
    <x v="0"/>
    <x v="0"/>
    <x v="0"/>
    <s v="CP Panel"/>
    <x v="0"/>
    <x v="0"/>
    <x v="1"/>
    <x v="1"/>
    <m/>
    <m/>
    <m/>
    <n v="1"/>
    <m/>
    <m/>
    <m/>
    <s v="CP"/>
    <m/>
    <m/>
    <s v="CP "/>
    <x v="2"/>
    <x v="1"/>
    <m/>
    <x v="11"/>
  </r>
  <r>
    <n v="2343"/>
    <x v="189"/>
    <x v="189"/>
    <x v="177"/>
    <x v="1"/>
    <x v="5"/>
    <n v="2284"/>
    <x v="3"/>
    <m/>
    <m/>
    <s v="Supplier"/>
    <m/>
    <x v="721"/>
    <s v="Pro_Tent_SPR_2010.pptx"/>
    <s v=".pptx"/>
    <d v="2014-04-17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11"/>
  </r>
  <r>
    <n v="1351"/>
    <x v="190"/>
    <x v="190"/>
    <x v="178"/>
    <x v="0"/>
    <x v="3"/>
    <n v="1320"/>
    <x v="4"/>
    <m/>
    <m/>
    <s v="Supplier"/>
    <m/>
    <x v="722"/>
    <s v="Prodoo-DEVELOPMENT AND SUPPLY AGREEMENT 23062008.pdf"/>
    <s v=".pdf"/>
    <d v="2014-03-31T00:00:00"/>
    <s v="as\afok"/>
    <m/>
    <s v="FHA 00 016 ind.0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n v="1"/>
    <m/>
    <m/>
    <n v="1"/>
    <m/>
    <m/>
    <s v="FP"/>
    <m/>
    <s v="SP"/>
    <s v="MOULD"/>
    <s v="FP SP MOULD "/>
    <x v="0"/>
    <x v="1"/>
    <m/>
    <x v="4"/>
  </r>
  <r>
    <n v="1352"/>
    <x v="190"/>
    <x v="190"/>
    <x v="178"/>
    <x v="0"/>
    <x v="3"/>
    <n v="1321"/>
    <x v="4"/>
    <m/>
    <m/>
    <s v="Supplier"/>
    <m/>
    <x v="723"/>
    <s v="Prodoo_General Agreement_16Aug12.pdf"/>
    <s v=".pdf"/>
    <d v="2014-03-31T00:00:00"/>
    <s v="as\afok"/>
    <m/>
    <s v="FHA 00 016 ind.11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n v="1"/>
    <m/>
    <m/>
    <n v="1"/>
    <m/>
    <m/>
    <s v="FP"/>
    <m/>
    <s v="SP"/>
    <s v="MOULD"/>
    <s v="FP SP MOULD "/>
    <x v="0"/>
    <x v="1"/>
    <m/>
    <x v="4"/>
  </r>
  <r>
    <n v="1355"/>
    <x v="190"/>
    <x v="190"/>
    <x v="178"/>
    <x v="0"/>
    <x v="3"/>
    <n v="1324"/>
    <x v="5"/>
    <m/>
    <m/>
    <s v="Supplier"/>
    <m/>
    <x v="723"/>
    <s v="Prodoo_General Agreement_16Aug12.pdf"/>
    <s v=".pdf"/>
    <d v="2014-03-31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n v="1"/>
    <m/>
    <n v="1"/>
    <m/>
    <m/>
    <s v="FP"/>
    <m/>
    <s v="SP"/>
    <s v="MOULD"/>
    <s v="FP SP MOULD "/>
    <x v="0"/>
    <x v="1"/>
    <m/>
    <x v="4"/>
  </r>
  <r>
    <n v="1354"/>
    <x v="190"/>
    <x v="190"/>
    <x v="178"/>
    <x v="0"/>
    <x v="3"/>
    <n v="1323"/>
    <x v="6"/>
    <m/>
    <m/>
    <s v="Supplier"/>
    <m/>
    <x v="723"/>
    <s v="Prodoo_General Agreement_16Aug12.pdf"/>
    <s v=".pdf"/>
    <d v="2014-03-31T00:00:00"/>
    <s v="as\afok"/>
    <m/>
    <m/>
    <m/>
    <n v="0"/>
    <n v="85"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n v="1"/>
    <n v="1"/>
    <m/>
    <m/>
    <s v="FP"/>
    <m/>
    <s v="SP"/>
    <s v="MOULD"/>
    <s v="FP SP MOULD "/>
    <x v="0"/>
    <x v="1"/>
    <m/>
    <x v="4"/>
  </r>
  <r>
    <n v="1356"/>
    <x v="190"/>
    <x v="190"/>
    <x v="178"/>
    <x v="0"/>
    <x v="3"/>
    <n v="1325"/>
    <x v="10"/>
    <m/>
    <m/>
    <s v="Supplier"/>
    <m/>
    <x v="126"/>
    <s v="Prodoo_General Agreement_16Aug12.pdf"/>
    <s v=".pdf"/>
    <d v="2014-03-3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s v="MOULD"/>
    <s v="FP SP MOULD "/>
    <x v="0"/>
    <x v="1"/>
    <m/>
    <x v="4"/>
  </r>
  <r>
    <n v="1360"/>
    <x v="190"/>
    <x v="190"/>
    <x v="178"/>
    <x v="0"/>
    <x v="3"/>
    <n v="1329"/>
    <x v="7"/>
    <m/>
    <m/>
    <s v="Supplier"/>
    <m/>
    <x v="689"/>
    <s v="Prodoo_Env_Declaration_18Mar2010.pdf"/>
    <s v=".pdf"/>
    <d v="2014-03-31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s v="MOULD"/>
    <s v="FP SP MOULD "/>
    <x v="0"/>
    <x v="1"/>
    <m/>
    <x v="4"/>
  </r>
  <r>
    <n v="1353"/>
    <x v="190"/>
    <x v="190"/>
    <x v="178"/>
    <x v="0"/>
    <x v="3"/>
    <n v="1322"/>
    <x v="7"/>
    <m/>
    <m/>
    <s v="Supplier"/>
    <m/>
    <x v="126"/>
    <s v="Prodoo_General Agreement_16Aug12.pdf"/>
    <s v=".pdf"/>
    <d v="2014-03-31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s v="MOULD"/>
    <s v="FP SP MOULD "/>
    <x v="0"/>
    <x v="1"/>
    <m/>
    <x v="4"/>
  </r>
  <r>
    <n v="1359"/>
    <x v="190"/>
    <x v="190"/>
    <x v="178"/>
    <x v="0"/>
    <x v="3"/>
    <n v="1328"/>
    <x v="11"/>
    <m/>
    <m/>
    <s v="Product / Project"/>
    <m/>
    <x v="724"/>
    <s v="Prodoo_Exclusivity_Class Ceramic 0303_9Apr12.pdf"/>
    <s v=".pdf"/>
    <d v="2014-03-31T00:00:00"/>
    <s v="as\afok"/>
    <m/>
    <m/>
    <m/>
    <m/>
    <m/>
    <m/>
    <s v="Class Ceramic 0303"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s v="MOULD"/>
    <s v="FP SP MOULD "/>
    <x v="0"/>
    <x v="1"/>
    <m/>
    <x v="4"/>
  </r>
  <r>
    <n v="1361"/>
    <x v="190"/>
    <x v="190"/>
    <x v="178"/>
    <x v="0"/>
    <x v="3"/>
    <n v="1330"/>
    <x v="9"/>
    <m/>
    <m/>
    <s v="Supplier"/>
    <m/>
    <x v="725"/>
    <s v="Prodoo_Letter of Confidentiality_28Oct2011.pdf"/>
    <s v=".pdf"/>
    <d v="2014-03-3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s v="MOULD"/>
    <s v="FP SP MOULD "/>
    <x v="0"/>
    <x v="1"/>
    <m/>
    <x v="4"/>
  </r>
  <r>
    <n v="1362"/>
    <x v="190"/>
    <x v="190"/>
    <x v="178"/>
    <x v="0"/>
    <x v="3"/>
    <n v="1331"/>
    <x v="8"/>
    <m/>
    <m/>
    <s v="Supplier"/>
    <m/>
    <x v="254"/>
    <s v="Prodoo_Responsible Purchasing Charter_2Aug12.pdf"/>
    <s v=".pdf"/>
    <d v="2014-03-3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s v="MOULD"/>
    <s v="FP SP MOULD "/>
    <x v="0"/>
    <x v="1"/>
    <m/>
    <x v="4"/>
  </r>
  <r>
    <n v="1358"/>
    <x v="190"/>
    <x v="190"/>
    <x v="178"/>
    <x v="0"/>
    <x v="3"/>
    <n v="1327"/>
    <x v="1"/>
    <m/>
    <m/>
    <s v="Supplier"/>
    <m/>
    <x v="36"/>
    <s v="SEF_Prodoo_12Nov12.xlsx"/>
    <s v=".xlsx"/>
    <d v="2014-03-31T00:00:00"/>
    <s v="as\afok"/>
    <m/>
    <s v="2012"/>
    <m/>
    <m/>
    <m/>
    <m/>
    <m/>
    <x v="0"/>
    <x v="0"/>
    <x v="0"/>
    <x v="16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s v="MOULD"/>
    <s v="FP SP MOULD "/>
    <x v="0"/>
    <x v="1"/>
    <m/>
    <x v="4"/>
  </r>
  <r>
    <n v="1363"/>
    <x v="190"/>
    <x v="190"/>
    <x v="178"/>
    <x v="0"/>
    <x v="3"/>
    <n v="1332"/>
    <x v="2"/>
    <m/>
    <m/>
    <s v="Supplier"/>
    <m/>
    <x v="551"/>
    <s v="Prodoo_SIF_2013.xls"/>
    <s v=".xls"/>
    <d v="2014-03-31T00:00:00"/>
    <s v="as\afok"/>
    <m/>
    <s v="2013"/>
    <m/>
    <m/>
    <m/>
    <m/>
    <m/>
    <x v="0"/>
    <x v="0"/>
    <x v="0"/>
    <x v="0"/>
    <x v="2"/>
    <x v="112"/>
    <x v="140"/>
    <x v="132"/>
    <x v="0"/>
    <x v="0"/>
    <x v="0"/>
    <x v="79"/>
    <x v="38"/>
    <x v="0"/>
    <x v="0"/>
    <s v="FP panel"/>
    <x v="1"/>
    <x v="3"/>
    <x v="0"/>
    <x v="0"/>
    <m/>
    <m/>
    <m/>
    <n v="1"/>
    <n v="1"/>
    <m/>
    <s v="FP"/>
    <m/>
    <s v="SP"/>
    <s v="MOULD"/>
    <s v="FP SP MOULD "/>
    <x v="3"/>
    <x v="1"/>
    <m/>
    <x v="4"/>
  </r>
  <r>
    <n v="1350"/>
    <x v="190"/>
    <x v="190"/>
    <x v="178"/>
    <x v="0"/>
    <x v="3"/>
    <n v="1319"/>
    <x v="2"/>
    <m/>
    <m/>
    <s v="Supplier"/>
    <m/>
    <x v="715"/>
    <s v="Prodoo SIF 2014.xls"/>
    <s v=".xls"/>
    <d v="2014-03-31T00:00:00"/>
    <s v="as\afok"/>
    <m/>
    <s v="2014"/>
    <m/>
    <m/>
    <m/>
    <m/>
    <m/>
    <x v="0"/>
    <x v="0"/>
    <x v="0"/>
    <x v="0"/>
    <x v="3"/>
    <x v="102"/>
    <x v="140"/>
    <x v="132"/>
    <x v="0"/>
    <x v="0"/>
    <x v="37"/>
    <x v="79"/>
    <x v="38"/>
    <x v="0"/>
    <x v="0"/>
    <s v="FP panel"/>
    <x v="1"/>
    <x v="3"/>
    <x v="0"/>
    <x v="0"/>
    <m/>
    <m/>
    <m/>
    <n v="1"/>
    <m/>
    <m/>
    <s v="FP"/>
    <m/>
    <s v="SP"/>
    <s v="MOULD"/>
    <s v="FP SP MOULD "/>
    <x v="3"/>
    <x v="1"/>
    <m/>
    <x v="4"/>
  </r>
  <r>
    <n v="1357"/>
    <x v="190"/>
    <x v="190"/>
    <x v="178"/>
    <x v="0"/>
    <x v="3"/>
    <n v="1326"/>
    <x v="3"/>
    <m/>
    <m/>
    <s v="Supplier"/>
    <m/>
    <x v="726"/>
    <s v="SPR Prodoo (4 Jan 11).ppt"/>
    <s v=".ppt"/>
    <d v="2014-03-31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s v="MOULD"/>
    <s v="FP SP MOULD "/>
    <x v="0"/>
    <x v="1"/>
    <m/>
    <x v="4"/>
  </r>
  <r>
    <n v="963"/>
    <x v="191"/>
    <x v="191"/>
    <x v="179"/>
    <x v="4"/>
    <x v="6"/>
    <n v="941"/>
    <x v="2"/>
    <n v="1"/>
    <m/>
    <s v="Supplier"/>
    <m/>
    <x v="727"/>
    <s v="Prosperous_SIF_2013_20140102.xls"/>
    <s v=".xls"/>
    <d v="2014-03-24T00:00:00"/>
    <s v="as\afok"/>
    <m/>
    <s v="2013"/>
    <m/>
    <m/>
    <m/>
    <m/>
    <m/>
    <x v="0"/>
    <x v="0"/>
    <x v="0"/>
    <x v="0"/>
    <x v="2"/>
    <x v="133"/>
    <x v="174"/>
    <x v="0"/>
    <x v="0"/>
    <x v="0"/>
    <x v="15"/>
    <x v="24"/>
    <x v="0"/>
    <x v="0"/>
    <x v="0"/>
    <m/>
    <x v="0"/>
    <x v="0"/>
    <x v="0"/>
    <x v="0"/>
    <m/>
    <m/>
    <m/>
    <n v="0"/>
    <m/>
    <n v="1"/>
    <m/>
    <m/>
    <m/>
    <s v="MOULD"/>
    <s v="MOULD "/>
    <x v="2"/>
    <x v="1"/>
    <m/>
    <x v="3"/>
  </r>
  <r>
    <n v="732"/>
    <x v="192"/>
    <x v="192"/>
    <x v="180"/>
    <x v="2"/>
    <x v="15"/>
    <n v="715"/>
    <x v="4"/>
    <m/>
    <m/>
    <s v="Supplier"/>
    <m/>
    <x v="728"/>
    <s v="PT Mitra General Contract Appendix 6,7.pdf"/>
    <s v=".pdf"/>
    <d v="2014-03-20T00:00:00"/>
    <s v="as\afok"/>
    <m/>
    <s v="FHA00 016 ind.10"/>
    <s v="37D3 - Within 30 days Due net on Posting date 37D3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n v="1"/>
    <m/>
    <m/>
    <n v="1"/>
    <m/>
    <m/>
    <s v="FP"/>
    <m/>
    <s v="SP"/>
    <s v="MOULD"/>
    <s v="FP SP MOULD "/>
    <x v="0"/>
    <x v="1"/>
    <m/>
    <x v="41"/>
  </r>
  <r>
    <n v="746"/>
    <x v="192"/>
    <x v="192"/>
    <x v="180"/>
    <x v="2"/>
    <x v="15"/>
    <n v="729"/>
    <x v="4"/>
    <m/>
    <m/>
    <s v="Supplier"/>
    <m/>
    <x v="729"/>
    <s v="PT MCM _ Development and Supply Agreement.pdf"/>
    <s v=".pdf"/>
    <d v="2014-03-20T00:00:00"/>
    <s v="as\afok"/>
    <m/>
    <s v="FHA 00 16 ind.09"/>
    <s v="37E3 - 30 days end of month due net on posting date 37E3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n v="1"/>
    <m/>
    <m/>
    <n v="1"/>
    <n v="1"/>
    <m/>
    <s v="FP"/>
    <m/>
    <s v="SP"/>
    <s v="MOULD"/>
    <s v="FP SP MOULD "/>
    <x v="0"/>
    <x v="1"/>
    <m/>
    <x v="41"/>
  </r>
  <r>
    <n v="741"/>
    <x v="192"/>
    <x v="192"/>
    <x v="180"/>
    <x v="2"/>
    <x v="15"/>
    <n v="724"/>
    <x v="4"/>
    <m/>
    <m/>
    <s v="Supplier"/>
    <m/>
    <x v="728"/>
    <s v="PT Mitra_General Contract Except Appendices 3, 6, 7 - 5Dec2012.pdf"/>
    <s v=".pdf"/>
    <d v="2014-03-20T00:00:00"/>
    <s v="as\afok"/>
    <m/>
    <s v="FHA 00 016 ind.10"/>
    <s v="37D3 - Within 30 days Due net on Posting date 37D3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n v="1"/>
    <m/>
    <m/>
    <n v="1"/>
    <m/>
    <m/>
    <s v="FP"/>
    <m/>
    <s v="SP"/>
    <s v="MOULD"/>
    <s v="FP SP MOULD "/>
    <x v="0"/>
    <x v="1"/>
    <m/>
    <x v="41"/>
  </r>
  <r>
    <n v="735"/>
    <x v="192"/>
    <x v="192"/>
    <x v="180"/>
    <x v="2"/>
    <x v="15"/>
    <n v="718"/>
    <x v="5"/>
    <m/>
    <m/>
    <s v="Supplier"/>
    <m/>
    <x v="730"/>
    <s v="PT Mitra General Contract Appendix 6,7.pdf"/>
    <s v=".pdf"/>
    <d v="2014-03-20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n v="1"/>
    <m/>
    <n v="1"/>
    <m/>
    <m/>
    <s v="FP"/>
    <m/>
    <s v="SP"/>
    <s v="MOULD"/>
    <s v="FP SP MOULD "/>
    <x v="0"/>
    <x v="1"/>
    <m/>
    <x v="41"/>
  </r>
  <r>
    <n v="734"/>
    <x v="192"/>
    <x v="192"/>
    <x v="180"/>
    <x v="2"/>
    <x v="15"/>
    <n v="717"/>
    <x v="6"/>
    <m/>
    <m/>
    <s v="Supplier"/>
    <m/>
    <x v="730"/>
    <s v="PT Mitra General Contract Appendix 6,7.pdf"/>
    <s v=".pdf"/>
    <d v="2014-03-20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n v="1"/>
    <n v="1"/>
    <m/>
    <m/>
    <s v="FP"/>
    <m/>
    <s v="SP"/>
    <s v="MOULD"/>
    <s v="FP SP MOULD "/>
    <x v="0"/>
    <x v="1"/>
    <m/>
    <x v="41"/>
  </r>
  <r>
    <n v="742"/>
    <x v="192"/>
    <x v="192"/>
    <x v="180"/>
    <x v="2"/>
    <x v="15"/>
    <n v="725"/>
    <x v="7"/>
    <m/>
    <m/>
    <s v="Supplier"/>
    <m/>
    <x v="728"/>
    <s v="PT Mitra_General Contract Except Appendices 3, 6, 7 - 5Dec2012.pdf"/>
    <s v=".pdf"/>
    <d v="2014-03-20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s v="MOULD"/>
    <s v="FP SP MOULD "/>
    <x v="0"/>
    <x v="1"/>
    <m/>
    <x v="41"/>
  </r>
  <r>
    <n v="733"/>
    <x v="192"/>
    <x v="192"/>
    <x v="180"/>
    <x v="2"/>
    <x v="15"/>
    <n v="716"/>
    <x v="7"/>
    <m/>
    <m/>
    <s v="Supplier"/>
    <m/>
    <x v="728"/>
    <s v="PT Mitra General Contract Appendix 6,7.pdf"/>
    <s v=".pdf"/>
    <d v="2014-03-20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s v="MOULD"/>
    <s v="FP SP MOULD "/>
    <x v="0"/>
    <x v="1"/>
    <m/>
    <x v="41"/>
  </r>
  <r>
    <n v="738"/>
    <x v="192"/>
    <x v="192"/>
    <x v="180"/>
    <x v="2"/>
    <x v="15"/>
    <n v="721"/>
    <x v="7"/>
    <m/>
    <m/>
    <s v="Supplier"/>
    <m/>
    <x v="133"/>
    <s v="PT_Mirta_Env_Declaration_31May2010.xls"/>
    <s v=".xls"/>
    <d v="2014-03-20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s v="MOULD"/>
    <s v="FP SP MOULD "/>
    <x v="0"/>
    <x v="1"/>
    <m/>
    <x v="41"/>
  </r>
  <r>
    <n v="739"/>
    <x v="192"/>
    <x v="192"/>
    <x v="180"/>
    <x v="2"/>
    <x v="15"/>
    <n v="722"/>
    <x v="14"/>
    <m/>
    <m/>
    <s v="Supplier"/>
    <d v="2013-02-07T00:00:00"/>
    <x v="218"/>
    <s v="PT Kencana ISO9001_7Feb2013.pdf"/>
    <s v=".pdf"/>
    <d v="2014-03-2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s v="MOULD"/>
    <s v="FP SP MOULD "/>
    <x v="0"/>
    <x v="1"/>
    <m/>
    <x v="41"/>
  </r>
  <r>
    <n v="744"/>
    <x v="192"/>
    <x v="192"/>
    <x v="180"/>
    <x v="2"/>
    <x v="15"/>
    <n v="727"/>
    <x v="8"/>
    <m/>
    <m/>
    <s v="Supplier"/>
    <m/>
    <x v="8"/>
    <s v="PT Mitra - Responsible Purchasing Charter (ENG).jpg"/>
    <s v=".jpg"/>
    <d v="2014-03-2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s v="MOULD"/>
    <s v="FP SP MOULD "/>
    <x v="0"/>
    <x v="1"/>
    <m/>
    <x v="41"/>
  </r>
  <r>
    <n v="745"/>
    <x v="192"/>
    <x v="192"/>
    <x v="180"/>
    <x v="2"/>
    <x v="15"/>
    <n v="728"/>
    <x v="1"/>
    <m/>
    <m/>
    <s v="Supplier"/>
    <m/>
    <x v="135"/>
    <s v="PT MITRA_ SEF_JUN 2012.xlsx"/>
    <s v=".xlsx"/>
    <d v="2014-03-20T00:00:00"/>
    <s v="as\afok"/>
    <m/>
    <s v="2012"/>
    <m/>
    <m/>
    <m/>
    <m/>
    <m/>
    <x v="0"/>
    <x v="0"/>
    <x v="0"/>
    <x v="2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s v="MOULD"/>
    <s v="FP SP MOULD "/>
    <x v="0"/>
    <x v="1"/>
    <m/>
    <x v="41"/>
  </r>
  <r>
    <n v="736"/>
    <x v="192"/>
    <x v="192"/>
    <x v="180"/>
    <x v="2"/>
    <x v="15"/>
    <n v="719"/>
    <x v="1"/>
    <m/>
    <m/>
    <s v="Supplier"/>
    <m/>
    <x v="620"/>
    <s v="SEF-PT Mitra 2013 Jun.xlsx"/>
    <s v=".xlsx"/>
    <d v="2014-03-20T00:00:00"/>
    <s v="as\afok"/>
    <m/>
    <s v="2013"/>
    <m/>
    <m/>
    <m/>
    <m/>
    <m/>
    <x v="0"/>
    <x v="0"/>
    <x v="0"/>
    <x v="15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s v="MOULD"/>
    <s v="FP SP MOULD "/>
    <x v="0"/>
    <x v="1"/>
    <m/>
    <x v="41"/>
  </r>
  <r>
    <n v="737"/>
    <x v="192"/>
    <x v="192"/>
    <x v="180"/>
    <x v="2"/>
    <x v="15"/>
    <n v="720"/>
    <x v="2"/>
    <m/>
    <m/>
    <s v="Supplier"/>
    <m/>
    <x v="666"/>
    <s v="PT Mitra - FHA6E502_EN - SIF 2013.xlsx"/>
    <s v=".xlsx"/>
    <d v="2014-03-20T00:00:00"/>
    <s v="as\afok"/>
    <m/>
    <s v="2013"/>
    <m/>
    <m/>
    <m/>
    <m/>
    <m/>
    <x v="0"/>
    <x v="0"/>
    <x v="0"/>
    <x v="0"/>
    <x v="2"/>
    <x v="0"/>
    <x v="175"/>
    <x v="161"/>
    <x v="143"/>
    <x v="135"/>
    <x v="0"/>
    <x v="0"/>
    <x v="0"/>
    <x v="0"/>
    <x v="0"/>
    <s v="FP panel"/>
    <x v="1"/>
    <x v="3"/>
    <x v="0"/>
    <x v="0"/>
    <m/>
    <m/>
    <m/>
    <n v="1"/>
    <m/>
    <m/>
    <s v="FP"/>
    <m/>
    <s v="SP"/>
    <s v="MOULD"/>
    <s v="FP SP MOULD "/>
    <x v="3"/>
    <x v="1"/>
    <m/>
    <x v="41"/>
  </r>
  <r>
    <n v="743"/>
    <x v="192"/>
    <x v="192"/>
    <x v="180"/>
    <x v="2"/>
    <x v="15"/>
    <n v="726"/>
    <x v="2"/>
    <n v="1"/>
    <m/>
    <s v="Supplier"/>
    <m/>
    <x v="731"/>
    <s v="PT MITRA_SIF 2012_29Feb12.xls"/>
    <s v=".xls"/>
    <d v="2014-03-20T00:00:00"/>
    <s v="as\afok"/>
    <m/>
    <s v="2012"/>
    <m/>
    <m/>
    <m/>
    <m/>
    <m/>
    <x v="0"/>
    <x v="0"/>
    <x v="0"/>
    <x v="0"/>
    <x v="1"/>
    <x v="0"/>
    <x v="0"/>
    <x v="162"/>
    <x v="144"/>
    <x v="136"/>
    <x v="0"/>
    <x v="0"/>
    <x v="87"/>
    <x v="75"/>
    <x v="71"/>
    <s v="FP panel"/>
    <x v="1"/>
    <x v="3"/>
    <x v="0"/>
    <x v="0"/>
    <m/>
    <m/>
    <m/>
    <n v="1"/>
    <m/>
    <m/>
    <s v="FP"/>
    <m/>
    <s v="SP"/>
    <s v="MOULD"/>
    <s v="FP SP MOULD "/>
    <x v="3"/>
    <x v="1"/>
    <m/>
    <x v="41"/>
  </r>
  <r>
    <n v="740"/>
    <x v="192"/>
    <x v="192"/>
    <x v="180"/>
    <x v="2"/>
    <x v="15"/>
    <n v="723"/>
    <x v="3"/>
    <m/>
    <m/>
    <s v="Supplier"/>
    <m/>
    <x v="728"/>
    <s v="PT_Mitra SPR 2012 - Dec 5 2012 - v1 after meeting.pptx"/>
    <s v=".pptx"/>
    <d v="2014-03-20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s v="MOULD"/>
    <s v="FP SP MOULD "/>
    <x v="0"/>
    <x v="1"/>
    <m/>
    <x v="41"/>
  </r>
  <r>
    <n v="2095"/>
    <x v="193"/>
    <x v="193"/>
    <x v="181"/>
    <x v="4"/>
    <x v="14"/>
    <n v="2038"/>
    <x v="2"/>
    <n v="1"/>
    <m/>
    <s v="Supplier"/>
    <m/>
    <x v="411"/>
    <s v="QIANCAI_SIF2013.xls"/>
    <s v=".xls"/>
    <d v="2014-04-11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s v="CP"/>
    <m/>
    <m/>
    <s v="CP "/>
    <x v="2"/>
    <x v="1"/>
    <m/>
    <x v="41"/>
  </r>
  <r>
    <n v="753"/>
    <x v="194"/>
    <x v="194"/>
    <x v="182"/>
    <x v="2"/>
    <x v="15"/>
    <n v="736"/>
    <x v="4"/>
    <m/>
    <m/>
    <s v="Supplier"/>
    <m/>
    <x v="732"/>
    <s v="Qibao_General Agreement_20120109.pdf"/>
    <s v=".pdf"/>
    <d v="2014-03-20T00:00:00"/>
    <s v="as\afok"/>
    <m/>
    <s v="FHA 00 016 ind.10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1"/>
    <n v="1"/>
    <m/>
    <m/>
    <n v="1"/>
    <m/>
    <m/>
    <s v="FP"/>
    <s v="CP"/>
    <m/>
    <m/>
    <s v="FP CP Both"/>
    <x v="0"/>
    <x v="1"/>
    <m/>
    <x v="31"/>
  </r>
  <r>
    <n v="760"/>
    <x v="194"/>
    <x v="194"/>
    <x v="182"/>
    <x v="2"/>
    <x v="15"/>
    <n v="743"/>
    <x v="4"/>
    <m/>
    <m/>
    <s v="Supplier"/>
    <m/>
    <x v="733"/>
    <s v="Qibao_Purchase_Agreement_2009.pdf"/>
    <s v=".pdf"/>
    <d v="2014-03-20T00:00:00"/>
    <s v="as\afok"/>
    <m/>
    <m/>
    <s v="37D4 - Within 45 days due net on posting date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1"/>
    <n v="1"/>
    <m/>
    <m/>
    <n v="1"/>
    <m/>
    <m/>
    <s v="FP"/>
    <s v="CP"/>
    <m/>
    <m/>
    <s v="FP CP Both"/>
    <x v="0"/>
    <x v="1"/>
    <m/>
    <x v="31"/>
  </r>
  <r>
    <n v="756"/>
    <x v="194"/>
    <x v="194"/>
    <x v="182"/>
    <x v="2"/>
    <x v="15"/>
    <n v="739"/>
    <x v="5"/>
    <m/>
    <m/>
    <s v="Supplier"/>
    <m/>
    <x v="22"/>
    <s v="Qibao_General Agreement_20120109.pdf"/>
    <s v=".pdf"/>
    <d v="2014-03-20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1"/>
    <m/>
    <n v="1"/>
    <m/>
    <n v="1"/>
    <m/>
    <m/>
    <s v="FP"/>
    <s v="CP"/>
    <m/>
    <m/>
    <s v="FP CP Both"/>
    <x v="0"/>
    <x v="1"/>
    <m/>
    <x v="31"/>
  </r>
  <r>
    <n v="761"/>
    <x v="194"/>
    <x v="194"/>
    <x v="182"/>
    <x v="2"/>
    <x v="15"/>
    <n v="744"/>
    <x v="5"/>
    <m/>
    <m/>
    <s v="Supplier"/>
    <m/>
    <x v="734"/>
    <s v="Qibao_Purchase_Agreement_2009.pdf"/>
    <s v=".pdf"/>
    <d v="2014-03-20T00:00:00"/>
    <s v="as\afok"/>
    <m/>
    <m/>
    <m/>
    <m/>
    <m/>
    <n v="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1"/>
    <m/>
    <n v="1"/>
    <m/>
    <n v="1"/>
    <n v="1"/>
    <m/>
    <s v="FP"/>
    <s v="CP"/>
    <m/>
    <m/>
    <s v="FP CP Both"/>
    <x v="0"/>
    <x v="1"/>
    <m/>
    <x v="31"/>
  </r>
  <r>
    <n v="755"/>
    <x v="194"/>
    <x v="194"/>
    <x v="182"/>
    <x v="2"/>
    <x v="15"/>
    <n v="738"/>
    <x v="6"/>
    <m/>
    <m/>
    <s v="Supplier"/>
    <m/>
    <x v="735"/>
    <s v="Qibao_General Agreement_20120109.pdf"/>
    <s v=".pdf"/>
    <d v="2014-03-20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1"/>
    <m/>
    <m/>
    <n v="1"/>
    <n v="1"/>
    <m/>
    <m/>
    <s v="FP"/>
    <s v="CP"/>
    <m/>
    <m/>
    <s v="FP CP Both"/>
    <x v="0"/>
    <x v="1"/>
    <m/>
    <x v="31"/>
  </r>
  <r>
    <n v="757"/>
    <x v="194"/>
    <x v="194"/>
    <x v="182"/>
    <x v="2"/>
    <x v="15"/>
    <n v="740"/>
    <x v="10"/>
    <m/>
    <m/>
    <s v="Supplier"/>
    <m/>
    <x v="22"/>
    <s v="Qibao_General Agreement_20120109.pdf"/>
    <s v=".pdf"/>
    <d v="2014-03-2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1"/>
    <m/>
    <m/>
    <m/>
    <n v="1"/>
    <m/>
    <m/>
    <s v="FP"/>
    <s v="CP"/>
    <m/>
    <m/>
    <s v="FP CP Both"/>
    <x v="0"/>
    <x v="1"/>
    <m/>
    <x v="31"/>
  </r>
  <r>
    <n v="754"/>
    <x v="194"/>
    <x v="194"/>
    <x v="182"/>
    <x v="2"/>
    <x v="15"/>
    <n v="737"/>
    <x v="7"/>
    <m/>
    <m/>
    <s v="Supplier"/>
    <m/>
    <x v="732"/>
    <s v="Qibao_General Agreement_20120109.pdf"/>
    <s v=".pdf"/>
    <d v="2014-03-20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1"/>
    <m/>
    <m/>
    <m/>
    <n v="1"/>
    <m/>
    <m/>
    <s v="FP"/>
    <s v="CP"/>
    <m/>
    <m/>
    <s v="FP CP Both"/>
    <x v="0"/>
    <x v="1"/>
    <m/>
    <x v="31"/>
  </r>
  <r>
    <n v="752"/>
    <x v="194"/>
    <x v="194"/>
    <x v="182"/>
    <x v="2"/>
    <x v="15"/>
    <n v="735"/>
    <x v="7"/>
    <m/>
    <m/>
    <s v="Supplier"/>
    <m/>
    <x v="7"/>
    <s v="Qibao_Env_Declaration_24Mar2010.xls"/>
    <s v=".xls"/>
    <d v="2014-03-20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1"/>
    <m/>
    <m/>
    <m/>
    <n v="1"/>
    <m/>
    <m/>
    <s v="FP"/>
    <s v="CP"/>
    <m/>
    <m/>
    <s v="FP CP Both"/>
    <x v="0"/>
    <x v="1"/>
    <m/>
    <x v="31"/>
  </r>
  <r>
    <n v="758"/>
    <x v="194"/>
    <x v="194"/>
    <x v="182"/>
    <x v="2"/>
    <x v="15"/>
    <n v="741"/>
    <x v="14"/>
    <m/>
    <m/>
    <s v="Supplier"/>
    <d v="2011-11-27T00:00:00"/>
    <x v="736"/>
    <s v="Qibao_ISO9001_28Nov2008.JPG"/>
    <s v=".jpg"/>
    <d v="2014-03-2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1"/>
    <m/>
    <m/>
    <m/>
    <n v="1"/>
    <m/>
    <m/>
    <s v="FP"/>
    <s v="CP"/>
    <m/>
    <m/>
    <s v="FP CP Both"/>
    <x v="0"/>
    <x v="1"/>
    <m/>
    <x v="31"/>
  </r>
  <r>
    <n v="748"/>
    <x v="194"/>
    <x v="194"/>
    <x v="182"/>
    <x v="2"/>
    <x v="15"/>
    <n v="731"/>
    <x v="16"/>
    <m/>
    <m/>
    <s v="Supplier"/>
    <m/>
    <x v="349"/>
    <s v="Heshan Qibao Electric To the development and supply agreement 21JUN13.pdf"/>
    <s v=".pdf"/>
    <d v="2014-03-20T00:00:00"/>
    <s v="as\afok"/>
    <s v="To the developnebt and supply agreement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1"/>
    <m/>
    <m/>
    <m/>
    <n v="1"/>
    <m/>
    <m/>
    <s v="FP"/>
    <s v="CP"/>
    <m/>
    <m/>
    <s v="FP CP Both"/>
    <x v="0"/>
    <x v="1"/>
    <m/>
    <x v="31"/>
  </r>
  <r>
    <n v="750"/>
    <x v="194"/>
    <x v="194"/>
    <x v="182"/>
    <x v="2"/>
    <x v="15"/>
    <n v="733"/>
    <x v="8"/>
    <m/>
    <m/>
    <s v="Supplier"/>
    <m/>
    <x v="254"/>
    <s v="Qibao - Responsible Purchasing Charter.pdf"/>
    <s v=".pdf"/>
    <d v="2014-03-2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1"/>
    <m/>
    <m/>
    <m/>
    <n v="1"/>
    <m/>
    <m/>
    <s v="FP"/>
    <s v="CP"/>
    <m/>
    <m/>
    <s v="FP CP Both"/>
    <x v="0"/>
    <x v="1"/>
    <m/>
    <x v="31"/>
  </r>
  <r>
    <n v="751"/>
    <x v="194"/>
    <x v="194"/>
    <x v="182"/>
    <x v="2"/>
    <x v="15"/>
    <n v="734"/>
    <x v="1"/>
    <m/>
    <m/>
    <s v="Supplier"/>
    <m/>
    <x v="135"/>
    <s v="QIBAO_ SEF_JUN 2012.xlsx"/>
    <s v=".xlsx"/>
    <d v="2014-03-20T00:00:00"/>
    <s v="as\afok"/>
    <m/>
    <s v="2012"/>
    <m/>
    <m/>
    <m/>
    <m/>
    <m/>
    <x v="0"/>
    <x v="0"/>
    <x v="0"/>
    <x v="2"/>
    <x v="0"/>
    <x v="0"/>
    <x v="0"/>
    <x v="0"/>
    <x v="0"/>
    <x v="0"/>
    <x v="0"/>
    <x v="0"/>
    <x v="0"/>
    <x v="0"/>
    <x v="0"/>
    <s v="CP Panel"/>
    <x v="0"/>
    <x v="0"/>
    <x v="1"/>
    <x v="11"/>
    <m/>
    <m/>
    <m/>
    <n v="1"/>
    <m/>
    <m/>
    <s v="FP"/>
    <s v="CP"/>
    <m/>
    <m/>
    <s v="FP CP Both"/>
    <x v="0"/>
    <x v="1"/>
    <m/>
    <x v="31"/>
  </r>
  <r>
    <n v="747"/>
    <x v="194"/>
    <x v="194"/>
    <x v="182"/>
    <x v="2"/>
    <x v="15"/>
    <n v="730"/>
    <x v="1"/>
    <m/>
    <m/>
    <s v="Supplier"/>
    <m/>
    <x v="620"/>
    <s v="SEF-Qibao 2013 Jun.xlsx"/>
    <s v=".xlsx"/>
    <d v="2014-03-20T00:00:00"/>
    <s v="as\afok"/>
    <m/>
    <s v="2013"/>
    <m/>
    <m/>
    <m/>
    <m/>
    <m/>
    <x v="0"/>
    <x v="0"/>
    <x v="0"/>
    <x v="15"/>
    <x v="0"/>
    <x v="0"/>
    <x v="0"/>
    <x v="0"/>
    <x v="0"/>
    <x v="0"/>
    <x v="0"/>
    <x v="0"/>
    <x v="0"/>
    <x v="0"/>
    <x v="0"/>
    <s v="CP Panel"/>
    <x v="0"/>
    <x v="0"/>
    <x v="1"/>
    <x v="11"/>
    <m/>
    <m/>
    <m/>
    <n v="1"/>
    <m/>
    <m/>
    <s v="FP"/>
    <s v="CP"/>
    <m/>
    <m/>
    <s v="FP CP Both"/>
    <x v="0"/>
    <x v="1"/>
    <m/>
    <x v="31"/>
  </r>
  <r>
    <n v="759"/>
    <x v="194"/>
    <x v="194"/>
    <x v="182"/>
    <x v="2"/>
    <x v="15"/>
    <n v="742"/>
    <x v="2"/>
    <m/>
    <m/>
    <s v="Supplier"/>
    <m/>
    <x v="559"/>
    <s v="QIBAO_SIF 2012_2Mar12.xls"/>
    <s v=".xls"/>
    <d v="2014-03-20T00:00:00"/>
    <s v="as\afok"/>
    <m/>
    <s v="2012"/>
    <m/>
    <m/>
    <m/>
    <m/>
    <m/>
    <x v="0"/>
    <x v="0"/>
    <x v="0"/>
    <x v="0"/>
    <x v="1"/>
    <x v="73"/>
    <x v="176"/>
    <x v="84"/>
    <x v="123"/>
    <x v="125"/>
    <x v="24"/>
    <x v="36"/>
    <x v="15"/>
    <x v="67"/>
    <x v="72"/>
    <s v="CP Panel"/>
    <x v="0"/>
    <x v="0"/>
    <x v="1"/>
    <x v="11"/>
    <m/>
    <m/>
    <m/>
    <n v="1"/>
    <m/>
    <m/>
    <s v="FP"/>
    <s v="CP"/>
    <m/>
    <m/>
    <s v="FP CP Both"/>
    <x v="1"/>
    <x v="1"/>
    <m/>
    <x v="31"/>
  </r>
  <r>
    <n v="749"/>
    <x v="194"/>
    <x v="194"/>
    <x v="182"/>
    <x v="2"/>
    <x v="15"/>
    <n v="732"/>
    <x v="2"/>
    <n v="1"/>
    <m/>
    <s v="Supplier"/>
    <m/>
    <x v="211"/>
    <s v="Oudisi - FHA6E502_EN_SIF 2013.xls"/>
    <s v=".xls"/>
    <d v="2014-03-20T00:00:00"/>
    <s v="as\afok"/>
    <m/>
    <s v="2013"/>
    <m/>
    <m/>
    <m/>
    <m/>
    <m/>
    <x v="0"/>
    <x v="0"/>
    <x v="0"/>
    <x v="0"/>
    <x v="2"/>
    <x v="134"/>
    <x v="177"/>
    <x v="84"/>
    <x v="123"/>
    <x v="125"/>
    <x v="20"/>
    <x v="40"/>
    <x v="15"/>
    <x v="67"/>
    <x v="72"/>
    <s v="CP Panel"/>
    <x v="0"/>
    <x v="0"/>
    <x v="1"/>
    <x v="11"/>
    <m/>
    <m/>
    <m/>
    <n v="1"/>
    <m/>
    <m/>
    <s v="FP"/>
    <s v="CP"/>
    <m/>
    <m/>
    <s v="FP CP Both"/>
    <x v="1"/>
    <x v="1"/>
    <m/>
    <x v="31"/>
  </r>
  <r>
    <n v="2280"/>
    <x v="195"/>
    <x v="195"/>
    <x v="183"/>
    <x v="1"/>
    <x v="11"/>
    <n v="2221"/>
    <x v="4"/>
    <m/>
    <m/>
    <s v="Supplier"/>
    <m/>
    <x v="549"/>
    <s v="Rifda_General Agreement_V8_22MAR2013.pdf"/>
    <s v=".pdf"/>
    <d v="2014-04-16T00:00:00"/>
    <s v="as\afok"/>
    <m/>
    <s v="V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m/>
    <m/>
    <m/>
    <s v="CP"/>
    <m/>
    <m/>
    <s v="CP "/>
    <x v="0"/>
    <x v="1"/>
    <m/>
    <x v="8"/>
  </r>
  <r>
    <n v="2282"/>
    <x v="195"/>
    <x v="195"/>
    <x v="183"/>
    <x v="1"/>
    <x v="11"/>
    <n v="2223"/>
    <x v="5"/>
    <m/>
    <m/>
    <s v="Supplier"/>
    <m/>
    <x v="674"/>
    <s v="Rifda_General Agreement_V8_22MAR2013.pdf"/>
    <s v=".pdf"/>
    <d v="2014-04-16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n v="1"/>
    <m/>
    <n v="1"/>
    <m/>
    <m/>
    <m/>
    <s v="CP"/>
    <m/>
    <m/>
    <s v="CP "/>
    <x v="0"/>
    <x v="1"/>
    <m/>
    <x v="8"/>
  </r>
  <r>
    <n v="2283"/>
    <x v="195"/>
    <x v="195"/>
    <x v="183"/>
    <x v="1"/>
    <x v="11"/>
    <n v="2224"/>
    <x v="6"/>
    <m/>
    <m/>
    <s v="Supplier"/>
    <m/>
    <x v="383"/>
    <s v="Rifda_General Agreement_V8_22MAR2013.pdf"/>
    <s v=".pdf"/>
    <d v="2014-04-16T00:00:00"/>
    <s v="as\afok"/>
    <m/>
    <m/>
    <m/>
    <n v="0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n v="1"/>
    <n v="1"/>
    <m/>
    <m/>
    <m/>
    <s v="CP"/>
    <m/>
    <m/>
    <s v="CP "/>
    <x v="0"/>
    <x v="1"/>
    <m/>
    <x v="8"/>
  </r>
  <r>
    <n v="2873"/>
    <x v="195"/>
    <x v="195"/>
    <x v="183"/>
    <x v="1"/>
    <x v="11"/>
    <n v="2612"/>
    <x v="6"/>
    <m/>
    <m/>
    <s v="Supplier"/>
    <m/>
    <x v="737"/>
    <s v="Rifda_SupplyChainAppendix_V10_15Apr2014.Pdf"/>
    <s v=".pdf"/>
    <d v="2014-04-25T00:00:00"/>
    <s v="as\afok"/>
    <m/>
    <s v="V10"/>
    <m/>
    <n v="40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n v="1"/>
    <n v="1"/>
    <n v="1"/>
    <m/>
    <m/>
    <s v="CP"/>
    <m/>
    <m/>
    <s v="CP "/>
    <x v="0"/>
    <x v="1"/>
    <m/>
    <x v="8"/>
  </r>
  <r>
    <n v="2284"/>
    <x v="195"/>
    <x v="195"/>
    <x v="183"/>
    <x v="1"/>
    <x v="11"/>
    <n v="2225"/>
    <x v="10"/>
    <m/>
    <m/>
    <s v="Supplier"/>
    <m/>
    <x v="738"/>
    <s v="Rifda_General Agreement_V8_22MAR2013.pdf"/>
    <s v=".pdf"/>
    <d v="2014-04-1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8"/>
  </r>
  <r>
    <n v="2281"/>
    <x v="195"/>
    <x v="195"/>
    <x v="183"/>
    <x v="1"/>
    <x v="11"/>
    <n v="2222"/>
    <x v="7"/>
    <m/>
    <m/>
    <s v="Supplier"/>
    <m/>
    <x v="549"/>
    <s v="Rifda_General Agreement_V8_22MAR2013.pdf"/>
    <s v=".pdf"/>
    <d v="2014-04-16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8"/>
  </r>
  <r>
    <n v="2286"/>
    <x v="195"/>
    <x v="195"/>
    <x v="183"/>
    <x v="1"/>
    <x v="11"/>
    <n v="2227"/>
    <x v="8"/>
    <m/>
    <m/>
    <s v="Supplier"/>
    <m/>
    <x v="8"/>
    <s v="Rifda_Responsible_Purchasing_Charter_08Aug12.pdf"/>
    <s v=".pdf"/>
    <d v="2014-04-1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8"/>
  </r>
  <r>
    <n v="2287"/>
    <x v="195"/>
    <x v="195"/>
    <x v="183"/>
    <x v="1"/>
    <x v="11"/>
    <n v="2228"/>
    <x v="1"/>
    <m/>
    <m/>
    <s v="Supplier"/>
    <m/>
    <x v="112"/>
    <s v="RIFDA_SEF_2012-2.xlsx"/>
    <s v=".xlsx"/>
    <d v="2014-04-16T00:00:00"/>
    <s v="as\afok"/>
    <m/>
    <s v="2012"/>
    <m/>
    <m/>
    <m/>
    <m/>
    <m/>
    <x v="0"/>
    <x v="0"/>
    <x v="0"/>
    <x v="19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8"/>
  </r>
  <r>
    <n v="2285"/>
    <x v="195"/>
    <x v="195"/>
    <x v="183"/>
    <x v="1"/>
    <x v="11"/>
    <n v="2226"/>
    <x v="2"/>
    <n v="1"/>
    <m/>
    <s v="Supplier"/>
    <m/>
    <x v="411"/>
    <s v="Rifda_SIF 2013.xls"/>
    <s v=".xls"/>
    <d v="2014-04-16T00:00:00"/>
    <s v="as\afok"/>
    <m/>
    <s v="2013"/>
    <m/>
    <m/>
    <m/>
    <m/>
    <m/>
    <x v="0"/>
    <x v="0"/>
    <x v="0"/>
    <x v="0"/>
    <x v="2"/>
    <x v="135"/>
    <x v="101"/>
    <x v="163"/>
    <x v="32"/>
    <x v="137"/>
    <x v="0"/>
    <x v="95"/>
    <x v="0"/>
    <x v="0"/>
    <x v="0"/>
    <s v="CP Panel"/>
    <x v="0"/>
    <x v="0"/>
    <x v="1"/>
    <x v="3"/>
    <m/>
    <m/>
    <m/>
    <n v="1"/>
    <m/>
    <m/>
    <m/>
    <s v="CP"/>
    <m/>
    <m/>
    <s v="CP "/>
    <x v="2"/>
    <x v="1"/>
    <m/>
    <x v="8"/>
  </r>
  <r>
    <n v="2288"/>
    <x v="195"/>
    <x v="195"/>
    <x v="183"/>
    <x v="1"/>
    <x v="11"/>
    <n v="2229"/>
    <x v="3"/>
    <m/>
    <m/>
    <s v="Supplier"/>
    <m/>
    <x v="222"/>
    <s v="SPR_RIFDA_DEC 2012.pptx"/>
    <s v=".pptx"/>
    <d v="2014-04-16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8"/>
  </r>
  <r>
    <n v="2279"/>
    <x v="195"/>
    <x v="195"/>
    <x v="183"/>
    <x v="1"/>
    <x v="11"/>
    <n v="2220"/>
    <x v="3"/>
    <m/>
    <m/>
    <s v="Supplier"/>
    <m/>
    <x v="739"/>
    <s v="SPR_RIFDA_SEP 2013.pptx"/>
    <s v=".pptx"/>
    <d v="2014-04-16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8"/>
  </r>
  <r>
    <n v="1067"/>
    <x v="196"/>
    <x v="196"/>
    <x v="184"/>
    <x v="1"/>
    <x v="11"/>
    <n v="1043"/>
    <x v="8"/>
    <m/>
    <m/>
    <s v="Supplier"/>
    <m/>
    <x v="703"/>
    <s v="Rifeng_PurchasingCharter_22-Oct-2013.pdf"/>
    <s v=".pdf"/>
    <d v="2014-03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11"/>
  </r>
  <r>
    <n v="1068"/>
    <x v="196"/>
    <x v="196"/>
    <x v="184"/>
    <x v="1"/>
    <x v="11"/>
    <n v="1044"/>
    <x v="1"/>
    <m/>
    <m/>
    <s v="Supplier"/>
    <m/>
    <x v="740"/>
    <s v="SEF_RIFENG_20131021_81.xlsx"/>
    <s v=".xlsx"/>
    <d v="2014-03-25T00:00:00"/>
    <s v="as\afok"/>
    <m/>
    <s v="2013"/>
    <m/>
    <m/>
    <m/>
    <m/>
    <m/>
    <x v="0"/>
    <x v="0"/>
    <x v="0"/>
    <x v="15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s v="CP"/>
    <m/>
    <m/>
    <s v="CP "/>
    <x v="0"/>
    <x v="1"/>
    <m/>
    <x v="11"/>
  </r>
  <r>
    <n v="2104"/>
    <x v="197"/>
    <x v="197"/>
    <x v="185"/>
    <x v="4"/>
    <x v="14"/>
    <n v="2047"/>
    <x v="4"/>
    <m/>
    <m/>
    <s v="Supplier"/>
    <m/>
    <x v="38"/>
    <s v="Agreement_Risheng_MAR12.pdf"/>
    <s v=".pdf"/>
    <d v="2014-04-11T00:00:00"/>
    <s v="as\afok"/>
    <m/>
    <s v="V7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n v="1"/>
    <m/>
    <m/>
    <n v="1"/>
    <m/>
    <m/>
    <s v="FP"/>
    <s v="CP"/>
    <m/>
    <m/>
    <s v="FP CP Both"/>
    <x v="0"/>
    <x v="1"/>
    <m/>
    <x v="0"/>
  </r>
  <r>
    <n v="2112"/>
    <x v="197"/>
    <x v="197"/>
    <x v="185"/>
    <x v="4"/>
    <x v="14"/>
    <n v="2055"/>
    <x v="4"/>
    <m/>
    <m/>
    <s v="Supplier"/>
    <m/>
    <x v="741"/>
    <s v="Risheng_Purchase_Agreement_2008.pdf"/>
    <s v=".pdf"/>
    <d v="2014-04-11T00:00:00"/>
    <s v="as\afok"/>
    <m/>
    <s v="V5"/>
    <s v="37E3 - 30 days end of month due net on posting date 37E3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n v="1"/>
    <m/>
    <m/>
    <n v="1"/>
    <m/>
    <m/>
    <s v="FP"/>
    <s v="CP"/>
    <m/>
    <m/>
    <s v="FP CP Both"/>
    <x v="0"/>
    <x v="1"/>
    <m/>
    <x v="0"/>
  </r>
  <r>
    <n v="2106"/>
    <x v="197"/>
    <x v="197"/>
    <x v="185"/>
    <x v="4"/>
    <x v="14"/>
    <n v="2049"/>
    <x v="5"/>
    <m/>
    <m/>
    <s v="Supplier"/>
    <m/>
    <x v="352"/>
    <s v="Agreement_Risheng_MAR12.pdf"/>
    <s v=".pdf"/>
    <d v="2014-04-11T00:00:00"/>
    <s v="as\afok"/>
    <m/>
    <s v="V4"/>
    <m/>
    <m/>
    <m/>
    <n v="10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n v="1"/>
    <m/>
    <n v="1"/>
    <m/>
    <m/>
    <s v="FP"/>
    <s v="CP"/>
    <m/>
    <m/>
    <s v="FP CP Both"/>
    <x v="0"/>
    <x v="1"/>
    <m/>
    <x v="0"/>
  </r>
  <r>
    <n v="2113"/>
    <x v="197"/>
    <x v="197"/>
    <x v="185"/>
    <x v="4"/>
    <x v="14"/>
    <n v="2056"/>
    <x v="5"/>
    <m/>
    <m/>
    <s v="Supplier"/>
    <m/>
    <x v="742"/>
    <s v="Risheng_Purchase_Agreement_2008.pdf"/>
    <s v=".pdf"/>
    <d v="2014-04-11T00:00:00"/>
    <s v="as\afok"/>
    <m/>
    <s v="FHA 00 014 ind.07"/>
    <m/>
    <m/>
    <m/>
    <n v="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n v="1"/>
    <m/>
    <n v="1"/>
    <n v="1"/>
    <m/>
    <s v="FP"/>
    <s v="CP"/>
    <m/>
    <m/>
    <s v="FP CP Both"/>
    <x v="0"/>
    <x v="1"/>
    <m/>
    <x v="0"/>
  </r>
  <r>
    <n v="2107"/>
    <x v="197"/>
    <x v="197"/>
    <x v="185"/>
    <x v="4"/>
    <x v="14"/>
    <n v="2050"/>
    <x v="6"/>
    <m/>
    <m/>
    <s v="Supplier"/>
    <m/>
    <x v="38"/>
    <s v="Agreement_Risheng_MAR12.pdf"/>
    <s v=".pdf"/>
    <d v="2014-04-11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n v="1"/>
    <n v="1"/>
    <m/>
    <m/>
    <s v="FP"/>
    <s v="CP"/>
    <m/>
    <m/>
    <s v="FP CP Both"/>
    <x v="0"/>
    <x v="1"/>
    <m/>
    <x v="0"/>
  </r>
  <r>
    <n v="2108"/>
    <x v="197"/>
    <x v="197"/>
    <x v="185"/>
    <x v="4"/>
    <x v="14"/>
    <n v="2051"/>
    <x v="10"/>
    <m/>
    <m/>
    <s v="Supplier"/>
    <m/>
    <x v="718"/>
    <s v="Agreement_Risheng_MAR12.pdf"/>
    <s v=".pdf"/>
    <d v="2014-04-1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s v="FP"/>
    <s v="CP"/>
    <m/>
    <m/>
    <s v="FP CP Both"/>
    <x v="0"/>
    <x v="1"/>
    <m/>
    <x v="0"/>
  </r>
  <r>
    <n v="2102"/>
    <x v="197"/>
    <x v="197"/>
    <x v="185"/>
    <x v="4"/>
    <x v="14"/>
    <n v="2045"/>
    <x v="7"/>
    <m/>
    <m/>
    <s v="Supplier"/>
    <m/>
    <x v="259"/>
    <s v="Env_Declaration_Risheng_2010.xlsx"/>
    <s v=".xlsx"/>
    <d v="2014-04-11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s v="FP"/>
    <s v="CP"/>
    <m/>
    <m/>
    <s v="FP CP Both"/>
    <x v="0"/>
    <x v="1"/>
    <m/>
    <x v="0"/>
  </r>
  <r>
    <n v="2105"/>
    <x v="197"/>
    <x v="197"/>
    <x v="185"/>
    <x v="4"/>
    <x v="14"/>
    <n v="2048"/>
    <x v="7"/>
    <m/>
    <m/>
    <s v="Supplier"/>
    <m/>
    <x v="38"/>
    <s v="Agreement_Risheng_MAR12.pdf"/>
    <s v=".pdf"/>
    <d v="2014-04-11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s v="FP"/>
    <s v="CP"/>
    <m/>
    <m/>
    <s v="FP CP Both"/>
    <x v="0"/>
    <x v="1"/>
    <m/>
    <x v="0"/>
  </r>
  <r>
    <n v="2103"/>
    <x v="197"/>
    <x v="197"/>
    <x v="185"/>
    <x v="4"/>
    <x v="14"/>
    <n v="2046"/>
    <x v="9"/>
    <m/>
    <m/>
    <s v="Supplier"/>
    <m/>
    <x v="712"/>
    <s v="LOC_Risheng.pdf"/>
    <s v=".pdf"/>
    <d v="2014-04-1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s v="FP"/>
    <s v="CP"/>
    <m/>
    <m/>
    <s v="FP CP Both"/>
    <x v="0"/>
    <x v="1"/>
    <m/>
    <x v="0"/>
  </r>
  <r>
    <n v="2101"/>
    <x v="197"/>
    <x v="197"/>
    <x v="185"/>
    <x v="4"/>
    <x v="14"/>
    <n v="2044"/>
    <x v="8"/>
    <m/>
    <m/>
    <s v="Supplier"/>
    <m/>
    <x v="19"/>
    <s v="Risheng_Responsible_Purchasing_Charter_07Aug12.pdf"/>
    <s v=".pdf"/>
    <d v="2014-04-1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s v="FP"/>
    <s v="CP"/>
    <m/>
    <m/>
    <s v="FP CP Both"/>
    <x v="0"/>
    <x v="1"/>
    <m/>
    <x v="0"/>
  </r>
  <r>
    <n v="2098"/>
    <x v="197"/>
    <x v="197"/>
    <x v="185"/>
    <x v="4"/>
    <x v="14"/>
    <n v="2041"/>
    <x v="1"/>
    <m/>
    <m/>
    <s v="Supplier"/>
    <m/>
    <x v="743"/>
    <s v="SEF-Risheng-20130715-78.xlsx"/>
    <s v=".xlsx"/>
    <d v="2014-04-11T00:00:00"/>
    <s v="as\afok"/>
    <m/>
    <s v="2013"/>
    <m/>
    <m/>
    <m/>
    <m/>
    <m/>
    <x v="0"/>
    <x v="0"/>
    <x v="0"/>
    <x v="9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s v="FP"/>
    <s v="CP"/>
    <m/>
    <m/>
    <s v="FP CP Both"/>
    <x v="0"/>
    <x v="1"/>
    <m/>
    <x v="0"/>
  </r>
  <r>
    <n v="2100"/>
    <x v="197"/>
    <x v="197"/>
    <x v="185"/>
    <x v="4"/>
    <x v="14"/>
    <n v="2043"/>
    <x v="1"/>
    <m/>
    <m/>
    <s v="Supplier"/>
    <m/>
    <x v="478"/>
    <s v="SEF-Risheng-20121119-83.xls"/>
    <s v=".xls"/>
    <d v="2014-04-11T00:00:00"/>
    <s v="as\afok"/>
    <m/>
    <s v="2012"/>
    <m/>
    <m/>
    <m/>
    <m/>
    <m/>
    <x v="0"/>
    <x v="0"/>
    <x v="0"/>
    <x v="6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s v="FP"/>
    <s v="CP"/>
    <m/>
    <m/>
    <s v="FP CP Both"/>
    <x v="0"/>
    <x v="1"/>
    <m/>
    <x v="0"/>
  </r>
  <r>
    <n v="2109"/>
    <x v="197"/>
    <x v="197"/>
    <x v="185"/>
    <x v="4"/>
    <x v="14"/>
    <n v="2052"/>
    <x v="1"/>
    <m/>
    <m/>
    <s v="Supplier"/>
    <m/>
    <x v="478"/>
    <s v="SEF-Risheng-31JUL2012-82.xls"/>
    <s v=".xls"/>
    <d v="2014-04-11T00:00:00"/>
    <s v="as\afok"/>
    <m/>
    <s v="2012"/>
    <m/>
    <m/>
    <m/>
    <m/>
    <m/>
    <x v="0"/>
    <x v="0"/>
    <x v="0"/>
    <x v="17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s v="FP"/>
    <s v="CP"/>
    <m/>
    <m/>
    <s v="FP CP Both"/>
    <x v="0"/>
    <x v="1"/>
    <m/>
    <x v="0"/>
  </r>
  <r>
    <n v="2111"/>
    <x v="197"/>
    <x v="197"/>
    <x v="185"/>
    <x v="4"/>
    <x v="14"/>
    <n v="2054"/>
    <x v="2"/>
    <m/>
    <m/>
    <s v="Supplier"/>
    <m/>
    <x v="627"/>
    <s v="Risheng_SIF2012_12May12.xls"/>
    <s v=".xls"/>
    <d v="2014-04-11T00:00:00"/>
    <s v="as\afok"/>
    <m/>
    <s v="2012"/>
    <m/>
    <m/>
    <m/>
    <m/>
    <m/>
    <x v="0"/>
    <x v="0"/>
    <x v="0"/>
    <x v="0"/>
    <x v="1"/>
    <x v="98"/>
    <x v="3"/>
    <x v="110"/>
    <x v="145"/>
    <x v="138"/>
    <x v="4"/>
    <x v="4"/>
    <x v="10"/>
    <x v="7"/>
    <x v="1"/>
    <s v="CP Panel"/>
    <x v="0"/>
    <x v="0"/>
    <x v="1"/>
    <x v="1"/>
    <m/>
    <m/>
    <m/>
    <n v="1"/>
    <m/>
    <m/>
    <s v="FP"/>
    <s v="CP"/>
    <m/>
    <m/>
    <s v="FP CP Both"/>
    <x v="1"/>
    <x v="1"/>
    <m/>
    <x v="0"/>
  </r>
  <r>
    <n v="2099"/>
    <x v="197"/>
    <x v="197"/>
    <x v="185"/>
    <x v="4"/>
    <x v="14"/>
    <n v="2042"/>
    <x v="2"/>
    <m/>
    <m/>
    <s v="Supplier"/>
    <m/>
    <x v="453"/>
    <s v="Risheng_SIF2013.xlsx"/>
    <s v=".xlsx"/>
    <d v="2014-04-11T00:00:00"/>
    <s v="as\afok"/>
    <m/>
    <s v="2013"/>
    <m/>
    <m/>
    <m/>
    <m/>
    <m/>
    <x v="0"/>
    <x v="0"/>
    <x v="0"/>
    <x v="0"/>
    <x v="2"/>
    <x v="68"/>
    <x v="77"/>
    <x v="73"/>
    <x v="60"/>
    <x v="0"/>
    <x v="0"/>
    <x v="4"/>
    <x v="10"/>
    <x v="7"/>
    <x v="0"/>
    <s v="CP Panel"/>
    <x v="0"/>
    <x v="0"/>
    <x v="1"/>
    <x v="1"/>
    <m/>
    <m/>
    <m/>
    <n v="1"/>
    <m/>
    <m/>
    <s v="FP"/>
    <s v="CP"/>
    <m/>
    <m/>
    <s v="FP CP Both"/>
    <x v="1"/>
    <x v="1"/>
    <m/>
    <x v="0"/>
  </r>
  <r>
    <n v="2097"/>
    <x v="197"/>
    <x v="197"/>
    <x v="185"/>
    <x v="4"/>
    <x v="14"/>
    <n v="2040"/>
    <x v="3"/>
    <m/>
    <m/>
    <s v="Supplier"/>
    <m/>
    <x v="744"/>
    <s v="_SPR-Risheng-2013M07.pptx"/>
    <s v=".pptx"/>
    <d v="2014-04-11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s v="FP"/>
    <s v="CP"/>
    <m/>
    <m/>
    <s v="FP CP Both"/>
    <x v="0"/>
    <x v="1"/>
    <m/>
    <x v="0"/>
  </r>
  <r>
    <n v="2110"/>
    <x v="197"/>
    <x v="197"/>
    <x v="185"/>
    <x v="4"/>
    <x v="14"/>
    <n v="2053"/>
    <x v="3"/>
    <m/>
    <m/>
    <s v="Supplier"/>
    <m/>
    <x v="398"/>
    <s v="SPR-Risheng-08AUG2012.pptx"/>
    <s v=".pptx"/>
    <d v="2014-04-11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s v="FP"/>
    <s v="CP"/>
    <m/>
    <m/>
    <s v="FP CP Both"/>
    <x v="0"/>
    <x v="1"/>
    <m/>
    <x v="0"/>
  </r>
  <r>
    <n v="1512"/>
    <x v="198"/>
    <x v="198"/>
    <x v="186"/>
    <x v="5"/>
    <x v="12"/>
    <n v="1474"/>
    <x v="2"/>
    <n v="1"/>
    <m/>
    <s v="Supplier"/>
    <m/>
    <x v="284"/>
    <s v="RONGKANG_SIF_06Nov2012.xls"/>
    <s v=".xls"/>
    <d v="2014-04-02T00:00:00"/>
    <s v="as\afok"/>
    <m/>
    <s v="2012"/>
    <m/>
    <m/>
    <m/>
    <m/>
    <m/>
    <x v="0"/>
    <x v="0"/>
    <x v="0"/>
    <x v="0"/>
    <x v="1"/>
    <x v="136"/>
    <x v="127"/>
    <x v="164"/>
    <x v="0"/>
    <x v="0"/>
    <x v="0"/>
    <x v="0"/>
    <x v="0"/>
    <x v="0"/>
    <x v="0"/>
    <m/>
    <x v="0"/>
    <x v="0"/>
    <x v="0"/>
    <x v="0"/>
    <m/>
    <m/>
    <m/>
    <n v="0"/>
    <m/>
    <n v="1"/>
    <m/>
    <m/>
    <m/>
    <m/>
    <s v=""/>
    <x v="2"/>
    <x v="1"/>
    <m/>
    <x v="3"/>
  </r>
  <r>
    <n v="1069"/>
    <x v="199"/>
    <x v="199"/>
    <x v="187"/>
    <x v="1"/>
    <x v="11"/>
    <n v="1045"/>
    <x v="5"/>
    <m/>
    <m/>
    <s v="Supplier"/>
    <m/>
    <x v="745"/>
    <s v="Royal_Electronic_Quality_Appendix_29Jan2014.pdf"/>
    <s v=".pdf"/>
    <d v="2014-03-25T00:00:00"/>
    <s v="as\afok"/>
    <m/>
    <s v="V4"/>
    <m/>
    <m/>
    <m/>
    <n v="5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0"/>
    <m/>
    <m/>
    <m/>
    <s v="CP"/>
    <m/>
    <m/>
    <s v="CP "/>
    <x v="0"/>
    <x v="1"/>
    <m/>
    <x v="8"/>
  </r>
  <r>
    <n v="1072"/>
    <x v="199"/>
    <x v="199"/>
    <x v="187"/>
    <x v="1"/>
    <x v="11"/>
    <n v="1048"/>
    <x v="8"/>
    <m/>
    <m/>
    <s v="Supplier"/>
    <m/>
    <x v="19"/>
    <s v="Royal_Electronic_Responsible_Purchasing_Charter_07Aug12.pdf"/>
    <s v=".pdf"/>
    <d v="2014-03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s v="CP"/>
    <m/>
    <m/>
    <s v="CP "/>
    <x v="0"/>
    <x v="1"/>
    <m/>
    <x v="8"/>
  </r>
  <r>
    <n v="1071"/>
    <x v="199"/>
    <x v="199"/>
    <x v="187"/>
    <x v="1"/>
    <x v="11"/>
    <n v="1047"/>
    <x v="1"/>
    <m/>
    <m/>
    <s v="Supplier"/>
    <m/>
    <x v="112"/>
    <s v="Royal Electronic_SEF_2012.xlsx"/>
    <s v=".xlsx"/>
    <d v="2014-03-25T00:00:00"/>
    <s v="as\afok"/>
    <m/>
    <s v="2012"/>
    <m/>
    <m/>
    <m/>
    <m/>
    <m/>
    <x v="0"/>
    <x v="0"/>
    <x v="0"/>
    <x v="11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1070"/>
    <x v="199"/>
    <x v="199"/>
    <x v="187"/>
    <x v="1"/>
    <x v="11"/>
    <n v="1046"/>
    <x v="2"/>
    <n v="1"/>
    <m/>
    <s v="Supplier"/>
    <m/>
    <x v="498"/>
    <s v="Royal_Electric_SIF 2013.xls"/>
    <s v=".xls"/>
    <d v="2014-03-25T00:00:00"/>
    <s v="as\afok"/>
    <m/>
    <s v="2013"/>
    <m/>
    <m/>
    <m/>
    <m/>
    <m/>
    <x v="0"/>
    <x v="0"/>
    <x v="0"/>
    <x v="0"/>
    <x v="2"/>
    <x v="44"/>
    <x v="178"/>
    <x v="165"/>
    <x v="146"/>
    <x v="139"/>
    <x v="0"/>
    <x v="0"/>
    <x v="0"/>
    <x v="0"/>
    <x v="0"/>
    <m/>
    <x v="0"/>
    <x v="0"/>
    <x v="0"/>
    <x v="0"/>
    <m/>
    <m/>
    <m/>
    <n v="0"/>
    <m/>
    <m/>
    <m/>
    <s v="CP"/>
    <m/>
    <m/>
    <s v="CP "/>
    <x v="2"/>
    <x v="1"/>
    <m/>
    <x v="8"/>
  </r>
  <r>
    <n v="2867"/>
    <x v="200"/>
    <x v="200"/>
    <x v="188"/>
    <x v="1"/>
    <x v="5"/>
    <n v="2606"/>
    <x v="9"/>
    <m/>
    <m/>
    <s v="Supplier"/>
    <m/>
    <x v="746"/>
    <s v="Rubtop_LOC_16Sep2013.pdf"/>
    <s v=".pdf"/>
    <d v="2014-04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11"/>
  </r>
  <r>
    <n v="2865"/>
    <x v="200"/>
    <x v="200"/>
    <x v="188"/>
    <x v="1"/>
    <x v="5"/>
    <n v="2604"/>
    <x v="2"/>
    <m/>
    <m/>
    <s v="Supplier"/>
    <m/>
    <x v="747"/>
    <s v="RUBTOP_SIF2012_26JUN12.xls"/>
    <s v=".xls"/>
    <d v="2014-04-25T00:00:00"/>
    <s v="as\afok"/>
    <m/>
    <s v="2012"/>
    <m/>
    <m/>
    <m/>
    <m/>
    <m/>
    <x v="0"/>
    <x v="0"/>
    <x v="0"/>
    <x v="0"/>
    <x v="1"/>
    <x v="48"/>
    <x v="104"/>
    <x v="166"/>
    <x v="24"/>
    <x v="125"/>
    <x v="0"/>
    <x v="0"/>
    <x v="0"/>
    <x v="0"/>
    <x v="0"/>
    <m/>
    <x v="0"/>
    <x v="0"/>
    <x v="0"/>
    <x v="0"/>
    <m/>
    <m/>
    <m/>
    <n v="0"/>
    <m/>
    <m/>
    <m/>
    <s v="CP"/>
    <m/>
    <m/>
    <s v="CP "/>
    <x v="2"/>
    <x v="1"/>
    <m/>
    <x v="11"/>
  </r>
  <r>
    <n v="2866"/>
    <x v="200"/>
    <x v="200"/>
    <x v="188"/>
    <x v="1"/>
    <x v="5"/>
    <n v="2605"/>
    <x v="2"/>
    <m/>
    <m/>
    <s v="Supplier"/>
    <m/>
    <x v="213"/>
    <s v="Rubtop_SIF 2013.xlsx"/>
    <s v=".xlsx"/>
    <d v="2014-04-25T00:00:00"/>
    <s v="as\afok"/>
    <m/>
    <s v="2013"/>
    <m/>
    <m/>
    <m/>
    <m/>
    <m/>
    <x v="0"/>
    <x v="0"/>
    <x v="0"/>
    <x v="0"/>
    <x v="2"/>
    <x v="56"/>
    <x v="30"/>
    <x v="51"/>
    <x v="147"/>
    <x v="3"/>
    <x v="0"/>
    <x v="0"/>
    <x v="0"/>
    <x v="0"/>
    <x v="0"/>
    <m/>
    <x v="0"/>
    <x v="0"/>
    <x v="0"/>
    <x v="0"/>
    <m/>
    <m/>
    <m/>
    <n v="0"/>
    <m/>
    <m/>
    <m/>
    <s v="CP"/>
    <m/>
    <m/>
    <s v="CP "/>
    <x v="2"/>
    <x v="1"/>
    <m/>
    <x v="11"/>
  </r>
  <r>
    <n v="2868"/>
    <x v="200"/>
    <x v="200"/>
    <x v="188"/>
    <x v="1"/>
    <x v="5"/>
    <n v="2607"/>
    <x v="2"/>
    <n v="1"/>
    <m/>
    <s v="Supplier"/>
    <m/>
    <x v="278"/>
    <s v="SIF_Rubtop_24Sep2013.pdf"/>
    <s v=".pdf"/>
    <d v="2014-04-25T00:00:00"/>
    <s v="as\afok"/>
    <m/>
    <s v="2013"/>
    <m/>
    <m/>
    <m/>
    <m/>
    <m/>
    <x v="0"/>
    <x v="0"/>
    <x v="0"/>
    <x v="0"/>
    <x v="2"/>
    <x v="56"/>
    <x v="30"/>
    <x v="51"/>
    <x v="147"/>
    <x v="9"/>
    <x v="0"/>
    <x v="0"/>
    <x v="0"/>
    <x v="0"/>
    <x v="0"/>
    <m/>
    <x v="0"/>
    <x v="0"/>
    <x v="0"/>
    <x v="0"/>
    <m/>
    <m/>
    <m/>
    <n v="0"/>
    <m/>
    <n v="1"/>
    <m/>
    <s v="CP"/>
    <m/>
    <m/>
    <s v="CP "/>
    <x v="2"/>
    <x v="1"/>
    <m/>
    <x v="11"/>
  </r>
  <r>
    <n v="1885"/>
    <x v="201"/>
    <x v="201"/>
    <x v="189"/>
    <x v="4"/>
    <x v="17"/>
    <n v="1841"/>
    <x v="9"/>
    <m/>
    <m/>
    <s v="Supplier"/>
    <m/>
    <x v="748"/>
    <s v="LOC_Saida_glass.jpg"/>
    <s v=".jpg"/>
    <d v="2014-04-0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51"/>
  </r>
  <r>
    <n v="1882"/>
    <x v="201"/>
    <x v="201"/>
    <x v="189"/>
    <x v="4"/>
    <x v="17"/>
    <n v="1838"/>
    <x v="8"/>
    <m/>
    <m/>
    <s v="Supplier"/>
    <m/>
    <x v="606"/>
    <s v="Saida_Responsible Purchasing Charter_05Mar13.pdf"/>
    <s v=".pdf"/>
    <d v="2014-04-0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51"/>
  </r>
  <r>
    <n v="1883"/>
    <x v="201"/>
    <x v="201"/>
    <x v="189"/>
    <x v="4"/>
    <x v="17"/>
    <n v="1839"/>
    <x v="1"/>
    <m/>
    <m/>
    <s v="Supplier"/>
    <m/>
    <x v="749"/>
    <s v="SEF-Saida-Jun 2012.xlsx"/>
    <s v=".xlsx"/>
    <d v="2014-04-09T00:00:00"/>
    <s v="as\afok"/>
    <m/>
    <s v="2012"/>
    <m/>
    <m/>
    <m/>
    <m/>
    <m/>
    <x v="0"/>
    <x v="0"/>
    <x v="0"/>
    <x v="27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51"/>
  </r>
  <r>
    <n v="1884"/>
    <x v="201"/>
    <x v="201"/>
    <x v="189"/>
    <x v="4"/>
    <x v="17"/>
    <n v="1840"/>
    <x v="2"/>
    <m/>
    <m/>
    <s v="Supplier"/>
    <m/>
    <x v="21"/>
    <s v="Saida_SIF2013.xlsx"/>
    <s v=".xlsx"/>
    <d v="2014-04-09T00:00:00"/>
    <s v="as\afok"/>
    <m/>
    <s v="2013"/>
    <m/>
    <m/>
    <m/>
    <m/>
    <m/>
    <x v="0"/>
    <x v="0"/>
    <x v="0"/>
    <x v="0"/>
    <x v="2"/>
    <x v="136"/>
    <x v="179"/>
    <x v="167"/>
    <x v="148"/>
    <x v="140"/>
    <x v="8"/>
    <x v="94"/>
    <x v="22"/>
    <x v="6"/>
    <x v="9"/>
    <m/>
    <x v="0"/>
    <x v="0"/>
    <x v="0"/>
    <x v="0"/>
    <m/>
    <m/>
    <m/>
    <n v="0"/>
    <m/>
    <m/>
    <m/>
    <s v="CP"/>
    <m/>
    <m/>
    <s v="CP "/>
    <x v="2"/>
    <x v="1"/>
    <m/>
    <x v="51"/>
  </r>
  <r>
    <n v="1886"/>
    <x v="201"/>
    <x v="201"/>
    <x v="189"/>
    <x v="4"/>
    <x v="17"/>
    <n v="1842"/>
    <x v="2"/>
    <m/>
    <m/>
    <s v="Supplier"/>
    <m/>
    <x v="750"/>
    <s v="Saida_glass_SIF2012_6Nov12.XLSX"/>
    <s v=".xlsx"/>
    <d v="2014-04-09T00:00:00"/>
    <s v="as\afok"/>
    <m/>
    <s v="2012"/>
    <m/>
    <m/>
    <m/>
    <m/>
    <m/>
    <x v="0"/>
    <x v="0"/>
    <x v="0"/>
    <x v="0"/>
    <x v="1"/>
    <x v="137"/>
    <x v="180"/>
    <x v="168"/>
    <x v="149"/>
    <x v="141"/>
    <x v="30"/>
    <x v="24"/>
    <x v="22"/>
    <x v="6"/>
    <x v="9"/>
    <m/>
    <x v="0"/>
    <x v="0"/>
    <x v="0"/>
    <x v="0"/>
    <m/>
    <m/>
    <m/>
    <n v="0"/>
    <m/>
    <n v="1"/>
    <m/>
    <s v="CP"/>
    <m/>
    <m/>
    <s v="CP "/>
    <x v="2"/>
    <x v="1"/>
    <m/>
    <x v="51"/>
  </r>
  <r>
    <n v="2527"/>
    <x v="202"/>
    <x v="202"/>
    <x v="190"/>
    <x v="5"/>
    <x v="16"/>
    <n v="2408"/>
    <x v="4"/>
    <m/>
    <m/>
    <s v="Supplier"/>
    <m/>
    <x v="751"/>
    <s v="SANBO FHA00016_EN 27Jul10.pdf"/>
    <s v=".pdf"/>
    <d v="2014-04-23T00:00:00"/>
    <s v="as\afok"/>
    <m/>
    <s v="FHA 00 016 ind.0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0"/>
    <m/>
    <m/>
    <s v="FP"/>
    <s v="CP"/>
    <m/>
    <s v="MOULD"/>
    <s v="FP CP MOULD Both"/>
    <x v="0"/>
    <x v="1"/>
    <m/>
    <x v="0"/>
  </r>
  <r>
    <n v="2528"/>
    <x v="202"/>
    <x v="202"/>
    <x v="190"/>
    <x v="5"/>
    <x v="16"/>
    <n v="2409"/>
    <x v="4"/>
    <m/>
    <m/>
    <s v="Supplier"/>
    <m/>
    <x v="751"/>
    <s v="SANBO FHA00016_EN 30Aug10.pdf"/>
    <s v=".pdf"/>
    <d v="2014-04-23T00:00:00"/>
    <s v="as\afok"/>
    <m/>
    <s v="FHA 00 016 ind.07"/>
    <s v="37E3 - 30 days end of month due net on posting date 37E3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0"/>
    <m/>
    <n v="1"/>
    <s v="FP"/>
    <s v="CP"/>
    <m/>
    <s v="MOULD"/>
    <s v="FP CP MOULD Both"/>
    <x v="0"/>
    <x v="1"/>
    <m/>
    <x v="0"/>
  </r>
  <r>
    <n v="2526"/>
    <x v="202"/>
    <x v="202"/>
    <x v="190"/>
    <x v="5"/>
    <x v="16"/>
    <n v="2407"/>
    <x v="7"/>
    <m/>
    <m/>
    <s v="Supplier"/>
    <m/>
    <x v="208"/>
    <s v="Sanbo_Env_Declaration_07Jun2010.pdf"/>
    <s v=".pdf"/>
    <d v="2014-04-23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s v="CP"/>
    <m/>
    <s v="MOULD"/>
    <s v="FP CP MOULD Both"/>
    <x v="0"/>
    <x v="1"/>
    <m/>
    <x v="0"/>
  </r>
  <r>
    <n v="2523"/>
    <x v="202"/>
    <x v="202"/>
    <x v="190"/>
    <x v="5"/>
    <x v="16"/>
    <n v="2404"/>
    <x v="0"/>
    <m/>
    <m/>
    <s v="Supplier"/>
    <m/>
    <x v="752"/>
    <s v="Sanbo FRD00069 ind.04 200907.pdf"/>
    <s v=".pdf"/>
    <d v="2014-04-23T00:00:00"/>
    <s v="as\afok"/>
    <m/>
    <s v="FRD 00 069 ind.04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s v="CP"/>
    <m/>
    <s v="MOULD"/>
    <s v="FP CP MOULD Both"/>
    <x v="0"/>
    <x v="1"/>
    <m/>
    <x v="0"/>
  </r>
  <r>
    <n v="2521"/>
    <x v="202"/>
    <x v="202"/>
    <x v="190"/>
    <x v="5"/>
    <x v="16"/>
    <n v="2402"/>
    <x v="16"/>
    <m/>
    <m/>
    <s v="Supplier"/>
    <m/>
    <x v="10"/>
    <s v="KINGWANG_Equipment Loan Agreement_25Apr12.pdf"/>
    <s v=".pdf"/>
    <d v="2014-04-23T00:00:00"/>
    <s v="as\afok"/>
    <s v="Equipment Loan Agreement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s v="CP"/>
    <m/>
    <s v="MOULD"/>
    <s v="FP CP MOULD Both"/>
    <x v="0"/>
    <x v="1"/>
    <m/>
    <x v="0"/>
  </r>
  <r>
    <n v="2522"/>
    <x v="202"/>
    <x v="202"/>
    <x v="190"/>
    <x v="5"/>
    <x v="16"/>
    <n v="2403"/>
    <x v="8"/>
    <m/>
    <m/>
    <s v="Supplier"/>
    <m/>
    <x v="93"/>
    <s v="Kingwang_Responsible Purchaser Charter_9Aug2012.pdf"/>
    <s v=".pdf"/>
    <d v="2014-04-2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s v="CP"/>
    <m/>
    <s v="MOULD"/>
    <s v="FP CP MOULD Both"/>
    <x v="0"/>
    <x v="1"/>
    <m/>
    <x v="0"/>
  </r>
  <r>
    <n v="2524"/>
    <x v="202"/>
    <x v="202"/>
    <x v="190"/>
    <x v="5"/>
    <x v="16"/>
    <n v="2405"/>
    <x v="1"/>
    <m/>
    <m/>
    <s v="Supplier"/>
    <m/>
    <x v="615"/>
    <s v="SEF_SANBO_2011Nov.xlsx"/>
    <s v=".xlsx"/>
    <d v="2014-04-23T00:00:00"/>
    <s v="as\afok"/>
    <m/>
    <s v="2011"/>
    <m/>
    <m/>
    <m/>
    <m/>
    <m/>
    <x v="0"/>
    <x v="0"/>
    <x v="0"/>
    <x v="46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s v="CP"/>
    <m/>
    <s v="MOULD"/>
    <s v="FP CP MOULD Both"/>
    <x v="0"/>
    <x v="1"/>
    <m/>
    <x v="0"/>
  </r>
  <r>
    <n v="2525"/>
    <x v="202"/>
    <x v="202"/>
    <x v="190"/>
    <x v="5"/>
    <x v="16"/>
    <n v="2406"/>
    <x v="2"/>
    <n v="1"/>
    <m/>
    <s v="Supplier"/>
    <m/>
    <x v="753"/>
    <s v="SANBO_SIF_25May2010.xls"/>
    <s v=".xls"/>
    <d v="2014-04-23T00:00:00"/>
    <s v="as\afok"/>
    <m/>
    <s v="2010"/>
    <m/>
    <m/>
    <m/>
    <m/>
    <m/>
    <x v="0"/>
    <x v="0"/>
    <x v="0"/>
    <x v="0"/>
    <x v="4"/>
    <x v="68"/>
    <x v="107"/>
    <x v="98"/>
    <x v="0"/>
    <x v="0"/>
    <x v="0"/>
    <x v="11"/>
    <x v="0"/>
    <x v="0"/>
    <x v="0"/>
    <m/>
    <x v="0"/>
    <x v="0"/>
    <x v="0"/>
    <x v="0"/>
    <m/>
    <m/>
    <m/>
    <n v="0"/>
    <m/>
    <m/>
    <s v="FP"/>
    <s v="CP"/>
    <m/>
    <s v="MOULD"/>
    <s v="FP CP MOULD Both"/>
    <x v="1"/>
    <x v="1"/>
    <m/>
    <x v="0"/>
  </r>
  <r>
    <n v="2520"/>
    <x v="202"/>
    <x v="202"/>
    <x v="190"/>
    <x v="5"/>
    <x v="16"/>
    <n v="2401"/>
    <x v="3"/>
    <m/>
    <m/>
    <s v="Supplier"/>
    <m/>
    <x v="91"/>
    <s v="SPR 2011 SANBO.pptx"/>
    <s v=".pptx"/>
    <d v="2014-04-23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s v="CP"/>
    <m/>
    <s v="MOULD"/>
    <s v="FP CP MOULD Both"/>
    <x v="0"/>
    <x v="1"/>
    <m/>
    <x v="0"/>
  </r>
  <r>
    <n v="1633"/>
    <x v="203"/>
    <x v="203"/>
    <x v="191"/>
    <x v="3"/>
    <x v="4"/>
    <n v="1594"/>
    <x v="4"/>
    <m/>
    <m/>
    <s v="Supplier"/>
    <m/>
    <x v="754"/>
    <s v="SDS agreement.pdf"/>
    <s v=".pdf"/>
    <d v="2014-04-07T00:00:00"/>
    <s v="as\afok"/>
    <m/>
    <s v="V2"/>
    <s v="37F6 - 60 days end of month the 10th due net posting date 37F3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m/>
    <m/>
    <m/>
    <m/>
    <s v=""/>
    <x v="0"/>
    <x v="1"/>
    <m/>
    <x v="3"/>
  </r>
  <r>
    <n v="1634"/>
    <x v="203"/>
    <x v="203"/>
    <x v="191"/>
    <x v="3"/>
    <x v="4"/>
    <n v="1595"/>
    <x v="5"/>
    <m/>
    <m/>
    <s v="Supplier"/>
    <m/>
    <x v="754"/>
    <s v="SDS agreement.pdf"/>
    <s v=".pdf"/>
    <d v="2014-04-07T00:00:00"/>
    <s v="as\afok"/>
    <m/>
    <m/>
    <m/>
    <m/>
    <m/>
    <n v="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m/>
    <m/>
    <m/>
    <m/>
    <s v=""/>
    <x v="0"/>
    <x v="1"/>
    <m/>
    <x v="3"/>
  </r>
  <r>
    <n v="1635"/>
    <x v="203"/>
    <x v="203"/>
    <x v="191"/>
    <x v="3"/>
    <x v="4"/>
    <n v="1596"/>
    <x v="6"/>
    <m/>
    <m/>
    <s v="Supplier"/>
    <m/>
    <x v="459"/>
    <s v="SDS agreement.pdf"/>
    <s v=".pdf"/>
    <d v="2014-04-07T00:00:00"/>
    <s v="as\afok"/>
    <m/>
    <m/>
    <m/>
    <n v="60"/>
    <n v="0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n v="1"/>
    <m/>
    <m/>
    <m/>
    <m/>
    <m/>
    <s v=""/>
    <x v="0"/>
    <x v="1"/>
    <m/>
    <x v="3"/>
  </r>
  <r>
    <n v="1629"/>
    <x v="203"/>
    <x v="203"/>
    <x v="191"/>
    <x v="3"/>
    <x v="4"/>
    <n v="1590"/>
    <x v="7"/>
    <m/>
    <m/>
    <s v="Supplier"/>
    <m/>
    <x v="14"/>
    <s v="SDS SAS.pdf"/>
    <s v=".pdf"/>
    <d v="2014-04-07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m/>
    <m/>
    <m/>
    <s v=""/>
    <x v="0"/>
    <x v="1"/>
    <m/>
    <x v="3"/>
  </r>
  <r>
    <n v="1632"/>
    <x v="203"/>
    <x v="203"/>
    <x v="191"/>
    <x v="3"/>
    <x v="4"/>
    <n v="1593"/>
    <x v="11"/>
    <m/>
    <m/>
    <s v="Supplier"/>
    <m/>
    <x v="459"/>
    <s v="Sprakling drink machine - EA.pdf"/>
    <s v=".pdf"/>
    <d v="2014-04-07T00:00:00"/>
    <s v="as\afok"/>
    <m/>
    <s v="FRD 6E 030 ind.0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m/>
    <m/>
    <m/>
    <s v=""/>
    <x v="0"/>
    <x v="1"/>
    <m/>
    <x v="3"/>
  </r>
  <r>
    <n v="1631"/>
    <x v="203"/>
    <x v="203"/>
    <x v="191"/>
    <x v="3"/>
    <x v="4"/>
    <n v="1592"/>
    <x v="12"/>
    <m/>
    <m/>
    <s v="Supplier"/>
    <m/>
    <x v="459"/>
    <s v="Sparkling drink machine - IPA.pdf"/>
    <s v=".pdf"/>
    <d v="2014-04-0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m/>
    <m/>
    <m/>
    <s v=""/>
    <x v="0"/>
    <x v="1"/>
    <m/>
    <x v="3"/>
  </r>
  <r>
    <n v="1630"/>
    <x v="203"/>
    <x v="203"/>
    <x v="191"/>
    <x v="3"/>
    <x v="4"/>
    <n v="1591"/>
    <x v="2"/>
    <m/>
    <m/>
    <s v="Supplier"/>
    <m/>
    <x v="755"/>
    <s v="SDS SIF 2013 .pdf"/>
    <s v=".pdf"/>
    <d v="2014-04-07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m/>
    <m/>
    <m/>
    <s v=""/>
    <x v="2"/>
    <x v="1"/>
    <m/>
    <x v="3"/>
  </r>
  <r>
    <n v="770"/>
    <x v="204"/>
    <x v="204"/>
    <x v="192"/>
    <x v="2"/>
    <x v="15"/>
    <n v="752"/>
    <x v="4"/>
    <m/>
    <m/>
    <s v="Supplier"/>
    <m/>
    <x v="206"/>
    <s v="SEMCO_General Agreement ind.10_2012-05-07.pdf"/>
    <s v=".pdf"/>
    <d v="2014-03-20T00:00:00"/>
    <s v="as\afok"/>
    <m/>
    <s v="FHA00 016 ind.10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m/>
    <m/>
    <s v="FP"/>
    <s v="CP"/>
    <s v="SP"/>
    <s v="MOULD"/>
    <s v="FP CP SP MOULD Both"/>
    <x v="0"/>
    <x v="1"/>
    <m/>
    <x v="6"/>
  </r>
  <r>
    <n v="771"/>
    <x v="205"/>
    <x v="205"/>
    <x v="192"/>
    <x v="2"/>
    <x v="15"/>
    <n v="752"/>
    <x v="4"/>
    <m/>
    <m/>
    <s v="Supplier"/>
    <m/>
    <x v="206"/>
    <s v="SEMCO_General Agreement ind.10_2012-05-07.pdf"/>
    <s v=".pdf"/>
    <d v="2014-03-20T00:00:00"/>
    <s v="as\afok"/>
    <m/>
    <s v="FHA00 016 ind.10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m/>
    <m/>
    <s v="FP"/>
    <s v="CP"/>
    <m/>
    <m/>
    <s v="FP CP Both"/>
    <x v="0"/>
    <x v="1"/>
    <m/>
    <x v="6"/>
  </r>
  <r>
    <n v="783"/>
    <x v="204"/>
    <x v="204"/>
    <x v="192"/>
    <x v="2"/>
    <x v="15"/>
    <n v="762"/>
    <x v="4"/>
    <m/>
    <m/>
    <s v="Supplier"/>
    <m/>
    <x v="756"/>
    <s v="Semco _ Development and Supply Agreement.pdf"/>
    <s v=".pdf"/>
    <d v="2014-03-21T00:00:00"/>
    <s v="as\afok"/>
    <m/>
    <s v="FHA 00 016 ind.07"/>
    <s v="37E4 - 45 days end of month Due net on posting date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m/>
    <m/>
    <s v="FP"/>
    <s v="CP"/>
    <s v="SP"/>
    <s v="MOULD"/>
    <s v="FP CP SP MOULD Both"/>
    <x v="0"/>
    <x v="1"/>
    <m/>
    <x v="6"/>
  </r>
  <r>
    <n v="784"/>
    <x v="205"/>
    <x v="205"/>
    <x v="192"/>
    <x v="2"/>
    <x v="15"/>
    <n v="762"/>
    <x v="4"/>
    <m/>
    <m/>
    <s v="Supplier"/>
    <m/>
    <x v="756"/>
    <s v="Semco _ Development and Supply Agreement.pdf"/>
    <s v=".pdf"/>
    <d v="2014-03-21T00:00:00"/>
    <s v="as\afok"/>
    <m/>
    <s v="FHA 00 016 ind.07"/>
    <s v="37E4 - 45 days end of month Due net on posting date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n v="1"/>
    <m/>
    <s v="FP"/>
    <s v="CP"/>
    <m/>
    <m/>
    <s v="FP CP Both"/>
    <x v="0"/>
    <x v="1"/>
    <m/>
    <x v="6"/>
  </r>
  <r>
    <n v="775"/>
    <x v="204"/>
    <x v="204"/>
    <x v="192"/>
    <x v="2"/>
    <x v="15"/>
    <n v="755"/>
    <x v="5"/>
    <m/>
    <m/>
    <s v="Supplier"/>
    <m/>
    <x v="112"/>
    <s v="SEMCO_General Agreement ind.10_2012-05-07.pdf"/>
    <s v=".pdf"/>
    <d v="2014-03-21T00:00:00"/>
    <s v="as\afok"/>
    <m/>
    <m/>
    <m/>
    <m/>
    <m/>
    <n v="20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n v="1"/>
    <m/>
    <n v="1"/>
    <m/>
    <m/>
    <s v="FP"/>
    <s v="CP"/>
    <s v="SP"/>
    <s v="MOULD"/>
    <s v="FP CP SP MOULD Both"/>
    <x v="0"/>
    <x v="1"/>
    <m/>
    <x v="6"/>
  </r>
  <r>
    <n v="776"/>
    <x v="205"/>
    <x v="205"/>
    <x v="192"/>
    <x v="2"/>
    <x v="15"/>
    <n v="755"/>
    <x v="5"/>
    <m/>
    <m/>
    <s v="Supplier"/>
    <m/>
    <x v="112"/>
    <s v="SEMCO_General Agreement ind.10_2012-05-07.pdf"/>
    <s v=".pdf"/>
    <d v="2014-03-21T00:00:00"/>
    <s v="as\afok"/>
    <m/>
    <m/>
    <m/>
    <m/>
    <m/>
    <n v="20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n v="1"/>
    <m/>
    <n v="1"/>
    <m/>
    <m/>
    <s v="FP"/>
    <s v="CP"/>
    <m/>
    <m/>
    <s v="FP CP Both"/>
    <x v="0"/>
    <x v="1"/>
    <m/>
    <x v="6"/>
  </r>
  <r>
    <n v="773"/>
    <x v="204"/>
    <x v="204"/>
    <x v="192"/>
    <x v="2"/>
    <x v="15"/>
    <n v="754"/>
    <x v="6"/>
    <m/>
    <m/>
    <s v="Supplier"/>
    <m/>
    <x v="112"/>
    <s v="SEMCO_General Agreement ind.10_2012-05-07.pdf"/>
    <s v=".pdf"/>
    <d v="2014-03-21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n v="1"/>
    <n v="1"/>
    <m/>
    <m/>
    <s v="FP"/>
    <s v="CP"/>
    <s v="SP"/>
    <s v="MOULD"/>
    <s v="FP CP SP MOULD Both"/>
    <x v="0"/>
    <x v="1"/>
    <m/>
    <x v="6"/>
  </r>
  <r>
    <n v="774"/>
    <x v="205"/>
    <x v="205"/>
    <x v="192"/>
    <x v="2"/>
    <x v="15"/>
    <n v="754"/>
    <x v="6"/>
    <m/>
    <m/>
    <s v="Supplier"/>
    <m/>
    <x v="112"/>
    <s v="SEMCO_General Agreement ind.10_2012-05-07.pdf"/>
    <s v=".pdf"/>
    <d v="2014-03-21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n v="1"/>
    <n v="1"/>
    <m/>
    <m/>
    <s v="FP"/>
    <s v="CP"/>
    <m/>
    <m/>
    <s v="FP CP Both"/>
    <x v="0"/>
    <x v="1"/>
    <m/>
    <x v="6"/>
  </r>
  <r>
    <n v="777"/>
    <x v="204"/>
    <x v="204"/>
    <x v="192"/>
    <x v="2"/>
    <x v="15"/>
    <n v="756"/>
    <x v="10"/>
    <m/>
    <m/>
    <s v="Supplier"/>
    <m/>
    <x v="700"/>
    <s v="SEMCO_General Agreement ind.10_2012-05-07.pdf"/>
    <s v=".pdf"/>
    <d v="2014-03-2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s v="FP"/>
    <s v="CP"/>
    <s v="SP"/>
    <s v="MOULD"/>
    <s v="FP CP SP MOULD Both"/>
    <x v="0"/>
    <x v="1"/>
    <m/>
    <x v="6"/>
  </r>
  <r>
    <n v="772"/>
    <x v="204"/>
    <x v="204"/>
    <x v="192"/>
    <x v="2"/>
    <x v="15"/>
    <n v="753"/>
    <x v="7"/>
    <m/>
    <m/>
    <s v="Supplier"/>
    <m/>
    <x v="206"/>
    <s v="SEMCO_General Agreement ind.10_2012-05-07.pdf"/>
    <s v=".pdf"/>
    <d v="2014-03-21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s v="FP"/>
    <s v="CP"/>
    <s v="SP"/>
    <s v="MOULD"/>
    <s v="FP CP SP MOULD Both"/>
    <x v="0"/>
    <x v="1"/>
    <m/>
    <x v="6"/>
  </r>
  <r>
    <n v="779"/>
    <x v="204"/>
    <x v="204"/>
    <x v="192"/>
    <x v="2"/>
    <x v="15"/>
    <n v="758"/>
    <x v="13"/>
    <m/>
    <m/>
    <s v="Supplier"/>
    <d v="2012-02-01T00:00:00"/>
    <x v="487"/>
    <s v="SEMCO_ISO14001_2012.pdf"/>
    <s v=".pdf"/>
    <d v="2014-03-2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s v="FP"/>
    <s v="CP"/>
    <s v="SP"/>
    <s v="MOULD"/>
    <s v="FP CP SP MOULD Both"/>
    <x v="0"/>
    <x v="1"/>
    <m/>
    <x v="6"/>
  </r>
  <r>
    <n v="769"/>
    <x v="204"/>
    <x v="204"/>
    <x v="192"/>
    <x v="2"/>
    <x v="15"/>
    <n v="751"/>
    <x v="9"/>
    <m/>
    <m/>
    <s v="Product / Project"/>
    <m/>
    <x v="62"/>
    <s v="SEMCO_LOC_Prep'Line 2 Hand Blender_27Jan2011.pdf"/>
    <s v=".pdf"/>
    <d v="2014-03-20T00:00:00"/>
    <s v="as\afok"/>
    <m/>
    <m/>
    <m/>
    <m/>
    <m/>
    <m/>
    <s v="Prep'Line 2 Hand Blender"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s v="FP"/>
    <s v="CP"/>
    <s v="SP"/>
    <s v="MOULD"/>
    <s v="FP CP SP MOULD Both"/>
    <x v="0"/>
    <x v="1"/>
    <m/>
    <x v="6"/>
  </r>
  <r>
    <n v="781"/>
    <x v="204"/>
    <x v="204"/>
    <x v="192"/>
    <x v="2"/>
    <x v="15"/>
    <n v="760"/>
    <x v="8"/>
    <m/>
    <m/>
    <s v="Supplier"/>
    <m/>
    <x v="93"/>
    <s v="SEMCO - Responsible Purchasing Charter (ENG).pdf"/>
    <s v=".pdf"/>
    <d v="2014-03-2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s v="FP"/>
    <s v="CP"/>
    <s v="SP"/>
    <s v="MOULD"/>
    <s v="FP CP SP MOULD Both"/>
    <x v="0"/>
    <x v="1"/>
    <m/>
    <x v="6"/>
  </r>
  <r>
    <n v="782"/>
    <x v="204"/>
    <x v="204"/>
    <x v="192"/>
    <x v="2"/>
    <x v="15"/>
    <n v="761"/>
    <x v="1"/>
    <m/>
    <m/>
    <s v="Supplier"/>
    <m/>
    <x v="583"/>
    <s v="SEMCO_ SEF_JUN 2012.xlsx"/>
    <s v=".xlsx"/>
    <d v="2014-03-21T00:00:00"/>
    <s v="as\afok"/>
    <m/>
    <s v="2012"/>
    <m/>
    <m/>
    <m/>
    <m/>
    <m/>
    <x v="0"/>
    <x v="0"/>
    <x v="0"/>
    <x v="5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s v="FP"/>
    <s v="CP"/>
    <s v="SP"/>
    <s v="MOULD"/>
    <s v="FP CP SP MOULD Both"/>
    <x v="0"/>
    <x v="1"/>
    <m/>
    <x v="6"/>
  </r>
  <r>
    <n v="764"/>
    <x v="204"/>
    <x v="204"/>
    <x v="192"/>
    <x v="2"/>
    <x v="15"/>
    <n v="746"/>
    <x v="1"/>
    <m/>
    <m/>
    <s v="Supplier"/>
    <m/>
    <x v="620"/>
    <s v="Semco - SEF 2013 Jun.xlsx"/>
    <s v=".xlsx"/>
    <d v="2014-03-20T00:00:00"/>
    <s v="as\afok"/>
    <m/>
    <s v="2013"/>
    <m/>
    <m/>
    <m/>
    <m/>
    <m/>
    <x v="0"/>
    <x v="0"/>
    <x v="0"/>
    <x v="15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s v="FP"/>
    <s v="CP"/>
    <s v="SP"/>
    <s v="MOULD"/>
    <s v="FP CP SP MOULD Both"/>
    <x v="0"/>
    <x v="1"/>
    <m/>
    <x v="6"/>
  </r>
  <r>
    <n v="780"/>
    <x v="204"/>
    <x v="204"/>
    <x v="192"/>
    <x v="2"/>
    <x v="15"/>
    <n v="759"/>
    <x v="2"/>
    <m/>
    <m/>
    <s v="Supplier"/>
    <m/>
    <x v="757"/>
    <s v="SEMCO_SIF 2012_15Feb12.xls"/>
    <s v=".xls"/>
    <d v="2014-03-21T00:00:00"/>
    <s v="as\afok"/>
    <m/>
    <s v="2012"/>
    <m/>
    <m/>
    <m/>
    <m/>
    <m/>
    <x v="0"/>
    <x v="0"/>
    <x v="0"/>
    <x v="0"/>
    <x v="1"/>
    <x v="12"/>
    <x v="163"/>
    <x v="5"/>
    <x v="89"/>
    <x v="115"/>
    <x v="35"/>
    <x v="67"/>
    <x v="15"/>
    <x v="67"/>
    <x v="73"/>
    <s v="CP Panel"/>
    <x v="0"/>
    <x v="0"/>
    <x v="1"/>
    <x v="3"/>
    <m/>
    <m/>
    <m/>
    <n v="1"/>
    <m/>
    <m/>
    <s v="FP"/>
    <s v="CP"/>
    <s v="SP"/>
    <s v="MOULD"/>
    <s v="FP CP SP MOULD Both"/>
    <x v="1"/>
    <x v="1"/>
    <m/>
    <x v="6"/>
  </r>
  <r>
    <n v="765"/>
    <x v="204"/>
    <x v="204"/>
    <x v="192"/>
    <x v="2"/>
    <x v="15"/>
    <n v="747"/>
    <x v="2"/>
    <n v="1"/>
    <m/>
    <s v="Supplier"/>
    <m/>
    <x v="411"/>
    <s v="Semco - FHA6E502_EN_-_SIF 2013.xls"/>
    <s v=".xls"/>
    <d v="2014-03-20T00:00:00"/>
    <s v="as\afok"/>
    <m/>
    <s v="2013"/>
    <m/>
    <m/>
    <m/>
    <m/>
    <m/>
    <x v="0"/>
    <x v="0"/>
    <x v="0"/>
    <x v="0"/>
    <x v="2"/>
    <x v="12"/>
    <x v="163"/>
    <x v="5"/>
    <x v="89"/>
    <x v="115"/>
    <x v="35"/>
    <x v="67"/>
    <x v="15"/>
    <x v="67"/>
    <x v="73"/>
    <s v="CP Panel"/>
    <x v="0"/>
    <x v="0"/>
    <x v="1"/>
    <x v="3"/>
    <m/>
    <m/>
    <m/>
    <n v="1"/>
    <m/>
    <m/>
    <s v="FP"/>
    <s v="CP"/>
    <s v="SP"/>
    <s v="MOULD"/>
    <s v="FP CP SP MOULD Both"/>
    <x v="1"/>
    <x v="1"/>
    <m/>
    <x v="6"/>
  </r>
  <r>
    <n v="766"/>
    <x v="204"/>
    <x v="204"/>
    <x v="192"/>
    <x v="2"/>
    <x v="15"/>
    <n v="748"/>
    <x v="17"/>
    <m/>
    <m/>
    <s v="Supplier"/>
    <m/>
    <x v="112"/>
    <s v="SEB Social Audit Checklist - Semco.pdf"/>
    <s v=".pdf"/>
    <d v="2014-03-20T00:00:00"/>
    <s v="as\afok"/>
    <m/>
    <m/>
    <m/>
    <m/>
    <m/>
    <m/>
    <m/>
    <x v="1"/>
    <x v="1"/>
    <x v="1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s v="FP"/>
    <s v="CP"/>
    <s v="SP"/>
    <s v="MOULD"/>
    <s v="FP CP SP MOULD Both"/>
    <x v="0"/>
    <x v="1"/>
    <m/>
    <x v="6"/>
  </r>
  <r>
    <n v="768"/>
    <x v="204"/>
    <x v="204"/>
    <x v="192"/>
    <x v="2"/>
    <x v="15"/>
    <n v="750"/>
    <x v="17"/>
    <m/>
    <m/>
    <s v="Supplier"/>
    <m/>
    <x v="758"/>
    <s v="SEMCO_Grade Critical Grade Letter 2013.pdf"/>
    <s v=".pdf"/>
    <d v="2014-03-20T00:00:00"/>
    <s v="as\afok"/>
    <s v="Grade Critical Grade Letter"/>
    <m/>
    <m/>
    <m/>
    <m/>
    <m/>
    <m/>
    <x v="1"/>
    <x v="1"/>
    <x v="1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s v="FP"/>
    <s v="CP"/>
    <s v="SP"/>
    <s v="MOULD"/>
    <s v="FP CP SP MOULD Both"/>
    <x v="0"/>
    <x v="1"/>
    <m/>
    <x v="6"/>
  </r>
  <r>
    <n v="767"/>
    <x v="204"/>
    <x v="204"/>
    <x v="192"/>
    <x v="2"/>
    <x v="15"/>
    <n v="749"/>
    <x v="22"/>
    <m/>
    <m/>
    <s v="Supplier"/>
    <m/>
    <x v="112"/>
    <s v="SEB Social Corrective Action Plan - Semco.doc"/>
    <s v=".doc"/>
    <d v="2014-03-2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s v="FP"/>
    <s v="CP"/>
    <s v="SP"/>
    <s v="MOULD"/>
    <s v="FP CP SP MOULD Both"/>
    <x v="0"/>
    <x v="1"/>
    <m/>
    <x v="6"/>
  </r>
  <r>
    <n v="762"/>
    <x v="204"/>
    <x v="204"/>
    <x v="192"/>
    <x v="2"/>
    <x v="15"/>
    <n v="745"/>
    <x v="3"/>
    <m/>
    <m/>
    <s v="Supplier"/>
    <m/>
    <x v="516"/>
    <s v="Semco SPR 2013 v1 after meeting on 20131018 for Supplier.pptx"/>
    <s v=".pptx"/>
    <d v="2014-03-20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s v="FP"/>
    <s v="CP"/>
    <s v="SP"/>
    <s v="MOULD"/>
    <s v="FP CP SP MOULD Both"/>
    <x v="0"/>
    <x v="1"/>
    <m/>
    <x v="6"/>
  </r>
  <r>
    <n v="778"/>
    <x v="204"/>
    <x v="204"/>
    <x v="192"/>
    <x v="2"/>
    <x v="15"/>
    <n v="757"/>
    <x v="3"/>
    <m/>
    <m/>
    <s v="Supplier"/>
    <m/>
    <x v="288"/>
    <s v="SEMCO_SPR_2012_AUGUST 29 2012 - after meeting.pptx"/>
    <s v=".pptx"/>
    <d v="2014-03-21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s v="FP"/>
    <s v="CP"/>
    <s v="SP"/>
    <s v="MOULD"/>
    <s v="FP CP SP MOULD Both"/>
    <x v="0"/>
    <x v="1"/>
    <m/>
    <x v="6"/>
  </r>
  <r>
    <n v="1740"/>
    <x v="206"/>
    <x v="206"/>
    <x v="193"/>
    <x v="5"/>
    <x v="7"/>
    <n v="1697"/>
    <x v="7"/>
    <m/>
    <m/>
    <s v="Supplier"/>
    <m/>
    <x v="62"/>
    <s v="Simplified_Environment_Declaration_Changzhou_Shenghui.pdf"/>
    <s v=".pdf"/>
    <d v="2014-04-08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1741"/>
    <x v="206"/>
    <x v="206"/>
    <x v="193"/>
    <x v="5"/>
    <x v="7"/>
    <n v="1698"/>
    <x v="9"/>
    <m/>
    <m/>
    <s v="Supplier"/>
    <m/>
    <x v="51"/>
    <s v="Changzhou_Shenghui_LOC.pdf"/>
    <s v=".pdf"/>
    <d v="2014-04-0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s v="CP"/>
    <m/>
    <m/>
    <s v="CP "/>
    <x v="0"/>
    <x v="1"/>
    <m/>
    <x v="8"/>
  </r>
  <r>
    <n v="1738"/>
    <x v="206"/>
    <x v="206"/>
    <x v="193"/>
    <x v="5"/>
    <x v="7"/>
    <n v="1695"/>
    <x v="8"/>
    <m/>
    <m/>
    <s v="Supplier"/>
    <m/>
    <x v="35"/>
    <s v="Shenghui_Responsible Purchaser Charter_15Aug2012.pdf"/>
    <s v=".pdf"/>
    <d v="2014-04-0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1737"/>
    <x v="206"/>
    <x v="206"/>
    <x v="193"/>
    <x v="5"/>
    <x v="7"/>
    <n v="1694"/>
    <x v="1"/>
    <m/>
    <m/>
    <s v="Supplier"/>
    <m/>
    <x v="95"/>
    <s v="Changzhou Shenghui Supplier Evaluation 201112.xlsx"/>
    <s v=".xlsx"/>
    <d v="2014-04-08T00:00:00"/>
    <s v="as\afok"/>
    <m/>
    <s v="2011"/>
    <m/>
    <m/>
    <m/>
    <m/>
    <m/>
    <x v="0"/>
    <x v="0"/>
    <x v="0"/>
    <x v="47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1739"/>
    <x v="206"/>
    <x v="206"/>
    <x v="193"/>
    <x v="5"/>
    <x v="7"/>
    <n v="1696"/>
    <x v="2"/>
    <m/>
    <m/>
    <s v="Supplier"/>
    <m/>
    <x v="320"/>
    <s v="SHENGHUI_SIF_24Apr2012.xls"/>
    <s v=".xls"/>
    <d v="2014-04-08T00:00:00"/>
    <s v="as\afok"/>
    <m/>
    <s v="2012"/>
    <m/>
    <m/>
    <m/>
    <m/>
    <m/>
    <x v="0"/>
    <x v="0"/>
    <x v="0"/>
    <x v="0"/>
    <x v="1"/>
    <x v="138"/>
    <x v="181"/>
    <x v="169"/>
    <x v="150"/>
    <x v="142"/>
    <x v="0"/>
    <x v="0"/>
    <x v="0"/>
    <x v="0"/>
    <x v="0"/>
    <m/>
    <x v="0"/>
    <x v="0"/>
    <x v="0"/>
    <x v="0"/>
    <m/>
    <m/>
    <m/>
    <n v="0"/>
    <m/>
    <m/>
    <m/>
    <s v="CP"/>
    <m/>
    <m/>
    <s v="CP "/>
    <x v="2"/>
    <x v="1"/>
    <m/>
    <x v="8"/>
  </r>
  <r>
    <n v="943"/>
    <x v="207"/>
    <x v="207"/>
    <x v="194"/>
    <x v="4"/>
    <x v="6"/>
    <n v="921"/>
    <x v="7"/>
    <m/>
    <m/>
    <s v="Supplier"/>
    <m/>
    <x v="7"/>
    <s v="Shouji_Env-Declaration_24Mar2010.xls"/>
    <s v=".xls"/>
    <d v="2014-03-24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s v="CP"/>
    <m/>
    <s v="MOULD"/>
    <s v="CP MOULD "/>
    <x v="0"/>
    <x v="1"/>
    <m/>
    <x v="8"/>
  </r>
  <r>
    <n v="941"/>
    <x v="207"/>
    <x v="207"/>
    <x v="194"/>
    <x v="4"/>
    <x v="6"/>
    <n v="919"/>
    <x v="8"/>
    <m/>
    <m/>
    <s v="Supplier"/>
    <m/>
    <x v="19"/>
    <s v="Shouji_Responsible_Purchasing_Charter_07Aug12.pdf"/>
    <s v=".pdf"/>
    <d v="2014-03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s v="MOULD"/>
    <s v="CP MOULD "/>
    <x v="0"/>
    <x v="1"/>
    <m/>
    <x v="8"/>
  </r>
  <r>
    <n v="940"/>
    <x v="207"/>
    <x v="207"/>
    <x v="194"/>
    <x v="4"/>
    <x v="6"/>
    <n v="918"/>
    <x v="1"/>
    <m/>
    <m/>
    <s v="Supplier"/>
    <m/>
    <x v="87"/>
    <s v="Shouji_SEF_May2011_R1.xlsx"/>
    <s v=".xlsx"/>
    <d v="2014-03-24T00:00:00"/>
    <s v="as\afok"/>
    <m/>
    <s v="2012"/>
    <m/>
    <m/>
    <m/>
    <m/>
    <m/>
    <x v="0"/>
    <x v="0"/>
    <x v="0"/>
    <x v="1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s v="MOULD"/>
    <s v="CP MOULD "/>
    <x v="0"/>
    <x v="1"/>
    <m/>
    <x v="8"/>
  </r>
  <r>
    <n v="939"/>
    <x v="207"/>
    <x v="207"/>
    <x v="194"/>
    <x v="4"/>
    <x v="6"/>
    <n v="917"/>
    <x v="2"/>
    <m/>
    <m/>
    <s v="Supplier"/>
    <m/>
    <x v="161"/>
    <s v="Shouji - SIF2013.xlsx"/>
    <s v=".xlsx"/>
    <d v="2014-03-24T00:00:00"/>
    <s v="as\afok"/>
    <m/>
    <s v="2013"/>
    <m/>
    <m/>
    <m/>
    <m/>
    <m/>
    <x v="0"/>
    <x v="0"/>
    <x v="0"/>
    <x v="0"/>
    <x v="2"/>
    <x v="0"/>
    <x v="182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s v="MOULD"/>
    <s v="CP MOULD "/>
    <x v="2"/>
    <x v="1"/>
    <m/>
    <x v="8"/>
  </r>
  <r>
    <n v="942"/>
    <x v="207"/>
    <x v="207"/>
    <x v="194"/>
    <x v="4"/>
    <x v="6"/>
    <n v="920"/>
    <x v="3"/>
    <m/>
    <m/>
    <s v="Supplier"/>
    <m/>
    <x v="759"/>
    <s v="SPR_Shouji June 2011.ppt"/>
    <s v=".ppt"/>
    <d v="2014-03-24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s v="MOULD"/>
    <s v="CP MOULD "/>
    <x v="0"/>
    <x v="1"/>
    <m/>
    <x v="8"/>
  </r>
  <r>
    <n v="30"/>
    <x v="208"/>
    <x v="208"/>
    <x v="195"/>
    <x v="0"/>
    <x v="18"/>
    <n v="25"/>
    <x v="4"/>
    <m/>
    <m/>
    <s v="Supplier"/>
    <d v="2014-12-31T00:00:00"/>
    <x v="309"/>
    <s v="SIMATELEX-DEVELOPMENT AND SUPPLY AGREEMENT.pdf"/>
    <s v=".pdf"/>
    <d v="2014-03-04T00:00:00"/>
    <s v="as\afok"/>
    <m/>
    <s v="FHA00016 ind.08"/>
    <s v="37E3 - 30 days end of month due net on posting date 37E3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n v="1"/>
    <m/>
    <m/>
    <n v="0"/>
    <m/>
    <m/>
    <s v="FP"/>
    <s v="CP"/>
    <s v="SP"/>
    <s v="MOULD"/>
    <s v="FP CP SP MOULD Both"/>
    <x v="0"/>
    <x v="1"/>
    <n v="1"/>
    <x v="52"/>
  </r>
  <r>
    <n v="233"/>
    <x v="208"/>
    <x v="208"/>
    <x v="195"/>
    <x v="0"/>
    <x v="18"/>
    <n v="224"/>
    <x v="7"/>
    <m/>
    <m/>
    <s v="Supplier"/>
    <m/>
    <x v="760"/>
    <s v="Simatelex_Env_Declaration_XS_Factory_14Jun2010.xls"/>
    <s v=".xls"/>
    <d v="2014-03-12T00:00:00"/>
    <s v="as\afok"/>
    <s v="XS Factory_x000d__x000a_"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52"/>
  </r>
  <r>
    <n v="232"/>
    <x v="208"/>
    <x v="208"/>
    <x v="195"/>
    <x v="0"/>
    <x v="18"/>
    <n v="223"/>
    <x v="7"/>
    <m/>
    <m/>
    <s v="Supplier"/>
    <m/>
    <x v="760"/>
    <s v="Simatelex_Env_Declaration_MC_Factory_14Jun2010.XLS"/>
    <s v=".xls"/>
    <d v="2014-03-12T00:00:00"/>
    <s v="as\afok"/>
    <s v="MC Factory_x000d__x000a_"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52"/>
  </r>
  <r>
    <n v="230"/>
    <x v="208"/>
    <x v="208"/>
    <x v="195"/>
    <x v="0"/>
    <x v="18"/>
    <n v="221"/>
    <x v="13"/>
    <m/>
    <m/>
    <s v="Supplier"/>
    <d v="2013-01-27T00:00:00"/>
    <x v="761"/>
    <s v="Simatelex ISO14001 (Simatelex Manufactory Co Ltd) 27Jan2013.tif"/>
    <s v=".tif"/>
    <d v="2014-03-12T00:00:00"/>
    <s v="as\afok"/>
    <s v="Simatelex Manufactory Co Ltd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52"/>
  </r>
  <r>
    <n v="227"/>
    <x v="208"/>
    <x v="208"/>
    <x v="195"/>
    <x v="0"/>
    <x v="18"/>
    <n v="218"/>
    <x v="14"/>
    <m/>
    <m/>
    <s v="Supplier"/>
    <d v="2013-01-27T00:00:00"/>
    <x v="761"/>
    <s v="Simatelex ISO9001 (Simatelex Manufactory Co Ltd) 27Jan2013.tif"/>
    <s v=".tif"/>
    <d v="2014-03-12T00:00:00"/>
    <s v="as\afok"/>
    <s v="Simatelex Manufactory Co Ltd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52"/>
  </r>
  <r>
    <n v="229"/>
    <x v="208"/>
    <x v="208"/>
    <x v="195"/>
    <x v="0"/>
    <x v="18"/>
    <n v="220"/>
    <x v="14"/>
    <m/>
    <m/>
    <s v="Supplier"/>
    <d v="2013-01-27T00:00:00"/>
    <x v="761"/>
    <s v="Simatelex ISO9001 (Xin sheng electrical Mfg Co) 27Jan2013.tif"/>
    <s v=".tif"/>
    <d v="2014-03-12T00:00:00"/>
    <s v="as\afok"/>
    <s v="Xin sheng electrical Mfg Co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52"/>
  </r>
  <r>
    <n v="228"/>
    <x v="208"/>
    <x v="208"/>
    <x v="195"/>
    <x v="0"/>
    <x v="18"/>
    <n v="219"/>
    <x v="14"/>
    <m/>
    <m/>
    <s v="Supplier"/>
    <d v="2013-01-27T00:00:00"/>
    <x v="761"/>
    <s v="Simatelex ISO9001 (Simatech Qing Yuan Industrial Co Ltd) 27Jan2013.tif"/>
    <s v=".tif"/>
    <d v="2014-03-12T00:00:00"/>
    <s v="as\afok"/>
    <s v="Simatech Qing Yuan Industrial Co Ltd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52"/>
  </r>
  <r>
    <n v="225"/>
    <x v="208"/>
    <x v="208"/>
    <x v="195"/>
    <x v="0"/>
    <x v="18"/>
    <n v="216"/>
    <x v="9"/>
    <m/>
    <m/>
    <s v="Supplier"/>
    <m/>
    <x v="51"/>
    <s v="Simatelex - LOC 31Jan11.pdf"/>
    <s v=".pdf"/>
    <d v="2014-03-12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52"/>
  </r>
  <r>
    <n v="226"/>
    <x v="208"/>
    <x v="208"/>
    <x v="195"/>
    <x v="0"/>
    <x v="18"/>
    <n v="217"/>
    <x v="15"/>
    <m/>
    <m/>
    <s v="Supplier"/>
    <m/>
    <x v="12"/>
    <s v="Simatelex - NDA_29Jan13.pdf"/>
    <s v=".pdf"/>
    <d v="2014-03-12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52"/>
  </r>
  <r>
    <n v="231"/>
    <x v="208"/>
    <x v="208"/>
    <x v="195"/>
    <x v="0"/>
    <x v="18"/>
    <n v="222"/>
    <x v="8"/>
    <m/>
    <m/>
    <s v="Supplier"/>
    <m/>
    <x v="762"/>
    <s v="Simatelex RPC 2013.pdf"/>
    <s v=".pdf"/>
    <d v="2014-03-12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52"/>
  </r>
  <r>
    <n v="223"/>
    <x v="208"/>
    <x v="208"/>
    <x v="195"/>
    <x v="0"/>
    <x v="18"/>
    <n v="214"/>
    <x v="1"/>
    <m/>
    <m/>
    <s v="Supplier"/>
    <m/>
    <x v="47"/>
    <s v="SEF - Simatelex 2012.xlsx"/>
    <s v=".xlsx"/>
    <d v="2014-03-12T00:00:00"/>
    <s v="as\afok"/>
    <m/>
    <s v="2012"/>
    <m/>
    <m/>
    <m/>
    <m/>
    <m/>
    <x v="0"/>
    <x v="0"/>
    <x v="0"/>
    <x v="17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52"/>
  </r>
  <r>
    <n v="224"/>
    <x v="208"/>
    <x v="208"/>
    <x v="195"/>
    <x v="0"/>
    <x v="18"/>
    <n v="215"/>
    <x v="1"/>
    <m/>
    <m/>
    <s v="Supplier"/>
    <m/>
    <x v="397"/>
    <s v="SEF Simatelex 2013.XLSX"/>
    <s v=".xlsx"/>
    <d v="2014-03-12T00:00:00"/>
    <s v="as\afok"/>
    <m/>
    <s v="2013"/>
    <m/>
    <m/>
    <m/>
    <m/>
    <m/>
    <x v="0"/>
    <x v="0"/>
    <x v="0"/>
    <x v="9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52"/>
  </r>
  <r>
    <n v="235"/>
    <x v="208"/>
    <x v="208"/>
    <x v="195"/>
    <x v="0"/>
    <x v="18"/>
    <n v="226"/>
    <x v="2"/>
    <n v="1"/>
    <m/>
    <s v="Supplier"/>
    <m/>
    <x v="289"/>
    <s v="Simatelex_SIF2013.pdf"/>
    <s v=".pdf"/>
    <d v="2014-03-12T00:00:00"/>
    <s v="as\afok"/>
    <m/>
    <s v="2013"/>
    <m/>
    <m/>
    <m/>
    <m/>
    <m/>
    <x v="0"/>
    <x v="0"/>
    <x v="0"/>
    <x v="0"/>
    <x v="2"/>
    <x v="0"/>
    <x v="183"/>
    <x v="170"/>
    <x v="151"/>
    <x v="143"/>
    <x v="0"/>
    <x v="42"/>
    <x v="88"/>
    <x v="76"/>
    <x v="21"/>
    <s v="FP panel Top 15"/>
    <x v="1"/>
    <x v="2"/>
    <x v="0"/>
    <x v="0"/>
    <m/>
    <m/>
    <m/>
    <n v="0"/>
    <m/>
    <m/>
    <s v="FP"/>
    <s v="CP"/>
    <s v="SP"/>
    <s v="MOULD"/>
    <s v="FP CP SP MOULD Both"/>
    <x v="1"/>
    <x v="1"/>
    <n v="1"/>
    <x v="52"/>
  </r>
  <r>
    <n v="234"/>
    <x v="208"/>
    <x v="208"/>
    <x v="195"/>
    <x v="0"/>
    <x v="18"/>
    <n v="225"/>
    <x v="2"/>
    <m/>
    <m/>
    <s v="Supplier"/>
    <m/>
    <x v="695"/>
    <s v="Simatelex_SIF2012_5Mar12.xls"/>
    <s v=".xls"/>
    <d v="2014-03-12T00:00:00"/>
    <s v="as\afok"/>
    <m/>
    <s v="2012"/>
    <m/>
    <m/>
    <m/>
    <m/>
    <m/>
    <x v="0"/>
    <x v="0"/>
    <x v="0"/>
    <x v="0"/>
    <x v="1"/>
    <x v="0"/>
    <x v="184"/>
    <x v="171"/>
    <x v="152"/>
    <x v="144"/>
    <x v="0"/>
    <x v="96"/>
    <x v="52"/>
    <x v="77"/>
    <x v="12"/>
    <s v="FP panel Top 15"/>
    <x v="1"/>
    <x v="2"/>
    <x v="0"/>
    <x v="0"/>
    <m/>
    <m/>
    <m/>
    <n v="0"/>
    <m/>
    <m/>
    <s v="FP"/>
    <s v="CP"/>
    <s v="SP"/>
    <s v="MOULD"/>
    <s v="FP CP SP MOULD Both"/>
    <x v="1"/>
    <x v="1"/>
    <n v="1"/>
    <x v="52"/>
  </r>
  <r>
    <n v="236"/>
    <x v="208"/>
    <x v="208"/>
    <x v="195"/>
    <x v="0"/>
    <x v="18"/>
    <n v="227"/>
    <x v="3"/>
    <m/>
    <m/>
    <s v="Supplier"/>
    <m/>
    <x v="153"/>
    <s v="Simatelex_SPR_2012 Sep.pptx"/>
    <s v=".pptx"/>
    <d v="2014-03-12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n v="1"/>
    <s v="FP"/>
    <s v="CP"/>
    <s v="SP"/>
    <s v="MOULD"/>
    <s v="FP CP SP MOULD Both"/>
    <x v="0"/>
    <x v="1"/>
    <n v="1"/>
    <x v="52"/>
  </r>
  <r>
    <n v="31"/>
    <x v="209"/>
    <x v="209"/>
    <x v="196"/>
    <x v="0"/>
    <x v="9"/>
    <n v="26"/>
    <x v="4"/>
    <m/>
    <m/>
    <s v="Supplier"/>
    <d v="2015-12-31T00:00:00"/>
    <x v="763"/>
    <s v="Sincere_Home_General Agreement_15Sep12.pdf"/>
    <s v=".pdf"/>
    <d v="2014-03-04T00:00:00"/>
    <s v="as\afok"/>
    <m/>
    <s v="FHA00016 ind.10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m/>
    <s v="SP"/>
    <s v="MOULD"/>
    <s v="FP SP MOULD "/>
    <x v="0"/>
    <x v="1"/>
    <m/>
    <x v="30"/>
  </r>
  <r>
    <n v="360"/>
    <x v="209"/>
    <x v="209"/>
    <x v="196"/>
    <x v="0"/>
    <x v="9"/>
    <n v="347"/>
    <x v="5"/>
    <m/>
    <m/>
    <s v="Supplier"/>
    <m/>
    <x v="763"/>
    <s v="Sincere_Home_General Agreement_15Sep12.pdf"/>
    <s v=".pdf"/>
    <d v="2014-03-14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m/>
    <s v="SP"/>
    <s v="MOULD"/>
    <s v="FP SP MOULD "/>
    <x v="0"/>
    <x v="1"/>
    <m/>
    <x v="30"/>
  </r>
  <r>
    <n v="359"/>
    <x v="209"/>
    <x v="209"/>
    <x v="196"/>
    <x v="0"/>
    <x v="9"/>
    <n v="346"/>
    <x v="6"/>
    <m/>
    <m/>
    <s v="Supplier"/>
    <m/>
    <x v="763"/>
    <s v="Sincere_Home_General Agreement_15Sep12.pdf"/>
    <s v=".pdf"/>
    <d v="2014-03-14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m/>
    <s v="SP"/>
    <s v="MOULD"/>
    <s v="FP SP MOULD "/>
    <x v="0"/>
    <x v="1"/>
    <m/>
    <x v="30"/>
  </r>
  <r>
    <n v="361"/>
    <x v="209"/>
    <x v="209"/>
    <x v="196"/>
    <x v="0"/>
    <x v="9"/>
    <n v="348"/>
    <x v="7"/>
    <m/>
    <m/>
    <s v="Supplier"/>
    <m/>
    <x v="763"/>
    <s v="Sincere_Home_General Agreement_15Sep12.pdf"/>
    <s v=".pdf"/>
    <d v="2014-03-14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30"/>
  </r>
  <r>
    <n v="363"/>
    <x v="209"/>
    <x v="209"/>
    <x v="196"/>
    <x v="0"/>
    <x v="9"/>
    <n v="350"/>
    <x v="11"/>
    <m/>
    <m/>
    <s v="Supplier"/>
    <m/>
    <x v="13"/>
    <s v="Exclusivity Summary Sincere Home.xlsx"/>
    <s v=".xlsx"/>
    <d v="2014-03-14T00:00:00"/>
    <s v="as\afok"/>
    <s v="Exclusivity Summary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30"/>
  </r>
  <r>
    <n v="366"/>
    <x v="209"/>
    <x v="209"/>
    <x v="196"/>
    <x v="0"/>
    <x v="9"/>
    <n v="353"/>
    <x v="11"/>
    <m/>
    <m/>
    <s v="Supplier"/>
    <m/>
    <x v="305"/>
    <s v="Sincere_Home_Exclusivity Agreement_16Jan13.pdf"/>
    <s v=".pdf"/>
    <d v="2014-03-1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30"/>
  </r>
  <r>
    <n v="367"/>
    <x v="209"/>
    <x v="209"/>
    <x v="196"/>
    <x v="0"/>
    <x v="9"/>
    <n v="354"/>
    <x v="12"/>
    <m/>
    <m/>
    <s v="Supplier"/>
    <m/>
    <x v="305"/>
    <s v="Sincere_Home_IP_16Jan13.pdf"/>
    <s v=".pdf"/>
    <d v="2014-03-1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30"/>
  </r>
  <r>
    <n v="365"/>
    <x v="209"/>
    <x v="209"/>
    <x v="196"/>
    <x v="0"/>
    <x v="9"/>
    <n v="352"/>
    <x v="16"/>
    <m/>
    <m/>
    <s v="Supplier"/>
    <d v="2014-05-17T00:00:00"/>
    <x v="764"/>
    <s v="Sincere Home  PLI original 06282013.JPG"/>
    <s v=".jpg"/>
    <d v="2014-03-14T00:00:00"/>
    <s v="as\afok"/>
    <s v="certificate of insurance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30"/>
  </r>
  <r>
    <n v="364"/>
    <x v="209"/>
    <x v="209"/>
    <x v="196"/>
    <x v="0"/>
    <x v="9"/>
    <n v="351"/>
    <x v="1"/>
    <m/>
    <m/>
    <s v="Supplier"/>
    <m/>
    <x v="765"/>
    <s v="SEF_Sincere Home_20120830.xlsx"/>
    <s v=".xlsx"/>
    <d v="2014-03-14T00:00:00"/>
    <s v="as\afok"/>
    <m/>
    <s v="2012"/>
    <m/>
    <m/>
    <m/>
    <m/>
    <m/>
    <x v="0"/>
    <x v="0"/>
    <x v="0"/>
    <x v="6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30"/>
  </r>
  <r>
    <n v="362"/>
    <x v="209"/>
    <x v="209"/>
    <x v="196"/>
    <x v="0"/>
    <x v="9"/>
    <n v="349"/>
    <x v="1"/>
    <m/>
    <m/>
    <s v="Supplier"/>
    <m/>
    <x v="356"/>
    <s v="SEF Sincere Home 20130809.xlsx"/>
    <s v=".xlsx"/>
    <d v="2014-03-14T00:00:00"/>
    <s v="as\afok"/>
    <m/>
    <s v="2013"/>
    <m/>
    <m/>
    <m/>
    <m/>
    <m/>
    <x v="0"/>
    <x v="0"/>
    <x v="0"/>
    <x v="19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30"/>
  </r>
  <r>
    <n v="368"/>
    <x v="209"/>
    <x v="209"/>
    <x v="196"/>
    <x v="0"/>
    <x v="9"/>
    <n v="355"/>
    <x v="2"/>
    <m/>
    <m/>
    <s v="Supplier"/>
    <m/>
    <x v="276"/>
    <s v="Sincere_Home_SIF2012_27Jul12.XLSX"/>
    <s v=".xlsx"/>
    <d v="2014-03-14T00:00:00"/>
    <s v="as\afok"/>
    <m/>
    <s v="2012"/>
    <m/>
    <m/>
    <m/>
    <m/>
    <m/>
    <x v="0"/>
    <x v="0"/>
    <x v="0"/>
    <x v="0"/>
    <x v="1"/>
    <x v="29"/>
    <x v="185"/>
    <x v="172"/>
    <x v="89"/>
    <x v="70"/>
    <x v="0"/>
    <x v="11"/>
    <x v="9"/>
    <x v="3"/>
    <x v="74"/>
    <m/>
    <x v="0"/>
    <x v="0"/>
    <x v="0"/>
    <x v="0"/>
    <m/>
    <m/>
    <m/>
    <n v="1"/>
    <n v="1"/>
    <m/>
    <s v="FP"/>
    <m/>
    <s v="SP"/>
    <s v="MOULD"/>
    <s v="FP SP MOULD "/>
    <x v="3"/>
    <x v="1"/>
    <m/>
    <x v="30"/>
  </r>
  <r>
    <n v="1890"/>
    <x v="210"/>
    <x v="210"/>
    <x v="197"/>
    <x v="4"/>
    <x v="17"/>
    <n v="1846"/>
    <x v="13"/>
    <m/>
    <m/>
    <s v="Supplier"/>
    <d v="2010-09-04T00:00:00"/>
    <x v="766"/>
    <s v="SING_FAI_ISO14001_2010.pdf"/>
    <s v=".pdf"/>
    <d v="2014-04-0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31"/>
  </r>
  <r>
    <n v="1889"/>
    <x v="210"/>
    <x v="210"/>
    <x v="197"/>
    <x v="4"/>
    <x v="17"/>
    <n v="1845"/>
    <x v="8"/>
    <m/>
    <m/>
    <s v="Supplier"/>
    <m/>
    <x v="19"/>
    <s v="Sing_Fai_Responsible_Purchasing_Charter_07Aug12.pdf"/>
    <s v=".pdf"/>
    <d v="2014-04-0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31"/>
  </r>
  <r>
    <n v="1888"/>
    <x v="210"/>
    <x v="210"/>
    <x v="197"/>
    <x v="4"/>
    <x v="17"/>
    <n v="1844"/>
    <x v="1"/>
    <m/>
    <m/>
    <s v="Supplier"/>
    <m/>
    <x v="288"/>
    <s v="SEF-Sing Fai-28AUG12-81.xls"/>
    <s v=".xls"/>
    <d v="2014-04-09T00:00:00"/>
    <s v="as\afok"/>
    <m/>
    <s v="2012"/>
    <m/>
    <m/>
    <m/>
    <m/>
    <m/>
    <x v="0"/>
    <x v="0"/>
    <x v="0"/>
    <x v="25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31"/>
  </r>
  <r>
    <n v="1891"/>
    <x v="210"/>
    <x v="210"/>
    <x v="197"/>
    <x v="4"/>
    <x v="17"/>
    <n v="1847"/>
    <x v="1"/>
    <m/>
    <m/>
    <s v="Supplier"/>
    <m/>
    <x v="586"/>
    <s v="SEF-Sing Fai-20121126-79.xls"/>
    <s v=".xls"/>
    <d v="2014-04-09T00:00:00"/>
    <s v="as\afok"/>
    <m/>
    <s v="2012"/>
    <m/>
    <m/>
    <m/>
    <m/>
    <m/>
    <x v="0"/>
    <x v="0"/>
    <x v="0"/>
    <x v="13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31"/>
  </r>
  <r>
    <n v="1892"/>
    <x v="210"/>
    <x v="210"/>
    <x v="197"/>
    <x v="4"/>
    <x v="17"/>
    <n v="1848"/>
    <x v="2"/>
    <n v="1"/>
    <m/>
    <s v="Supplier"/>
    <m/>
    <x v="767"/>
    <s v="Sing Fai_SIF2013.xls"/>
    <s v=".xls"/>
    <d v="2014-04-09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s v="CP"/>
    <m/>
    <m/>
    <s v="CP "/>
    <x v="2"/>
    <x v="1"/>
    <m/>
    <x v="31"/>
  </r>
  <r>
    <n v="1887"/>
    <x v="210"/>
    <x v="210"/>
    <x v="197"/>
    <x v="4"/>
    <x v="17"/>
    <n v="1843"/>
    <x v="2"/>
    <m/>
    <m/>
    <s v="Supplier"/>
    <m/>
    <x v="711"/>
    <s v="Sing_Fai_SIF2012_15May12.xls"/>
    <s v=".xls"/>
    <d v="2014-04-09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2"/>
    <x v="1"/>
    <m/>
    <x v="31"/>
  </r>
  <r>
    <n v="637"/>
    <x v="211"/>
    <x v="211"/>
    <x v="198"/>
    <x v="1"/>
    <x v="13"/>
    <n v="620"/>
    <x v="4"/>
    <m/>
    <m/>
    <s v="Supplier"/>
    <m/>
    <x v="768"/>
    <s v="Sino_Japan_Purchase_Agreement_2008.pdf"/>
    <s v=".pdf"/>
    <d v="2014-03-19T00:00:00"/>
    <s v="as\afok"/>
    <m/>
    <m/>
    <s v="37D6 - Within 60 days Due net on posting date 37D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n v="1"/>
    <m/>
    <m/>
    <n v="1"/>
    <m/>
    <m/>
    <m/>
    <s v="CP"/>
    <m/>
    <m/>
    <s v="CP "/>
    <x v="0"/>
    <x v="1"/>
    <m/>
    <x v="26"/>
  </r>
  <r>
    <n v="638"/>
    <x v="211"/>
    <x v="211"/>
    <x v="198"/>
    <x v="1"/>
    <x v="13"/>
    <n v="621"/>
    <x v="5"/>
    <m/>
    <m/>
    <s v="Supplier"/>
    <m/>
    <x v="768"/>
    <s v="Sino_Japan_Purchase_Agreement_2008.pdf"/>
    <s v=".pdf"/>
    <d v="2014-03-19T00:00:00"/>
    <s v="as\afok"/>
    <m/>
    <s v="FHA 00 014 ind.07"/>
    <m/>
    <m/>
    <m/>
    <n v="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n v="1"/>
    <m/>
    <n v="1"/>
    <m/>
    <m/>
    <m/>
    <s v="CP"/>
    <m/>
    <m/>
    <s v="CP "/>
    <x v="0"/>
    <x v="1"/>
    <m/>
    <x v="26"/>
  </r>
  <r>
    <n v="2874"/>
    <x v="211"/>
    <x v="211"/>
    <x v="198"/>
    <x v="1"/>
    <x v="13"/>
    <n v="2613"/>
    <x v="6"/>
    <m/>
    <m/>
    <s v="Supplier"/>
    <m/>
    <x v="498"/>
    <s v="Rifda_SupplyChainAppendix_V10_15Apr2014.Pdf"/>
    <s v=".pdf"/>
    <d v="2014-04-25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n v="1"/>
    <n v="1"/>
    <n v="1"/>
    <m/>
    <m/>
    <s v="CP"/>
    <m/>
    <m/>
    <s v="CP "/>
    <x v="0"/>
    <x v="1"/>
    <m/>
    <x v="26"/>
  </r>
  <r>
    <n v="633"/>
    <x v="211"/>
    <x v="211"/>
    <x v="198"/>
    <x v="1"/>
    <x v="13"/>
    <n v="616"/>
    <x v="13"/>
    <m/>
    <m/>
    <s v="Supplier"/>
    <d v="2009-09-14T00:00:00"/>
    <x v="769"/>
    <s v="Sino_Japan_ISO14001_2009.tif"/>
    <s v=".tif"/>
    <d v="2014-03-1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26"/>
  </r>
  <r>
    <n v="632"/>
    <x v="211"/>
    <x v="211"/>
    <x v="198"/>
    <x v="1"/>
    <x v="13"/>
    <n v="615"/>
    <x v="8"/>
    <m/>
    <m/>
    <s v="Supplier"/>
    <m/>
    <x v="264"/>
    <s v="Sino_Japan_Responsible_Purchasing_Charter_10Aug12.pdf"/>
    <s v=".pdf"/>
    <d v="2014-03-1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26"/>
  </r>
  <r>
    <n v="630"/>
    <x v="211"/>
    <x v="211"/>
    <x v="198"/>
    <x v="1"/>
    <x v="13"/>
    <n v="613"/>
    <x v="1"/>
    <m/>
    <m/>
    <s v="Supplier"/>
    <m/>
    <x v="138"/>
    <s v="Sino_Japan_SEF_2013-1.xlsx"/>
    <s v=".xlsx"/>
    <d v="2014-03-19T00:00:00"/>
    <s v="as\afok"/>
    <m/>
    <s v="2013"/>
    <m/>
    <m/>
    <m/>
    <m/>
    <m/>
    <x v="0"/>
    <x v="0"/>
    <x v="0"/>
    <x v="19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26"/>
  </r>
  <r>
    <n v="635"/>
    <x v="211"/>
    <x v="211"/>
    <x v="198"/>
    <x v="1"/>
    <x v="13"/>
    <n v="618"/>
    <x v="1"/>
    <m/>
    <m/>
    <s v="Supplier"/>
    <m/>
    <x v="130"/>
    <s v="Sino Japan_SEF_2012 nov.xlsx"/>
    <s v=".xlsx"/>
    <d v="2014-03-19T00:00:00"/>
    <s v="as\afok"/>
    <m/>
    <s v="2012"/>
    <m/>
    <m/>
    <m/>
    <m/>
    <m/>
    <x v="0"/>
    <x v="0"/>
    <x v="0"/>
    <x v="6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26"/>
  </r>
  <r>
    <n v="636"/>
    <x v="211"/>
    <x v="211"/>
    <x v="198"/>
    <x v="1"/>
    <x v="13"/>
    <n v="619"/>
    <x v="1"/>
    <m/>
    <m/>
    <s v="Supplier"/>
    <m/>
    <x v="145"/>
    <s v="Sino Japan_SEF_2012.xlsx"/>
    <s v=".xlsx"/>
    <d v="2014-03-19T00:00:00"/>
    <s v="as\afok"/>
    <m/>
    <s v="2012"/>
    <m/>
    <m/>
    <m/>
    <m/>
    <m/>
    <x v="0"/>
    <x v="0"/>
    <x v="0"/>
    <x v="17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26"/>
  </r>
  <r>
    <n v="631"/>
    <x v="211"/>
    <x v="211"/>
    <x v="198"/>
    <x v="1"/>
    <x v="13"/>
    <n v="614"/>
    <x v="2"/>
    <m/>
    <m/>
    <s v="Supplier"/>
    <m/>
    <x v="507"/>
    <s v="Sino_Japan_SIF 2013.xlsx"/>
    <s v=".xlsx"/>
    <d v="2014-03-19T00:00:00"/>
    <s v="as\afok"/>
    <m/>
    <s v="2013"/>
    <m/>
    <m/>
    <m/>
    <m/>
    <m/>
    <x v="0"/>
    <x v="0"/>
    <x v="0"/>
    <x v="0"/>
    <x v="2"/>
    <x v="37"/>
    <x v="41"/>
    <x v="111"/>
    <x v="153"/>
    <x v="145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2"/>
    <x v="1"/>
    <m/>
    <x v="26"/>
  </r>
  <r>
    <n v="634"/>
    <x v="211"/>
    <x v="211"/>
    <x v="198"/>
    <x v="1"/>
    <x v="13"/>
    <n v="617"/>
    <x v="3"/>
    <m/>
    <m/>
    <s v="Supplier"/>
    <m/>
    <x v="75"/>
    <s v="Sino_Japan_SPR_OCT2012.pptx"/>
    <s v=".pptx"/>
    <d v="2014-03-19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26"/>
  </r>
  <r>
    <n v="889"/>
    <x v="212"/>
    <x v="212"/>
    <x v="199"/>
    <x v="1"/>
    <x v="1"/>
    <n v="867"/>
    <x v="5"/>
    <m/>
    <m/>
    <s v="Supplier"/>
    <m/>
    <x v="84"/>
    <s v="Smart_Electric_Motor_Quality Appendix_20_Aug_2012.pdf"/>
    <s v=".pdf"/>
    <d v="2014-03-21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n v="1"/>
    <m/>
    <n v="0"/>
    <m/>
    <m/>
    <m/>
    <s v="CP"/>
    <m/>
    <m/>
    <s v="CP "/>
    <x v="0"/>
    <x v="1"/>
    <m/>
    <x v="41"/>
  </r>
  <r>
    <n v="890"/>
    <x v="212"/>
    <x v="212"/>
    <x v="199"/>
    <x v="1"/>
    <x v="1"/>
    <n v="868"/>
    <x v="9"/>
    <m/>
    <m/>
    <s v="Supplier"/>
    <m/>
    <x v="241"/>
    <s v="Letter of confidentiality_Smart Electric_21Mar2011.pdf"/>
    <s v=".pdf"/>
    <d v="2014-03-2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0"/>
    <m/>
    <m/>
    <m/>
    <s v="CP"/>
    <m/>
    <m/>
    <s v="CP "/>
    <x v="0"/>
    <x v="1"/>
    <m/>
    <x v="41"/>
  </r>
  <r>
    <n v="891"/>
    <x v="212"/>
    <x v="212"/>
    <x v="199"/>
    <x v="1"/>
    <x v="1"/>
    <n v="869"/>
    <x v="8"/>
    <m/>
    <m/>
    <s v="Supplier"/>
    <m/>
    <x v="84"/>
    <s v="Smart_Motor_Responsible_Purchasing_Charter_20Aug12.pdf"/>
    <s v=".pdf"/>
    <d v="2014-03-2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0"/>
    <m/>
    <m/>
    <m/>
    <s v="CP"/>
    <m/>
    <m/>
    <s v="CP "/>
    <x v="0"/>
    <x v="1"/>
    <m/>
    <x v="41"/>
  </r>
  <r>
    <n v="893"/>
    <x v="212"/>
    <x v="212"/>
    <x v="199"/>
    <x v="1"/>
    <x v="1"/>
    <n v="871"/>
    <x v="1"/>
    <m/>
    <m/>
    <s v="Supplier"/>
    <m/>
    <x v="10"/>
    <s v="Smart Motor_SEF_2012.xlsx"/>
    <s v=".xlsx"/>
    <d v="2014-03-21T00:00:00"/>
    <s v="as\afok"/>
    <m/>
    <s v="2012"/>
    <m/>
    <m/>
    <m/>
    <m/>
    <m/>
    <x v="0"/>
    <x v="0"/>
    <x v="0"/>
    <x v="26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0"/>
    <m/>
    <n v="1"/>
    <m/>
    <s v="CP"/>
    <m/>
    <m/>
    <s v="CP "/>
    <x v="0"/>
    <x v="1"/>
    <m/>
    <x v="41"/>
  </r>
  <r>
    <n v="888"/>
    <x v="212"/>
    <x v="212"/>
    <x v="199"/>
    <x v="1"/>
    <x v="1"/>
    <n v="866"/>
    <x v="1"/>
    <m/>
    <m/>
    <s v="Supplier"/>
    <m/>
    <x v="9"/>
    <s v="Smart SEF 2013 -Manufacturer-20130601-75.xlsx"/>
    <s v=".xlsx"/>
    <d v="2014-03-21T00:00:00"/>
    <s v="as\afok"/>
    <m/>
    <s v="2013"/>
    <m/>
    <m/>
    <m/>
    <m/>
    <m/>
    <x v="0"/>
    <x v="0"/>
    <x v="0"/>
    <x v="10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0"/>
    <m/>
    <m/>
    <m/>
    <s v="CP"/>
    <m/>
    <m/>
    <s v="CP "/>
    <x v="0"/>
    <x v="1"/>
    <m/>
    <x v="41"/>
  </r>
  <r>
    <n v="892"/>
    <x v="212"/>
    <x v="212"/>
    <x v="199"/>
    <x v="1"/>
    <x v="1"/>
    <n v="870"/>
    <x v="3"/>
    <m/>
    <m/>
    <s v="Supplier"/>
    <m/>
    <x v="130"/>
    <s v="SMART_MOTOR_SPR_2012.pptx"/>
    <s v=".pptx"/>
    <d v="2014-03-21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0"/>
    <m/>
    <m/>
    <m/>
    <s v="CP"/>
    <m/>
    <m/>
    <s v="CP "/>
    <x v="0"/>
    <x v="1"/>
    <m/>
    <x v="41"/>
  </r>
  <r>
    <n v="887"/>
    <x v="212"/>
    <x v="212"/>
    <x v="199"/>
    <x v="1"/>
    <x v="1"/>
    <n v="865"/>
    <x v="3"/>
    <m/>
    <m/>
    <s v="Supplier"/>
    <m/>
    <x v="13"/>
    <s v="SMART_MOTOR_SPR_2013.pptx"/>
    <s v=".pptx"/>
    <d v="2014-03-21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0"/>
    <m/>
    <m/>
    <m/>
    <s v="CP"/>
    <m/>
    <m/>
    <s v="CP "/>
    <x v="0"/>
    <x v="1"/>
    <m/>
    <x v="41"/>
  </r>
  <r>
    <n v="1642"/>
    <x v="213"/>
    <x v="213"/>
    <x v="200"/>
    <x v="3"/>
    <x v="4"/>
    <n v="1603"/>
    <x v="4"/>
    <m/>
    <m/>
    <s v="Supplier"/>
    <m/>
    <x v="770"/>
    <s v="Smart_tech FHA00016 ind.07 20091106.pdf"/>
    <s v=".pdf"/>
    <d v="2014-04-07T00:00:00"/>
    <s v="as\afok"/>
    <m/>
    <s v="FHA 00 016 ind.0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0"/>
    <m/>
    <n v="1"/>
    <s v="FP"/>
    <m/>
    <s v="SP"/>
    <s v="MOULD"/>
    <s v="FP SP MOULD "/>
    <x v="0"/>
    <x v="1"/>
    <m/>
    <x v="26"/>
  </r>
  <r>
    <n v="1639"/>
    <x v="213"/>
    <x v="213"/>
    <x v="200"/>
    <x v="3"/>
    <x v="4"/>
    <n v="1600"/>
    <x v="7"/>
    <m/>
    <m/>
    <s v="Supplier"/>
    <m/>
    <x v="771"/>
    <s v="Smart_tech_Env_Declaration_07Jun2010.pdf"/>
    <s v=".pdf"/>
    <d v="2014-04-07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6"/>
  </r>
  <r>
    <n v="1638"/>
    <x v="213"/>
    <x v="213"/>
    <x v="200"/>
    <x v="3"/>
    <x v="4"/>
    <n v="1599"/>
    <x v="11"/>
    <m/>
    <m/>
    <s v="Supplier"/>
    <m/>
    <x v="772"/>
    <s v="SMARTECH -  WORLDWIDE EXCLUSIVITY 5Oct10.XLS"/>
    <s v=".xls"/>
    <d v="2014-04-07T00:00:00"/>
    <s v="as\afok"/>
    <s v="WORLDWIDE EXCLUSIVITY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6"/>
  </r>
  <r>
    <n v="1640"/>
    <x v="213"/>
    <x v="213"/>
    <x v="200"/>
    <x v="3"/>
    <x v="4"/>
    <n v="1601"/>
    <x v="0"/>
    <m/>
    <m/>
    <s v="Supplier"/>
    <m/>
    <x v="477"/>
    <s v="Smart_tech FRD00069 ind.04 20090427.pdf"/>
    <s v=".pdf"/>
    <d v="2014-04-07T00:00:00"/>
    <s v="as\afok"/>
    <m/>
    <s v="FRD 00 069 ind.04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6"/>
  </r>
  <r>
    <n v="1637"/>
    <x v="213"/>
    <x v="213"/>
    <x v="200"/>
    <x v="3"/>
    <x v="4"/>
    <n v="1598"/>
    <x v="1"/>
    <m/>
    <m/>
    <s v="Supplier"/>
    <m/>
    <x v="72"/>
    <s v="SEF_Smartech_201206.xlsx"/>
    <s v=".xlsx"/>
    <d v="2014-04-07T00:00:00"/>
    <s v="as\afok"/>
    <m/>
    <s v="2012"/>
    <m/>
    <m/>
    <m/>
    <m/>
    <m/>
    <x v="0"/>
    <x v="0"/>
    <x v="0"/>
    <x v="46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6"/>
  </r>
  <r>
    <n v="1641"/>
    <x v="213"/>
    <x v="213"/>
    <x v="200"/>
    <x v="3"/>
    <x v="4"/>
    <n v="1602"/>
    <x v="2"/>
    <m/>
    <m/>
    <s v="Supplier"/>
    <m/>
    <x v="761"/>
    <s v="Smart_Tech_SIF_2010.xls"/>
    <s v=".xls"/>
    <d v="2014-04-07T00:00:00"/>
    <s v="as\afok"/>
    <m/>
    <s v="2010"/>
    <m/>
    <m/>
    <m/>
    <m/>
    <m/>
    <x v="0"/>
    <x v="0"/>
    <x v="0"/>
    <x v="0"/>
    <x v="4"/>
    <x v="82"/>
    <x v="186"/>
    <x v="57"/>
    <x v="0"/>
    <x v="0"/>
    <x v="0"/>
    <x v="90"/>
    <x v="0"/>
    <x v="0"/>
    <x v="0"/>
    <m/>
    <x v="0"/>
    <x v="0"/>
    <x v="0"/>
    <x v="0"/>
    <m/>
    <m/>
    <m/>
    <n v="0"/>
    <m/>
    <m/>
    <s v="FP"/>
    <m/>
    <s v="SP"/>
    <s v="MOULD"/>
    <s v="FP SP MOULD "/>
    <x v="3"/>
    <x v="1"/>
    <m/>
    <x v="26"/>
  </r>
  <r>
    <n v="1636"/>
    <x v="213"/>
    <x v="213"/>
    <x v="200"/>
    <x v="3"/>
    <x v="4"/>
    <n v="1597"/>
    <x v="3"/>
    <m/>
    <m/>
    <s v="Supplier"/>
    <m/>
    <x v="369"/>
    <s v="Smart Tech_SPR_201011.PPT"/>
    <s v=".ppt"/>
    <d v="2014-04-07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6"/>
  </r>
  <r>
    <n v="2583"/>
    <x v="214"/>
    <x v="214"/>
    <x v="201"/>
    <x v="0"/>
    <x v="18"/>
    <n v="2432"/>
    <x v="4"/>
    <m/>
    <m/>
    <s v="Supplier"/>
    <m/>
    <x v="333"/>
    <s v="Specialife FHA00016 ind. 07 20081020.pdf"/>
    <s v=".pdf"/>
    <d v="2014-04-23T00:00:00"/>
    <s v="as\afok"/>
    <m/>
    <s v="FHA 00 016 ind.0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n v="1"/>
    <m/>
    <m/>
    <n v="0"/>
    <m/>
    <n v="1"/>
    <s v="FP"/>
    <s v="CP"/>
    <s v="SP"/>
    <s v="MOULD"/>
    <s v="FP CP SP MOULD Both"/>
    <x v="0"/>
    <x v="1"/>
    <m/>
    <x v="10"/>
  </r>
  <r>
    <n v="2580"/>
    <x v="214"/>
    <x v="214"/>
    <x v="201"/>
    <x v="0"/>
    <x v="18"/>
    <n v="2429"/>
    <x v="11"/>
    <m/>
    <m/>
    <s v="Product / Project"/>
    <m/>
    <x v="773"/>
    <s v="Specialife Exclusivity BG490 10Aug10.pdf"/>
    <s v=".pdf"/>
    <d v="2014-04-23T00:00:00"/>
    <s v="as\afok"/>
    <m/>
    <m/>
    <m/>
    <m/>
    <m/>
    <m/>
    <s v="BG490"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0"/>
    <m/>
    <m/>
    <s v="FP"/>
    <s v="CP"/>
    <s v="SP"/>
    <s v="MOULD"/>
    <s v="FP CP SP MOULD Both"/>
    <x v="0"/>
    <x v="1"/>
    <m/>
    <x v="10"/>
  </r>
  <r>
    <n v="2579"/>
    <x v="214"/>
    <x v="214"/>
    <x v="201"/>
    <x v="0"/>
    <x v="18"/>
    <n v="2428"/>
    <x v="12"/>
    <m/>
    <m/>
    <s v="Supplier"/>
    <m/>
    <x v="773"/>
    <s v="Specialife - IP Agreement BG490 10Aug10.pdf"/>
    <s v=".pdf"/>
    <d v="2014-04-2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0"/>
    <m/>
    <m/>
    <s v="FP"/>
    <s v="CP"/>
    <s v="SP"/>
    <s v="MOULD"/>
    <s v="FP CP SP MOULD Both"/>
    <x v="0"/>
    <x v="1"/>
    <m/>
    <x v="10"/>
  </r>
  <r>
    <n v="2582"/>
    <x v="214"/>
    <x v="214"/>
    <x v="201"/>
    <x v="0"/>
    <x v="18"/>
    <n v="2431"/>
    <x v="13"/>
    <m/>
    <m/>
    <s v="Supplier"/>
    <d v="2013-02-04T00:00:00"/>
    <x v="774"/>
    <s v="Specialife_ISO14001_04Feb2013.pdf"/>
    <s v=".pdf"/>
    <d v="2014-04-2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0"/>
    <m/>
    <m/>
    <s v="FP"/>
    <s v="CP"/>
    <s v="SP"/>
    <s v="MOULD"/>
    <s v="FP CP SP MOULD Both"/>
    <x v="0"/>
    <x v="1"/>
    <m/>
    <x v="10"/>
  </r>
  <r>
    <n v="2578"/>
    <x v="214"/>
    <x v="214"/>
    <x v="201"/>
    <x v="0"/>
    <x v="18"/>
    <n v="2427"/>
    <x v="9"/>
    <m/>
    <m/>
    <s v="Supplier"/>
    <m/>
    <x v="775"/>
    <s v="Specialife LOC 16Dec10.pdf"/>
    <s v=".pdf"/>
    <d v="2014-04-2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0"/>
    <m/>
    <m/>
    <s v="FP"/>
    <s v="CP"/>
    <s v="SP"/>
    <s v="MOULD"/>
    <s v="FP CP SP MOULD Both"/>
    <x v="0"/>
    <x v="1"/>
    <m/>
    <x v="10"/>
  </r>
  <r>
    <n v="2577"/>
    <x v="214"/>
    <x v="214"/>
    <x v="201"/>
    <x v="0"/>
    <x v="18"/>
    <n v="2426"/>
    <x v="8"/>
    <m/>
    <m/>
    <s v="Supplier"/>
    <m/>
    <x v="264"/>
    <s v="Specialife_Responsible Purchasing Charter_10Aug12.pdf"/>
    <s v=".pdf"/>
    <d v="2014-04-2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0"/>
    <m/>
    <m/>
    <s v="FP"/>
    <s v="CP"/>
    <s v="SP"/>
    <s v="MOULD"/>
    <s v="FP CP SP MOULD Both"/>
    <x v="0"/>
    <x v="1"/>
    <m/>
    <x v="10"/>
  </r>
  <r>
    <n v="2574"/>
    <x v="214"/>
    <x v="214"/>
    <x v="201"/>
    <x v="0"/>
    <x v="18"/>
    <n v="2423"/>
    <x v="1"/>
    <m/>
    <m/>
    <s v="Supplier"/>
    <m/>
    <x v="397"/>
    <s v="SEF Specialife 2013.XLSX"/>
    <s v=".xlsx"/>
    <d v="2014-04-23T00:00:00"/>
    <s v="as\afok"/>
    <m/>
    <s v="2013"/>
    <m/>
    <m/>
    <m/>
    <m/>
    <m/>
    <x v="0"/>
    <x v="0"/>
    <x v="0"/>
    <x v="15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0"/>
    <m/>
    <m/>
    <s v="FP"/>
    <s v="CP"/>
    <s v="SP"/>
    <s v="MOULD"/>
    <s v="FP CP SP MOULD Both"/>
    <x v="0"/>
    <x v="1"/>
    <m/>
    <x v="10"/>
  </r>
  <r>
    <n v="2575"/>
    <x v="214"/>
    <x v="214"/>
    <x v="201"/>
    <x v="0"/>
    <x v="18"/>
    <n v="2424"/>
    <x v="1"/>
    <m/>
    <m/>
    <s v="Supplier"/>
    <m/>
    <x v="47"/>
    <s v="SEF - Specialife 2012.xlsx"/>
    <s v=".xlsx"/>
    <d v="2014-04-23T00:00:00"/>
    <s v="as\afok"/>
    <m/>
    <s v="2012"/>
    <m/>
    <m/>
    <m/>
    <m/>
    <m/>
    <x v="0"/>
    <x v="0"/>
    <x v="0"/>
    <x v="15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0"/>
    <m/>
    <m/>
    <s v="FP"/>
    <s v="CP"/>
    <s v="SP"/>
    <s v="MOULD"/>
    <s v="FP CP SP MOULD Both"/>
    <x v="0"/>
    <x v="1"/>
    <m/>
    <x v="10"/>
  </r>
  <r>
    <n v="2581"/>
    <x v="214"/>
    <x v="214"/>
    <x v="201"/>
    <x v="0"/>
    <x v="18"/>
    <n v="2430"/>
    <x v="2"/>
    <m/>
    <m/>
    <s v="Supplier"/>
    <m/>
    <x v="259"/>
    <s v="Specialife_SIF_2010.xls"/>
    <s v=".xls"/>
    <d v="2014-04-23T00:00:00"/>
    <s v="as\afok"/>
    <m/>
    <s v="2010"/>
    <m/>
    <m/>
    <m/>
    <m/>
    <m/>
    <x v="0"/>
    <x v="0"/>
    <x v="0"/>
    <x v="0"/>
    <x v="4"/>
    <x v="56"/>
    <x v="187"/>
    <x v="79"/>
    <x v="0"/>
    <x v="0"/>
    <x v="0"/>
    <x v="5"/>
    <x v="0"/>
    <x v="0"/>
    <x v="0"/>
    <s v="FP panel"/>
    <x v="1"/>
    <x v="2"/>
    <x v="0"/>
    <x v="0"/>
    <m/>
    <m/>
    <m/>
    <n v="0"/>
    <m/>
    <m/>
    <s v="FP"/>
    <s v="CP"/>
    <s v="SP"/>
    <s v="MOULD"/>
    <s v="FP CP SP MOULD Both"/>
    <x v="1"/>
    <x v="1"/>
    <m/>
    <x v="10"/>
  </r>
  <r>
    <n v="2576"/>
    <x v="214"/>
    <x v="214"/>
    <x v="201"/>
    <x v="0"/>
    <x v="18"/>
    <n v="2425"/>
    <x v="3"/>
    <m/>
    <m/>
    <s v="Supplier"/>
    <m/>
    <x v="153"/>
    <s v="Specialife - SPR 2012.pptx"/>
    <s v=".pptx"/>
    <d v="2014-04-23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0"/>
    <m/>
    <m/>
    <s v="FP"/>
    <s v="CP"/>
    <s v="SP"/>
    <s v="MOULD"/>
    <s v="FP CP SP MOULD Both"/>
    <x v="0"/>
    <x v="1"/>
    <m/>
    <x v="10"/>
  </r>
  <r>
    <n v="2677"/>
    <x v="215"/>
    <x v="215"/>
    <x v="202"/>
    <x v="0"/>
    <x v="0"/>
    <n v="2520"/>
    <x v="7"/>
    <m/>
    <m/>
    <s v="Supplier"/>
    <m/>
    <x v="113"/>
    <s v="Sourcing Solutions-  Group SEB Evvironmental declaration for Suppliers.pdf"/>
    <s v=".pdf"/>
    <d v="2014-04-24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n v="1"/>
    <s v="FP"/>
    <m/>
    <m/>
    <m/>
    <s v="FP "/>
    <x v="0"/>
    <x v="1"/>
    <m/>
    <x v="0"/>
  </r>
  <r>
    <n v="2674"/>
    <x v="215"/>
    <x v="215"/>
    <x v="202"/>
    <x v="0"/>
    <x v="0"/>
    <n v="2517"/>
    <x v="9"/>
    <m/>
    <m/>
    <s v="Supplier"/>
    <m/>
    <x v="323"/>
    <s v="Sourcing Solutions _Letter of confidentiality  2013.pdf"/>
    <s v=".pdf"/>
    <d v="2014-04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m/>
    <s v="FP"/>
    <m/>
    <m/>
    <m/>
    <s v="FP "/>
    <x v="0"/>
    <x v="1"/>
    <m/>
    <x v="0"/>
  </r>
  <r>
    <n v="2675"/>
    <x v="215"/>
    <x v="215"/>
    <x v="202"/>
    <x v="0"/>
    <x v="0"/>
    <n v="2518"/>
    <x v="8"/>
    <m/>
    <m/>
    <s v="Supplier"/>
    <m/>
    <x v="190"/>
    <s v="Sourcing Solutions - Responsible Purchasing Charter  29 MAY 13.pdf"/>
    <s v=".pdf"/>
    <d v="2014-04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m/>
    <s v="FP"/>
    <m/>
    <m/>
    <m/>
    <s v="FP "/>
    <x v="0"/>
    <x v="1"/>
    <m/>
    <x v="0"/>
  </r>
  <r>
    <n v="2673"/>
    <x v="215"/>
    <x v="215"/>
    <x v="202"/>
    <x v="0"/>
    <x v="0"/>
    <n v="2516"/>
    <x v="1"/>
    <m/>
    <m/>
    <s v="Supplier"/>
    <m/>
    <x v="267"/>
    <s v="SEF - Sourcing Solutions  2013.xlsx"/>
    <s v=".xlsx"/>
    <d v="2014-04-24T00:00:00"/>
    <s v="as\afok"/>
    <m/>
    <s v="2013"/>
    <m/>
    <m/>
    <m/>
    <m/>
    <m/>
    <x v="0"/>
    <x v="0"/>
    <x v="0"/>
    <x v="2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m/>
    <s v="FP"/>
    <m/>
    <m/>
    <m/>
    <s v="FP "/>
    <x v="0"/>
    <x v="1"/>
    <m/>
    <x v="0"/>
  </r>
  <r>
    <n v="2676"/>
    <x v="215"/>
    <x v="215"/>
    <x v="202"/>
    <x v="0"/>
    <x v="0"/>
    <n v="2519"/>
    <x v="2"/>
    <n v="1"/>
    <m/>
    <s v="Supplier"/>
    <m/>
    <x v="429"/>
    <s v="Sourcing Solutions _ SIF 2013.xlsx"/>
    <s v=".xlsx"/>
    <d v="2014-04-24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m/>
    <s v="FP"/>
    <m/>
    <m/>
    <m/>
    <s v="FP "/>
    <x v="1"/>
    <x v="1"/>
    <m/>
    <x v="0"/>
  </r>
  <r>
    <n v="1894"/>
    <x v="216"/>
    <x v="216"/>
    <x v="203"/>
    <x v="4"/>
    <x v="17"/>
    <n v="1850"/>
    <x v="4"/>
    <m/>
    <m/>
    <s v="Supplier"/>
    <m/>
    <x v="603"/>
    <s v="Success_Purchase_Agreement_2008.pdf"/>
    <s v=".pdf"/>
    <d v="2014-04-09T00:00:00"/>
    <s v="as\afok"/>
    <m/>
    <s v="V5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n v="1"/>
    <m/>
    <m/>
    <n v="1"/>
    <m/>
    <m/>
    <m/>
    <s v="CP"/>
    <m/>
    <m/>
    <s v="CP "/>
    <x v="0"/>
    <x v="1"/>
    <m/>
    <x v="31"/>
  </r>
  <r>
    <n v="1897"/>
    <x v="216"/>
    <x v="216"/>
    <x v="203"/>
    <x v="4"/>
    <x v="17"/>
    <n v="1853"/>
    <x v="4"/>
    <m/>
    <m/>
    <s v="Supplier"/>
    <m/>
    <x v="776"/>
    <s v="Success_Agreement_Sep2012.pdf"/>
    <s v=".pdf"/>
    <d v="2014-04-09T00:00:00"/>
    <s v="as\afok"/>
    <m/>
    <s v="V7"/>
    <s v="37E7 - 75 days end of month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n v="1"/>
    <m/>
    <m/>
    <n v="1"/>
    <m/>
    <m/>
    <m/>
    <s v="CP"/>
    <m/>
    <m/>
    <s v="CP "/>
    <x v="0"/>
    <x v="1"/>
    <m/>
    <x v="31"/>
  </r>
  <r>
    <n v="1904"/>
    <x v="216"/>
    <x v="216"/>
    <x v="203"/>
    <x v="4"/>
    <x v="17"/>
    <n v="1860"/>
    <x v="4"/>
    <m/>
    <m/>
    <s v="Supplier"/>
    <m/>
    <x v="336"/>
    <s v="Success_Agreement_Sep2012.pdf"/>
    <s v=".pdf"/>
    <d v="2014-04-10T00:00:00"/>
    <s v="as\afok"/>
    <m/>
    <s v="V7"/>
    <s v="37E7 - 75 days end of month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n v="1"/>
    <m/>
    <m/>
    <n v="1"/>
    <m/>
    <m/>
    <m/>
    <s v="CP"/>
    <m/>
    <m/>
    <s v="CP "/>
    <x v="0"/>
    <x v="1"/>
    <m/>
    <x v="31"/>
  </r>
  <r>
    <n v="1895"/>
    <x v="216"/>
    <x v="216"/>
    <x v="203"/>
    <x v="4"/>
    <x v="17"/>
    <n v="1851"/>
    <x v="5"/>
    <m/>
    <m/>
    <s v="Supplier"/>
    <m/>
    <x v="777"/>
    <s v="Success_Purchase_Agreement_2008.pdf"/>
    <s v=".pdf"/>
    <d v="2014-04-09T00:00:00"/>
    <s v="as\afok"/>
    <m/>
    <s v="FHA 00 014 ind.07"/>
    <m/>
    <m/>
    <m/>
    <n v="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n v="1"/>
    <m/>
    <n v="1"/>
    <m/>
    <m/>
    <m/>
    <s v="CP"/>
    <m/>
    <m/>
    <s v="CP "/>
    <x v="0"/>
    <x v="1"/>
    <m/>
    <x v="31"/>
  </r>
  <r>
    <n v="1906"/>
    <x v="216"/>
    <x v="216"/>
    <x v="203"/>
    <x v="4"/>
    <x v="17"/>
    <n v="1862"/>
    <x v="5"/>
    <m/>
    <m/>
    <s v="Supplier"/>
    <m/>
    <x v="149"/>
    <s v="Success_Agreement_Sep2012.pdf"/>
    <s v=".pdf"/>
    <d v="2014-04-10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n v="1"/>
    <m/>
    <n v="1"/>
    <m/>
    <m/>
    <m/>
    <s v="CP"/>
    <m/>
    <m/>
    <s v="CP "/>
    <x v="0"/>
    <x v="1"/>
    <m/>
    <x v="31"/>
  </r>
  <r>
    <n v="1898"/>
    <x v="216"/>
    <x v="216"/>
    <x v="203"/>
    <x v="4"/>
    <x v="17"/>
    <n v="1854"/>
    <x v="6"/>
    <m/>
    <m/>
    <s v="Supplier"/>
    <m/>
    <x v="181"/>
    <s v="supply_chain_appendix_V.10_Success_19Aug2013.pdf"/>
    <s v=".pdf"/>
    <d v="2014-04-10T00:00:00"/>
    <s v="as\afok"/>
    <m/>
    <s v="V10"/>
    <m/>
    <n v="28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n v="1"/>
    <n v="1"/>
    <m/>
    <m/>
    <m/>
    <s v="CP"/>
    <m/>
    <m/>
    <s v="CP "/>
    <x v="0"/>
    <x v="1"/>
    <m/>
    <x v="31"/>
  </r>
  <r>
    <n v="1907"/>
    <x v="216"/>
    <x v="216"/>
    <x v="203"/>
    <x v="4"/>
    <x v="17"/>
    <n v="1863"/>
    <x v="6"/>
    <m/>
    <m/>
    <s v="Supplier"/>
    <m/>
    <x v="299"/>
    <s v="Success_Agreement_Sep2012.pdf"/>
    <s v=".pdf"/>
    <d v="2014-04-10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n v="1"/>
    <n v="1"/>
    <m/>
    <m/>
    <m/>
    <s v="CP"/>
    <m/>
    <m/>
    <s v="CP "/>
    <x v="0"/>
    <x v="1"/>
    <m/>
    <x v="31"/>
  </r>
  <r>
    <n v="1908"/>
    <x v="216"/>
    <x v="216"/>
    <x v="203"/>
    <x v="4"/>
    <x v="17"/>
    <n v="1864"/>
    <x v="10"/>
    <m/>
    <m/>
    <s v="Supplier"/>
    <m/>
    <x v="336"/>
    <s v="Success_Agreement_Sep2012.pdf"/>
    <s v=".pdf"/>
    <d v="2014-04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n v="1"/>
    <m/>
    <m/>
    <s v="CP"/>
    <m/>
    <m/>
    <s v="CP "/>
    <x v="0"/>
    <x v="1"/>
    <m/>
    <x v="31"/>
  </r>
  <r>
    <n v="1905"/>
    <x v="216"/>
    <x v="216"/>
    <x v="203"/>
    <x v="4"/>
    <x v="17"/>
    <n v="1861"/>
    <x v="7"/>
    <m/>
    <m/>
    <s v="Supplier"/>
    <m/>
    <x v="336"/>
    <s v="Success_Agreement_Sep2012.pdf"/>
    <s v=".pdf"/>
    <d v="2014-04-10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31"/>
  </r>
  <r>
    <n v="1893"/>
    <x v="216"/>
    <x v="216"/>
    <x v="203"/>
    <x v="4"/>
    <x v="17"/>
    <n v="1849"/>
    <x v="7"/>
    <m/>
    <m/>
    <s v="Supplier"/>
    <m/>
    <x v="334"/>
    <s v="Success_Metal_Env_Declaration_1Apr2010.pdf"/>
    <s v=".pdf"/>
    <d v="2014-04-09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31"/>
  </r>
  <r>
    <n v="1903"/>
    <x v="216"/>
    <x v="216"/>
    <x v="203"/>
    <x v="4"/>
    <x v="17"/>
    <n v="1859"/>
    <x v="8"/>
    <m/>
    <m/>
    <s v="Supplier"/>
    <m/>
    <x v="264"/>
    <s v="Success_Responsible_Purchasing_Charter_10Aug12.pdf"/>
    <s v=".pdf"/>
    <d v="2014-04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31"/>
  </r>
  <r>
    <n v="1900"/>
    <x v="216"/>
    <x v="216"/>
    <x v="203"/>
    <x v="4"/>
    <x v="17"/>
    <n v="1856"/>
    <x v="1"/>
    <m/>
    <m/>
    <s v="Supplier"/>
    <m/>
    <x v="778"/>
    <s v="SEF-Success-20130415-72.xlsx"/>
    <s v=".xlsx"/>
    <d v="2014-04-10T00:00:00"/>
    <s v="as\afok"/>
    <m/>
    <s v="2013"/>
    <m/>
    <m/>
    <m/>
    <m/>
    <m/>
    <x v="0"/>
    <x v="0"/>
    <x v="0"/>
    <x v="11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31"/>
  </r>
  <r>
    <n v="1902"/>
    <x v="216"/>
    <x v="216"/>
    <x v="203"/>
    <x v="4"/>
    <x v="17"/>
    <n v="1858"/>
    <x v="1"/>
    <m/>
    <m/>
    <s v="Supplier"/>
    <m/>
    <x v="586"/>
    <s v="SEF-Success-20121126-82.xlsx"/>
    <s v=".xlsx"/>
    <d v="2014-04-10T00:00:00"/>
    <s v="as\afok"/>
    <m/>
    <s v="2012"/>
    <m/>
    <m/>
    <m/>
    <m/>
    <m/>
    <x v="0"/>
    <x v="0"/>
    <x v="0"/>
    <x v="17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31"/>
  </r>
  <r>
    <n v="1896"/>
    <x v="216"/>
    <x v="216"/>
    <x v="203"/>
    <x v="4"/>
    <x v="17"/>
    <n v="1852"/>
    <x v="1"/>
    <m/>
    <m/>
    <s v="Supplier"/>
    <m/>
    <x v="288"/>
    <s v="SEF-Success-28AUG12-81.xlsx"/>
    <s v=".xlsx"/>
    <d v="2014-04-09T00:00:00"/>
    <s v="as\afok"/>
    <m/>
    <s v="2012"/>
    <m/>
    <m/>
    <m/>
    <m/>
    <m/>
    <x v="0"/>
    <x v="0"/>
    <x v="0"/>
    <x v="25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31"/>
  </r>
  <r>
    <n v="1899"/>
    <x v="216"/>
    <x v="216"/>
    <x v="203"/>
    <x v="4"/>
    <x v="17"/>
    <n v="1855"/>
    <x v="3"/>
    <m/>
    <m/>
    <s v="Supplier"/>
    <m/>
    <x v="515"/>
    <s v="_SPR-Success-20130417.pptx"/>
    <s v=".pptx"/>
    <d v="2014-04-10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31"/>
  </r>
  <r>
    <n v="1901"/>
    <x v="216"/>
    <x v="216"/>
    <x v="203"/>
    <x v="4"/>
    <x v="17"/>
    <n v="1857"/>
    <x v="3"/>
    <m/>
    <m/>
    <s v="Supplier"/>
    <m/>
    <x v="288"/>
    <s v="_SPR-Success-20120828.ppt"/>
    <s v=".ppt"/>
    <d v="2014-04-10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31"/>
  </r>
  <r>
    <n v="2796"/>
    <x v="217"/>
    <x v="217"/>
    <x v="204"/>
    <x v="3"/>
    <x v="19"/>
    <n v="31"/>
    <x v="4"/>
    <m/>
    <m/>
    <s v="Supplier"/>
    <d v="2015-12-31T00:00:00"/>
    <x v="779"/>
    <s v="SUN CUPID_General Agreement ind.10 (except appendix 7) 2012-11-08.pdf"/>
    <s v=".pdf"/>
    <d v="2014-03-04T00:00:00"/>
    <s v="as\afok"/>
    <m/>
    <s v="FHA00016 ind.10"/>
    <s v="37D4 - Within 45 days due net on posting date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n v="1"/>
    <m/>
    <s v="FP"/>
    <m/>
    <m/>
    <m/>
    <s v="FP "/>
    <x v="0"/>
    <x v="1"/>
    <m/>
    <x v="17"/>
  </r>
  <r>
    <n v="2795"/>
    <x v="218"/>
    <x v="218"/>
    <x v="204"/>
    <x v="3"/>
    <x v="19"/>
    <n v="31"/>
    <x v="4"/>
    <m/>
    <m/>
    <s v="Supplier"/>
    <d v="2015-12-31T00:00:00"/>
    <x v="779"/>
    <s v="SUN CUPID_General Agreement ind.10 (except appendix 7) 2012-11-08.pdf"/>
    <s v=".pdf"/>
    <d v="2014-03-04T00:00:00"/>
    <s v="as\afok"/>
    <m/>
    <s v="FHA00016 ind.10"/>
    <s v="37D4 - Within 45 days due net on posting date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m/>
    <s v="SP"/>
    <s v="MOULD"/>
    <s v="FP SP MOULD "/>
    <x v="0"/>
    <x v="1"/>
    <m/>
    <x v="53"/>
  </r>
  <r>
    <n v="2777"/>
    <x v="218"/>
    <x v="218"/>
    <x v="204"/>
    <x v="3"/>
    <x v="19"/>
    <n v="403"/>
    <x v="5"/>
    <m/>
    <m/>
    <s v="Supplier"/>
    <m/>
    <x v="780"/>
    <s v="Sun Cupid quality appendix - Completed.pdf"/>
    <s v=".pdf"/>
    <d v="2014-03-17T00:00:00"/>
    <s v="as\afok"/>
    <m/>
    <m/>
    <m/>
    <m/>
    <m/>
    <n v="20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m/>
    <s v="SP"/>
    <s v="MOULD"/>
    <s v="FP SP MOULD "/>
    <x v="0"/>
    <x v="1"/>
    <m/>
    <x v="53"/>
  </r>
  <r>
    <n v="2778"/>
    <x v="217"/>
    <x v="217"/>
    <x v="204"/>
    <x v="3"/>
    <x v="19"/>
    <n v="403"/>
    <x v="5"/>
    <m/>
    <m/>
    <s v="Supplier"/>
    <m/>
    <x v="780"/>
    <s v="Sun Cupid quality appendix - Completed.pdf"/>
    <s v=".pdf"/>
    <d v="2014-03-17T00:00:00"/>
    <s v="as\afok"/>
    <m/>
    <m/>
    <m/>
    <m/>
    <m/>
    <n v="20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m/>
    <m/>
    <m/>
    <s v="FP "/>
    <x v="0"/>
    <x v="1"/>
    <m/>
    <x v="17"/>
  </r>
  <r>
    <n v="2765"/>
    <x v="218"/>
    <x v="218"/>
    <x v="204"/>
    <x v="3"/>
    <x v="19"/>
    <n v="408"/>
    <x v="6"/>
    <m/>
    <m/>
    <s v="Supplier"/>
    <m/>
    <x v="85"/>
    <s v="SUN CUPID_General Agreement ind.10 (except appendix 7) 2012-11-08.pdf"/>
    <s v=".pdf"/>
    <d v="2014-03-17T00:00:00"/>
    <s v="as\afok"/>
    <m/>
    <m/>
    <m/>
    <n v="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m/>
    <s v="SP"/>
    <s v="MOULD"/>
    <s v="FP SP MOULD "/>
    <x v="0"/>
    <x v="1"/>
    <m/>
    <x v="53"/>
  </r>
  <r>
    <n v="2766"/>
    <x v="217"/>
    <x v="217"/>
    <x v="204"/>
    <x v="3"/>
    <x v="19"/>
    <n v="408"/>
    <x v="6"/>
    <m/>
    <m/>
    <s v="Supplier"/>
    <m/>
    <x v="85"/>
    <s v="SUN CUPID_General Agreement ind.10 (except appendix 7) 2012-11-08.pdf"/>
    <s v=".pdf"/>
    <d v="2014-03-17T00:00:00"/>
    <s v="as\afok"/>
    <m/>
    <m/>
    <m/>
    <n v="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m/>
    <m/>
    <m/>
    <s v="FP "/>
    <x v="0"/>
    <x v="1"/>
    <m/>
    <x v="17"/>
  </r>
  <r>
    <n v="2791"/>
    <x v="218"/>
    <x v="218"/>
    <x v="204"/>
    <x v="3"/>
    <x v="19"/>
    <n v="573"/>
    <x v="10"/>
    <m/>
    <m/>
    <s v="Supplier"/>
    <m/>
    <x v="595"/>
    <s v="SUN CUPID_General Agreement ind.10 (except appendix 7) 2012-11-08.pdf"/>
    <s v=".pdf"/>
    <d v="2014-03-1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53"/>
  </r>
  <r>
    <n v="2792"/>
    <x v="217"/>
    <x v="217"/>
    <x v="204"/>
    <x v="3"/>
    <x v="19"/>
    <n v="573"/>
    <x v="10"/>
    <m/>
    <m/>
    <s v="Supplier"/>
    <m/>
    <x v="595"/>
    <s v="SUN CUPID_General Agreement ind.10 (except appendix 7) 2012-11-08.pdf"/>
    <s v=".pdf"/>
    <d v="2014-03-1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m/>
    <m/>
    <s v="FP "/>
    <x v="0"/>
    <x v="1"/>
    <m/>
    <x v="17"/>
  </r>
  <r>
    <n v="2779"/>
    <x v="218"/>
    <x v="218"/>
    <x v="204"/>
    <x v="3"/>
    <x v="19"/>
    <n v="409"/>
    <x v="7"/>
    <m/>
    <m/>
    <s v="Supplier"/>
    <m/>
    <x v="159"/>
    <s v="SUN CUPID_General Agreement ind.10 (except appendix 7) 2012-11-08.pdf"/>
    <s v=".pdf"/>
    <d v="2014-03-17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53"/>
  </r>
  <r>
    <n v="2780"/>
    <x v="217"/>
    <x v="217"/>
    <x v="204"/>
    <x v="3"/>
    <x v="19"/>
    <n v="409"/>
    <x v="7"/>
    <m/>
    <m/>
    <s v="Supplier"/>
    <m/>
    <x v="159"/>
    <s v="SUN CUPID_General Agreement ind.10 (except appendix 7) 2012-11-08.pdf"/>
    <s v=".pdf"/>
    <d v="2014-03-17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m/>
    <m/>
    <s v="FP "/>
    <x v="0"/>
    <x v="1"/>
    <m/>
    <x v="17"/>
  </r>
  <r>
    <n v="2762"/>
    <x v="217"/>
    <x v="217"/>
    <x v="204"/>
    <x v="3"/>
    <x v="19"/>
    <n v="405"/>
    <x v="11"/>
    <m/>
    <m/>
    <s v="Product / Project"/>
    <m/>
    <x v="781"/>
    <s v="SUN CUPID_IP_COFFEE GRINDER_20110610.pdf"/>
    <s v=".pdf"/>
    <d v="2014-03-17T00:00:00"/>
    <s v="as\afok"/>
    <s v="_x000d__x000a_"/>
    <m/>
    <m/>
    <m/>
    <m/>
    <m/>
    <s v="COFFEE GRINDER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m/>
    <m/>
    <s v="FP "/>
    <x v="0"/>
    <x v="1"/>
    <m/>
    <x v="17"/>
  </r>
  <r>
    <n v="2781"/>
    <x v="218"/>
    <x v="218"/>
    <x v="204"/>
    <x v="3"/>
    <x v="19"/>
    <n v="406"/>
    <x v="11"/>
    <m/>
    <m/>
    <s v="Product / Project"/>
    <m/>
    <x v="781"/>
    <s v="SUN CUPID_EA_ESPRESSO_20110610.pdf"/>
    <s v=".pdf"/>
    <d v="2014-03-17T00:00:00"/>
    <s v="as\afok"/>
    <s v="_x000d__x000a_"/>
    <m/>
    <m/>
    <m/>
    <m/>
    <m/>
    <s v="ESPRESSO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53"/>
  </r>
  <r>
    <n v="2782"/>
    <x v="217"/>
    <x v="217"/>
    <x v="204"/>
    <x v="3"/>
    <x v="19"/>
    <n v="406"/>
    <x v="11"/>
    <m/>
    <m/>
    <s v="Product / Project"/>
    <m/>
    <x v="781"/>
    <s v="SUN CUPID_EA_ESPRESSO_20110610.pdf"/>
    <s v=".pdf"/>
    <d v="2014-03-17T00:00:00"/>
    <s v="as\afok"/>
    <s v="_x000d__x000a_"/>
    <m/>
    <m/>
    <m/>
    <m/>
    <m/>
    <s v="ESPRESSO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m/>
    <m/>
    <s v="FP "/>
    <x v="0"/>
    <x v="1"/>
    <m/>
    <x v="17"/>
  </r>
  <r>
    <n v="2788"/>
    <x v="217"/>
    <x v="217"/>
    <x v="204"/>
    <x v="3"/>
    <x v="19"/>
    <n v="407"/>
    <x v="11"/>
    <m/>
    <m/>
    <s v="Product / Project"/>
    <m/>
    <x v="159"/>
    <s v="SUN CUPID_EA_FCM576_2012-05-09.pdf"/>
    <s v=".pdf"/>
    <d v="2014-03-17T00:00:00"/>
    <s v="as\afok"/>
    <s v="_x000d__x000a_"/>
    <m/>
    <m/>
    <m/>
    <m/>
    <m/>
    <s v="FCM576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m/>
    <m/>
    <s v="FP "/>
    <x v="0"/>
    <x v="1"/>
    <m/>
    <x v="17"/>
  </r>
  <r>
    <n v="2761"/>
    <x v="218"/>
    <x v="218"/>
    <x v="204"/>
    <x v="3"/>
    <x v="19"/>
    <n v="405"/>
    <x v="11"/>
    <m/>
    <m/>
    <s v="Product / Project"/>
    <m/>
    <x v="781"/>
    <s v="SUN CUPID_IP_COFFEE GRINDER_20110610.pdf"/>
    <s v=".pdf"/>
    <d v="2014-03-17T00:00:00"/>
    <s v="as\afok"/>
    <s v="_x000d__x000a_"/>
    <m/>
    <m/>
    <m/>
    <m/>
    <m/>
    <s v="COFFEE GRINDER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53"/>
  </r>
  <r>
    <n v="2787"/>
    <x v="218"/>
    <x v="218"/>
    <x v="204"/>
    <x v="3"/>
    <x v="19"/>
    <n v="407"/>
    <x v="11"/>
    <m/>
    <m/>
    <s v="Product / Project"/>
    <m/>
    <x v="159"/>
    <s v="SUN CUPID_EA_FCM576_2012-05-09.pdf"/>
    <s v=".pdf"/>
    <d v="2014-03-17T00:00:00"/>
    <s v="as\afok"/>
    <s v="_x000d__x000a_"/>
    <m/>
    <m/>
    <m/>
    <m/>
    <m/>
    <s v="FCM576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53"/>
  </r>
  <r>
    <n v="2786"/>
    <x v="217"/>
    <x v="217"/>
    <x v="204"/>
    <x v="3"/>
    <x v="19"/>
    <n v="410"/>
    <x v="12"/>
    <m/>
    <m/>
    <s v="Product / Project"/>
    <m/>
    <x v="781"/>
    <s v="SUN CUPID_IP_COFFEE GRINDER_20110610.pdf"/>
    <s v=".pdf"/>
    <d v="2014-03-17T00:00:00"/>
    <s v="as\afok"/>
    <s v="_x000d__x000a_"/>
    <m/>
    <m/>
    <m/>
    <m/>
    <m/>
    <s v="COFFEE GRINDER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m/>
    <m/>
    <s v="FP "/>
    <x v="0"/>
    <x v="1"/>
    <m/>
    <x v="17"/>
  </r>
  <r>
    <n v="2769"/>
    <x v="218"/>
    <x v="218"/>
    <x v="204"/>
    <x v="3"/>
    <x v="19"/>
    <n v="400"/>
    <x v="12"/>
    <m/>
    <m/>
    <s v="Product / Project"/>
    <m/>
    <x v="185"/>
    <s v="Plastic 12 cups NAFTA IP.pdf"/>
    <s v=".pdf"/>
    <d v="2014-03-17T00:00:00"/>
    <s v="as\afok"/>
    <m/>
    <m/>
    <m/>
    <m/>
    <m/>
    <m/>
    <s v="Plastic 12 cups NAFTA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53"/>
  </r>
  <r>
    <n v="2793"/>
    <x v="218"/>
    <x v="218"/>
    <x v="204"/>
    <x v="3"/>
    <x v="19"/>
    <n v="411"/>
    <x v="12"/>
    <m/>
    <m/>
    <s v="Product / Project"/>
    <m/>
    <x v="781"/>
    <s v="SUN CUPID_IP_COFFEE MAKER_20110610.pdf"/>
    <s v=".pdf"/>
    <d v="2014-03-17T00:00:00"/>
    <s v="as\afok"/>
    <m/>
    <m/>
    <m/>
    <m/>
    <m/>
    <m/>
    <s v="COFFEE MAKER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53"/>
  </r>
  <r>
    <n v="2770"/>
    <x v="217"/>
    <x v="217"/>
    <x v="204"/>
    <x v="3"/>
    <x v="19"/>
    <n v="400"/>
    <x v="12"/>
    <m/>
    <m/>
    <s v="Product / Project"/>
    <m/>
    <x v="185"/>
    <s v="Plastic 12 cups NAFTA IP.pdf"/>
    <s v=".pdf"/>
    <d v="2014-03-17T00:00:00"/>
    <s v="as\afok"/>
    <m/>
    <m/>
    <m/>
    <m/>
    <m/>
    <m/>
    <s v="Plastic 12 cups NAFTA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m/>
    <m/>
    <s v="FP "/>
    <x v="0"/>
    <x v="1"/>
    <m/>
    <x v="17"/>
  </r>
  <r>
    <n v="2767"/>
    <x v="218"/>
    <x v="218"/>
    <x v="204"/>
    <x v="3"/>
    <x v="19"/>
    <n v="413"/>
    <x v="12"/>
    <m/>
    <m/>
    <s v="Product / Project"/>
    <m/>
    <x v="159"/>
    <s v="SUN CUPID_IP_FCM576_2012-05-09.pdf"/>
    <s v=".pdf"/>
    <d v="2014-03-17T00:00:00"/>
    <s v="as\afok"/>
    <s v="_x000d__x000a_"/>
    <m/>
    <m/>
    <m/>
    <m/>
    <m/>
    <s v="FCM576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53"/>
  </r>
  <r>
    <n v="2785"/>
    <x v="218"/>
    <x v="218"/>
    <x v="204"/>
    <x v="3"/>
    <x v="19"/>
    <n v="410"/>
    <x v="12"/>
    <m/>
    <m/>
    <s v="Product / Project"/>
    <m/>
    <x v="781"/>
    <s v="SUN CUPID_IP_COFFEE GRINDER_20110610.pdf"/>
    <s v=".pdf"/>
    <d v="2014-03-17T00:00:00"/>
    <s v="as\afok"/>
    <s v="_x000d__x000a_"/>
    <m/>
    <m/>
    <m/>
    <m/>
    <m/>
    <s v="COFFEE GRINDER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53"/>
  </r>
  <r>
    <n v="2771"/>
    <x v="218"/>
    <x v="218"/>
    <x v="204"/>
    <x v="3"/>
    <x v="19"/>
    <n v="412"/>
    <x v="12"/>
    <m/>
    <m/>
    <s v="Product / Project"/>
    <m/>
    <x v="781"/>
    <s v="SUN CUPID_IP_ESPRESSO_20110610.pdf"/>
    <s v=".pdf"/>
    <d v="2014-03-17T00:00:00"/>
    <s v="as\afok"/>
    <s v="_x000d__x000a_"/>
    <m/>
    <m/>
    <m/>
    <m/>
    <m/>
    <s v="ESPRESSO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53"/>
  </r>
  <r>
    <n v="2794"/>
    <x v="217"/>
    <x v="217"/>
    <x v="204"/>
    <x v="3"/>
    <x v="19"/>
    <n v="411"/>
    <x v="12"/>
    <m/>
    <m/>
    <s v="Product / Project"/>
    <m/>
    <x v="781"/>
    <s v="SUN CUPID_IP_COFFEE MAKER_20110610.pdf"/>
    <s v=".pdf"/>
    <d v="2014-03-17T00:00:00"/>
    <s v="as\afok"/>
    <m/>
    <m/>
    <m/>
    <m/>
    <m/>
    <m/>
    <s v="COFFEE MAKER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m/>
    <m/>
    <s v="FP "/>
    <x v="0"/>
    <x v="1"/>
    <m/>
    <x v="17"/>
  </r>
  <r>
    <n v="2768"/>
    <x v="217"/>
    <x v="217"/>
    <x v="204"/>
    <x v="3"/>
    <x v="19"/>
    <n v="413"/>
    <x v="12"/>
    <m/>
    <m/>
    <s v="Product / Project"/>
    <m/>
    <x v="159"/>
    <s v="SUN CUPID_IP_FCM576_2012-05-09.pdf"/>
    <s v=".pdf"/>
    <d v="2014-03-17T00:00:00"/>
    <s v="as\afok"/>
    <s v="_x000d__x000a_"/>
    <m/>
    <m/>
    <m/>
    <m/>
    <m/>
    <s v="FCM576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m/>
    <m/>
    <s v="FP "/>
    <x v="0"/>
    <x v="1"/>
    <m/>
    <x v="17"/>
  </r>
  <r>
    <n v="2772"/>
    <x v="217"/>
    <x v="217"/>
    <x v="204"/>
    <x v="3"/>
    <x v="19"/>
    <n v="412"/>
    <x v="12"/>
    <m/>
    <m/>
    <s v="Product / Project"/>
    <m/>
    <x v="781"/>
    <s v="SUN CUPID_IP_ESPRESSO_20110610.pdf"/>
    <s v=".pdf"/>
    <d v="2014-03-17T00:00:00"/>
    <s v="as\afok"/>
    <s v="_x000d__x000a_"/>
    <m/>
    <m/>
    <m/>
    <m/>
    <m/>
    <s v="ESPRESSO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m/>
    <m/>
    <s v="FP "/>
    <x v="0"/>
    <x v="1"/>
    <m/>
    <x v="17"/>
  </r>
  <r>
    <n v="2776"/>
    <x v="217"/>
    <x v="217"/>
    <x v="204"/>
    <x v="3"/>
    <x v="19"/>
    <n v="401"/>
    <x v="9"/>
    <m/>
    <m/>
    <s v="Supplier"/>
    <m/>
    <x v="782"/>
    <s v="Sun Cupid - LOC 16Feb11.pdf"/>
    <s v=".pdf"/>
    <d v="2014-03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m/>
    <m/>
    <s v="FP "/>
    <x v="0"/>
    <x v="1"/>
    <m/>
    <x v="17"/>
  </r>
  <r>
    <n v="2775"/>
    <x v="218"/>
    <x v="218"/>
    <x v="204"/>
    <x v="3"/>
    <x v="19"/>
    <n v="401"/>
    <x v="9"/>
    <m/>
    <m/>
    <s v="Supplier"/>
    <m/>
    <x v="782"/>
    <s v="Sun Cupid - LOC 16Feb11.pdf"/>
    <s v=".pdf"/>
    <d v="2014-03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53"/>
  </r>
  <r>
    <n v="2783"/>
    <x v="218"/>
    <x v="218"/>
    <x v="204"/>
    <x v="3"/>
    <x v="19"/>
    <n v="402"/>
    <x v="8"/>
    <m/>
    <m/>
    <s v="Supplier"/>
    <m/>
    <x v="77"/>
    <s v="Sun Cupid - Responsible Purchasing Charter.pdf"/>
    <s v=".pdf"/>
    <d v="2014-03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53"/>
  </r>
  <r>
    <n v="2784"/>
    <x v="217"/>
    <x v="217"/>
    <x v="204"/>
    <x v="3"/>
    <x v="19"/>
    <n v="402"/>
    <x v="8"/>
    <m/>
    <m/>
    <s v="Supplier"/>
    <m/>
    <x v="77"/>
    <s v="Sun Cupid - Responsible Purchasing Charter.pdf"/>
    <s v=".pdf"/>
    <d v="2014-03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m/>
    <m/>
    <s v="FP "/>
    <x v="0"/>
    <x v="1"/>
    <m/>
    <x v="17"/>
  </r>
  <r>
    <n v="2764"/>
    <x v="217"/>
    <x v="217"/>
    <x v="204"/>
    <x v="3"/>
    <x v="19"/>
    <n v="414"/>
    <x v="1"/>
    <m/>
    <m/>
    <s v="Supplier"/>
    <m/>
    <x v="71"/>
    <s v="Sun Cupid_SEF_Dec 2012.xlsx"/>
    <s v=".xlsx"/>
    <d v="2014-03-17T00:00:00"/>
    <s v="as\afok"/>
    <m/>
    <s v="2012"/>
    <m/>
    <m/>
    <m/>
    <m/>
    <m/>
    <x v="0"/>
    <x v="0"/>
    <x v="0"/>
    <x v="16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m/>
    <m/>
    <s v="FP "/>
    <x v="0"/>
    <x v="1"/>
    <m/>
    <x v="17"/>
  </r>
  <r>
    <n v="2763"/>
    <x v="218"/>
    <x v="218"/>
    <x v="204"/>
    <x v="3"/>
    <x v="19"/>
    <n v="414"/>
    <x v="1"/>
    <m/>
    <m/>
    <s v="Supplier"/>
    <m/>
    <x v="71"/>
    <s v="Sun Cupid_SEF_Dec 2012.xlsx"/>
    <s v=".xlsx"/>
    <d v="2014-03-17T00:00:00"/>
    <s v="as\afok"/>
    <m/>
    <s v="2012"/>
    <m/>
    <m/>
    <m/>
    <m/>
    <m/>
    <x v="0"/>
    <x v="0"/>
    <x v="0"/>
    <x v="16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53"/>
  </r>
  <r>
    <n v="2773"/>
    <x v="218"/>
    <x v="218"/>
    <x v="204"/>
    <x v="3"/>
    <x v="19"/>
    <n v="404"/>
    <x v="2"/>
    <m/>
    <m/>
    <s v="Supplier"/>
    <m/>
    <x v="85"/>
    <s v="Sun Cupid SIF 2013.xls"/>
    <s v=".xls"/>
    <d v="2014-03-17T00:00:00"/>
    <s v="as\afok"/>
    <m/>
    <s v="2013"/>
    <m/>
    <m/>
    <m/>
    <m/>
    <m/>
    <x v="0"/>
    <x v="0"/>
    <x v="0"/>
    <x v="0"/>
    <x v="3"/>
    <x v="64"/>
    <x v="188"/>
    <x v="34"/>
    <x v="33"/>
    <x v="46"/>
    <x v="9"/>
    <x v="13"/>
    <x v="61"/>
    <x v="78"/>
    <x v="9"/>
    <m/>
    <x v="0"/>
    <x v="0"/>
    <x v="0"/>
    <x v="0"/>
    <m/>
    <m/>
    <m/>
    <n v="1"/>
    <m/>
    <m/>
    <s v="FP"/>
    <m/>
    <s v="SP"/>
    <s v="MOULD"/>
    <s v="FP SP MOULD "/>
    <x v="3"/>
    <x v="1"/>
    <m/>
    <x v="53"/>
  </r>
  <r>
    <n v="2789"/>
    <x v="218"/>
    <x v="218"/>
    <x v="204"/>
    <x v="3"/>
    <x v="19"/>
    <n v="415"/>
    <x v="2"/>
    <m/>
    <m/>
    <s v="Supplier"/>
    <m/>
    <x v="33"/>
    <s v="SUN CUPID_SIF 2012_21Feb12.xls"/>
    <s v=".xls"/>
    <d v="2014-03-17T00:00:00"/>
    <s v="as\afok"/>
    <m/>
    <s v="2012"/>
    <m/>
    <m/>
    <m/>
    <m/>
    <m/>
    <x v="0"/>
    <x v="0"/>
    <x v="0"/>
    <x v="0"/>
    <x v="1"/>
    <x v="64"/>
    <x v="188"/>
    <x v="34"/>
    <x v="124"/>
    <x v="13"/>
    <x v="0"/>
    <x v="30"/>
    <x v="61"/>
    <x v="6"/>
    <x v="9"/>
    <m/>
    <x v="0"/>
    <x v="0"/>
    <x v="0"/>
    <x v="0"/>
    <m/>
    <m/>
    <m/>
    <n v="1"/>
    <m/>
    <m/>
    <s v="FP"/>
    <m/>
    <s v="SP"/>
    <s v="MOULD"/>
    <s v="FP SP MOULD "/>
    <x v="3"/>
    <x v="1"/>
    <m/>
    <x v="53"/>
  </r>
  <r>
    <n v="2790"/>
    <x v="217"/>
    <x v="217"/>
    <x v="204"/>
    <x v="3"/>
    <x v="19"/>
    <n v="415"/>
    <x v="2"/>
    <m/>
    <m/>
    <s v="Supplier"/>
    <m/>
    <x v="33"/>
    <s v="SUN CUPID_SIF 2012_21Feb12.xls"/>
    <s v=".xls"/>
    <d v="2014-03-17T00:00:00"/>
    <s v="as\afok"/>
    <m/>
    <s v="2012"/>
    <m/>
    <m/>
    <m/>
    <m/>
    <m/>
    <x v="0"/>
    <x v="0"/>
    <x v="0"/>
    <x v="0"/>
    <x v="1"/>
    <x v="64"/>
    <x v="188"/>
    <x v="34"/>
    <x v="124"/>
    <x v="13"/>
    <x v="0"/>
    <x v="30"/>
    <x v="61"/>
    <x v="6"/>
    <x v="9"/>
    <m/>
    <x v="0"/>
    <x v="0"/>
    <x v="0"/>
    <x v="0"/>
    <m/>
    <m/>
    <m/>
    <n v="1"/>
    <m/>
    <m/>
    <s v="FP"/>
    <m/>
    <m/>
    <m/>
    <s v="FP "/>
    <x v="1"/>
    <x v="1"/>
    <m/>
    <x v="17"/>
  </r>
  <r>
    <n v="2774"/>
    <x v="217"/>
    <x v="217"/>
    <x v="204"/>
    <x v="3"/>
    <x v="19"/>
    <n v="404"/>
    <x v="2"/>
    <m/>
    <m/>
    <s v="Supplier"/>
    <m/>
    <x v="85"/>
    <s v="Sun Cupid SIF 2013.xls"/>
    <s v=".xls"/>
    <d v="2014-03-17T00:00:00"/>
    <s v="as\afok"/>
    <m/>
    <s v="2013"/>
    <m/>
    <m/>
    <m/>
    <m/>
    <m/>
    <x v="0"/>
    <x v="0"/>
    <x v="0"/>
    <x v="0"/>
    <x v="3"/>
    <x v="64"/>
    <x v="188"/>
    <x v="34"/>
    <x v="33"/>
    <x v="46"/>
    <x v="9"/>
    <x v="13"/>
    <x v="61"/>
    <x v="78"/>
    <x v="9"/>
    <m/>
    <x v="0"/>
    <x v="0"/>
    <x v="0"/>
    <x v="0"/>
    <m/>
    <m/>
    <m/>
    <n v="1"/>
    <m/>
    <m/>
    <s v="FP"/>
    <m/>
    <m/>
    <m/>
    <s v="FP "/>
    <x v="1"/>
    <x v="1"/>
    <m/>
    <x v="17"/>
  </r>
  <r>
    <n v="1081"/>
    <x v="219"/>
    <x v="219"/>
    <x v="205"/>
    <x v="1"/>
    <x v="11"/>
    <n v="1057"/>
    <x v="4"/>
    <m/>
    <m/>
    <s v="Supplier"/>
    <m/>
    <x v="143"/>
    <s v="Sun Fai_General Agreement_V7.pdf"/>
    <s v=".pdf"/>
    <d v="2014-03-25T00:00:00"/>
    <s v="as\afok"/>
    <m/>
    <s v="V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n v="1"/>
    <m/>
    <m/>
    <n v="1"/>
    <m/>
    <m/>
    <m/>
    <s v="CP"/>
    <m/>
    <m/>
    <s v="CP "/>
    <x v="0"/>
    <x v="1"/>
    <m/>
    <x v="54"/>
  </r>
  <r>
    <n v="1088"/>
    <x v="219"/>
    <x v="219"/>
    <x v="205"/>
    <x v="1"/>
    <x v="11"/>
    <n v="1064"/>
    <x v="4"/>
    <m/>
    <m/>
    <s v="Supplier"/>
    <m/>
    <x v="783"/>
    <s v="Sun_Fai_Purchase_Agreement_2008.pdf"/>
    <s v=".pdf"/>
    <d v="2014-03-25T00:00:00"/>
    <s v="as\afok"/>
    <m/>
    <s v="V5"/>
    <s v="37D6 - Within 60 days Due net on posting date 37D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n v="1"/>
    <m/>
    <m/>
    <n v="1"/>
    <m/>
    <m/>
    <m/>
    <s v="CP"/>
    <m/>
    <m/>
    <s v="CP "/>
    <x v="0"/>
    <x v="1"/>
    <m/>
    <x v="54"/>
  </r>
  <r>
    <n v="1084"/>
    <x v="219"/>
    <x v="219"/>
    <x v="205"/>
    <x v="1"/>
    <x v="11"/>
    <n v="1060"/>
    <x v="5"/>
    <m/>
    <m/>
    <s v="Supplier"/>
    <m/>
    <x v="143"/>
    <s v="Sun Fai_General Agreement_V7.pdf"/>
    <s v=".pdf"/>
    <d v="2014-03-25T00:00:00"/>
    <s v="as\afok"/>
    <m/>
    <s v="V4"/>
    <m/>
    <m/>
    <m/>
    <n v="10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n v="1"/>
    <m/>
    <n v="1"/>
    <m/>
    <m/>
    <m/>
    <s v="CP"/>
    <m/>
    <m/>
    <s v="CP "/>
    <x v="0"/>
    <x v="1"/>
    <m/>
    <x v="54"/>
  </r>
  <r>
    <n v="1089"/>
    <x v="219"/>
    <x v="219"/>
    <x v="205"/>
    <x v="1"/>
    <x v="11"/>
    <n v="1065"/>
    <x v="5"/>
    <m/>
    <m/>
    <s v="Supplier"/>
    <m/>
    <x v="783"/>
    <s v="Sun_Fai_Purchase_Agreement_2008.pdf"/>
    <s v=".pdf"/>
    <d v="2014-03-25T00:00:00"/>
    <s v="as\afok"/>
    <m/>
    <s v="FHA 00 014 ind.07"/>
    <m/>
    <m/>
    <m/>
    <n v="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n v="1"/>
    <m/>
    <n v="1"/>
    <n v="1"/>
    <m/>
    <m/>
    <s v="CP"/>
    <m/>
    <m/>
    <s v="CP "/>
    <x v="0"/>
    <x v="1"/>
    <m/>
    <x v="54"/>
  </r>
  <r>
    <n v="1083"/>
    <x v="219"/>
    <x v="219"/>
    <x v="205"/>
    <x v="1"/>
    <x v="11"/>
    <n v="1059"/>
    <x v="6"/>
    <m/>
    <m/>
    <s v="Supplier"/>
    <m/>
    <x v="143"/>
    <s v="Sun Fai_General Agreement_V7.pdf"/>
    <s v=".pdf"/>
    <d v="2014-03-25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n v="1"/>
    <n v="1"/>
    <m/>
    <m/>
    <m/>
    <s v="CP"/>
    <m/>
    <m/>
    <s v="CP "/>
    <x v="0"/>
    <x v="1"/>
    <m/>
    <x v="54"/>
  </r>
  <r>
    <n v="1085"/>
    <x v="219"/>
    <x v="219"/>
    <x v="205"/>
    <x v="1"/>
    <x v="11"/>
    <n v="1061"/>
    <x v="10"/>
    <m/>
    <m/>
    <s v="Supplier"/>
    <m/>
    <x v="163"/>
    <s v="Sun Fai_General Agreement_V7.pdf"/>
    <s v=".pdf"/>
    <d v="2014-03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54"/>
  </r>
  <r>
    <n v="1082"/>
    <x v="219"/>
    <x v="219"/>
    <x v="205"/>
    <x v="1"/>
    <x v="11"/>
    <n v="1058"/>
    <x v="7"/>
    <m/>
    <m/>
    <s v="Supplier"/>
    <m/>
    <x v="143"/>
    <s v="Sun Fai_General Agreement_V7.pdf"/>
    <s v=".pdf"/>
    <d v="2014-03-25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54"/>
  </r>
  <r>
    <n v="1087"/>
    <x v="219"/>
    <x v="219"/>
    <x v="205"/>
    <x v="1"/>
    <x v="11"/>
    <n v="1063"/>
    <x v="13"/>
    <m/>
    <m/>
    <s v="Supplier"/>
    <d v="2011-07-08T00:00:00"/>
    <x v="777"/>
    <s v="Sun Fai_ISO14001_2011.pdf"/>
    <s v=".pdf"/>
    <d v="2014-03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54"/>
  </r>
  <r>
    <n v="1076"/>
    <x v="219"/>
    <x v="219"/>
    <x v="205"/>
    <x v="1"/>
    <x v="11"/>
    <n v="1052"/>
    <x v="13"/>
    <m/>
    <m/>
    <s v="Supplier"/>
    <d v="2011-07-08T00:00:00"/>
    <x v="777"/>
    <s v="Sun_Fai_ISO14001_01_Ju n_2011.pdf"/>
    <s v=".pdf"/>
    <d v="2014-03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54"/>
  </r>
  <r>
    <n v="1078"/>
    <x v="219"/>
    <x v="219"/>
    <x v="205"/>
    <x v="1"/>
    <x v="11"/>
    <n v="1054"/>
    <x v="8"/>
    <m/>
    <m/>
    <s v="Supplier"/>
    <m/>
    <x v="254"/>
    <s v="Sun_Fai_Responsible_Purchasing_Charter_02Aug12.pdf"/>
    <s v=".pdf"/>
    <d v="2014-03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54"/>
  </r>
  <r>
    <n v="1080"/>
    <x v="219"/>
    <x v="219"/>
    <x v="205"/>
    <x v="1"/>
    <x v="11"/>
    <n v="1056"/>
    <x v="1"/>
    <m/>
    <m/>
    <s v="Supplier"/>
    <m/>
    <x v="145"/>
    <s v="Sun Fai_SEF_2012.xlsx"/>
    <s v=".xlsx"/>
    <d v="2014-03-25T00:00:00"/>
    <s v="as\afok"/>
    <m/>
    <s v="2012"/>
    <m/>
    <m/>
    <m/>
    <m/>
    <m/>
    <x v="0"/>
    <x v="0"/>
    <x v="0"/>
    <x v="4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54"/>
  </r>
  <r>
    <n v="1074"/>
    <x v="219"/>
    <x v="219"/>
    <x v="205"/>
    <x v="1"/>
    <x v="11"/>
    <n v="1050"/>
    <x v="1"/>
    <m/>
    <m/>
    <s v="Supplier"/>
    <m/>
    <x v="638"/>
    <s v="Sun Fai_SEF_2013-1.xlsx"/>
    <s v=".xlsx"/>
    <d v="2014-03-25T00:00:00"/>
    <s v="as\afok"/>
    <m/>
    <s v="2013"/>
    <m/>
    <m/>
    <m/>
    <m/>
    <m/>
    <x v="0"/>
    <x v="0"/>
    <x v="0"/>
    <x v="24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54"/>
  </r>
  <r>
    <n v="1079"/>
    <x v="219"/>
    <x v="219"/>
    <x v="205"/>
    <x v="1"/>
    <x v="11"/>
    <n v="1055"/>
    <x v="1"/>
    <m/>
    <m/>
    <s v="Supplier"/>
    <m/>
    <x v="112"/>
    <s v="Sun Fai_SEF_2012-2.xlsx"/>
    <s v=".xlsx"/>
    <d v="2014-03-25T00:00:00"/>
    <s v="as\afok"/>
    <m/>
    <s v="2012"/>
    <m/>
    <m/>
    <m/>
    <m/>
    <m/>
    <x v="0"/>
    <x v="0"/>
    <x v="0"/>
    <x v="14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54"/>
  </r>
  <r>
    <n v="1075"/>
    <x v="219"/>
    <x v="219"/>
    <x v="205"/>
    <x v="1"/>
    <x v="11"/>
    <n v="1051"/>
    <x v="2"/>
    <m/>
    <m/>
    <s v="Supplier"/>
    <m/>
    <x v="117"/>
    <s v="SUN_FAI_SIF 2013.xls"/>
    <s v=".xls"/>
    <d v="2014-03-25T00:00:00"/>
    <s v="as\afok"/>
    <m/>
    <s v="2013"/>
    <m/>
    <m/>
    <m/>
    <m/>
    <m/>
    <x v="0"/>
    <x v="0"/>
    <x v="0"/>
    <x v="0"/>
    <x v="2"/>
    <x v="139"/>
    <x v="189"/>
    <x v="173"/>
    <x v="154"/>
    <x v="146"/>
    <x v="0"/>
    <x v="11"/>
    <x v="89"/>
    <x v="29"/>
    <x v="13"/>
    <s v="CP Panel"/>
    <x v="0"/>
    <x v="0"/>
    <x v="1"/>
    <x v="1"/>
    <m/>
    <m/>
    <m/>
    <n v="1"/>
    <m/>
    <m/>
    <m/>
    <s v="CP"/>
    <m/>
    <m/>
    <s v="CP "/>
    <x v="2"/>
    <x v="1"/>
    <m/>
    <x v="54"/>
  </r>
  <r>
    <n v="1086"/>
    <x v="219"/>
    <x v="219"/>
    <x v="205"/>
    <x v="1"/>
    <x v="11"/>
    <n v="1062"/>
    <x v="2"/>
    <n v="1"/>
    <m/>
    <s v="Supplier"/>
    <m/>
    <x v="322"/>
    <s v="Sun Fai_SIF2012_5Mar12.xlsx"/>
    <s v=".xlsx"/>
    <d v="2014-03-25T00:00:00"/>
    <s v="as\afok"/>
    <m/>
    <s v="2012"/>
    <m/>
    <m/>
    <m/>
    <m/>
    <m/>
    <x v="0"/>
    <x v="0"/>
    <x v="0"/>
    <x v="0"/>
    <x v="1"/>
    <x v="76"/>
    <x v="190"/>
    <x v="134"/>
    <x v="155"/>
    <x v="147"/>
    <x v="0"/>
    <x v="97"/>
    <x v="29"/>
    <x v="79"/>
    <x v="75"/>
    <s v="CP Panel"/>
    <x v="0"/>
    <x v="0"/>
    <x v="1"/>
    <x v="1"/>
    <m/>
    <m/>
    <m/>
    <n v="1"/>
    <m/>
    <m/>
    <m/>
    <s v="CP"/>
    <m/>
    <m/>
    <s v="CP "/>
    <x v="2"/>
    <x v="1"/>
    <m/>
    <x v="54"/>
  </r>
  <r>
    <n v="1073"/>
    <x v="219"/>
    <x v="219"/>
    <x v="205"/>
    <x v="1"/>
    <x v="11"/>
    <n v="1049"/>
    <x v="3"/>
    <m/>
    <m/>
    <s v="Supplier"/>
    <m/>
    <x v="180"/>
    <s v="SunFai_SPR_2013_05.pptx"/>
    <s v=".pptx"/>
    <d v="2014-03-25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54"/>
  </r>
  <r>
    <n v="1077"/>
    <x v="219"/>
    <x v="219"/>
    <x v="205"/>
    <x v="1"/>
    <x v="11"/>
    <n v="1053"/>
    <x v="3"/>
    <m/>
    <m/>
    <s v="Supplier"/>
    <m/>
    <x v="153"/>
    <s v="Sun Fai_SPR_ Sept 2012.pptx"/>
    <s v=".pptx"/>
    <d v="2014-03-25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54"/>
  </r>
  <r>
    <n v="11"/>
    <x v="220"/>
    <x v="220"/>
    <x v="206"/>
    <x v="0"/>
    <x v="18"/>
    <n v="8"/>
    <x v="4"/>
    <m/>
    <m/>
    <s v="Supplier"/>
    <d v="2014-12-31T00:00:00"/>
    <x v="738"/>
    <s v="Sun Luen_General Agreement_FHA00016 ind.11 20120329.pdf"/>
    <s v=".pdf"/>
    <d v="2014-03-03T00:00:00"/>
    <s v="as\afok"/>
    <m/>
    <s v="FHA00016 ind.11 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n v="1"/>
    <m/>
    <m/>
    <n v="1"/>
    <m/>
    <m/>
    <s v="FP"/>
    <m/>
    <s v="SP"/>
    <s v="MOULD"/>
    <s v="FP SP MOULD "/>
    <x v="0"/>
    <x v="1"/>
    <n v="1"/>
    <x v="10"/>
  </r>
  <r>
    <n v="238"/>
    <x v="220"/>
    <x v="220"/>
    <x v="206"/>
    <x v="0"/>
    <x v="18"/>
    <n v="229"/>
    <x v="5"/>
    <m/>
    <m/>
    <s v="Supplier"/>
    <m/>
    <x v="206"/>
    <s v="Sun Luen_General Agreement_29Mar12.pdf"/>
    <s v=".pdf"/>
    <d v="2014-03-12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n v="1"/>
    <m/>
    <n v="1"/>
    <m/>
    <m/>
    <s v="FP"/>
    <m/>
    <s v="SP"/>
    <s v="MOULD"/>
    <s v="FP SP MOULD "/>
    <x v="0"/>
    <x v="1"/>
    <n v="1"/>
    <x v="10"/>
  </r>
  <r>
    <n v="237"/>
    <x v="220"/>
    <x v="220"/>
    <x v="206"/>
    <x v="0"/>
    <x v="18"/>
    <n v="228"/>
    <x v="6"/>
    <m/>
    <m/>
    <s v="Supplier"/>
    <m/>
    <x v="206"/>
    <s v="Sun Luen_General Agreement_29Mar12.pdf"/>
    <s v=".pdf"/>
    <d v="2014-03-12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n v="1"/>
    <n v="1"/>
    <m/>
    <m/>
    <s v="FP"/>
    <m/>
    <s v="SP"/>
    <s v="MOULD"/>
    <s v="FP SP MOULD "/>
    <x v="0"/>
    <x v="1"/>
    <n v="1"/>
    <x v="10"/>
  </r>
  <r>
    <n v="585"/>
    <x v="220"/>
    <x v="220"/>
    <x v="206"/>
    <x v="0"/>
    <x v="18"/>
    <n v="568"/>
    <x v="10"/>
    <m/>
    <m/>
    <s v="Supplier"/>
    <m/>
    <x v="317"/>
    <s v="Sun Luen_General Agreement_FHA00016 ind.11 20120329.pdf"/>
    <s v=".pdf"/>
    <d v="2014-03-1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n v="1"/>
    <m/>
    <s v="FP"/>
    <m/>
    <s v="SP"/>
    <s v="MOULD"/>
    <s v="FP SP MOULD "/>
    <x v="0"/>
    <x v="1"/>
    <n v="1"/>
    <x v="10"/>
  </r>
  <r>
    <n v="252"/>
    <x v="220"/>
    <x v="220"/>
    <x v="206"/>
    <x v="0"/>
    <x v="18"/>
    <n v="241"/>
    <x v="7"/>
    <m/>
    <m/>
    <s v="Supplier"/>
    <m/>
    <x v="784"/>
    <s v="Sun_Luen_Env_Declaration_04Jun2010.xls"/>
    <s v=".xls"/>
    <d v="2014-03-13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0"/>
  </r>
  <r>
    <n v="239"/>
    <x v="220"/>
    <x v="220"/>
    <x v="206"/>
    <x v="0"/>
    <x v="18"/>
    <n v="230"/>
    <x v="7"/>
    <m/>
    <m/>
    <s v="Supplier"/>
    <m/>
    <x v="627"/>
    <s v="Sun Luen_General Agreement_29Mar12.pdf"/>
    <s v=".pdf"/>
    <d v="2014-03-12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0"/>
  </r>
  <r>
    <n v="243"/>
    <x v="220"/>
    <x v="220"/>
    <x v="206"/>
    <x v="0"/>
    <x v="18"/>
    <n v="234"/>
    <x v="11"/>
    <m/>
    <m/>
    <s v="Supplier"/>
    <m/>
    <x v="231"/>
    <s v="Sun Luen - Exclusivity Agreement (Hot Air Styler) 22Mar11.pdf"/>
    <s v=".pdf"/>
    <d v="2014-03-12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0"/>
  </r>
  <r>
    <n v="250"/>
    <x v="220"/>
    <x v="220"/>
    <x v="206"/>
    <x v="0"/>
    <x v="18"/>
    <n v="239"/>
    <x v="12"/>
    <m/>
    <m/>
    <s v="Product / Project"/>
    <m/>
    <x v="785"/>
    <s v="SUN LUEN_IP ED986_20110324.pdf"/>
    <s v=".pdf"/>
    <d v="2014-03-13T00:00:00"/>
    <s v="as\afok"/>
    <m/>
    <m/>
    <m/>
    <m/>
    <m/>
    <m/>
    <s v="ED986 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0"/>
  </r>
  <r>
    <n v="242"/>
    <x v="220"/>
    <x v="220"/>
    <x v="206"/>
    <x v="0"/>
    <x v="18"/>
    <n v="233"/>
    <x v="12"/>
    <m/>
    <m/>
    <s v="Supplier"/>
    <m/>
    <x v="786"/>
    <s v="SUN LUEN _IP_20101026.pdf"/>
    <s v=".pdf"/>
    <d v="2014-03-12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0"/>
  </r>
  <r>
    <n v="247"/>
    <x v="220"/>
    <x v="220"/>
    <x v="206"/>
    <x v="0"/>
    <x v="18"/>
    <n v="236"/>
    <x v="9"/>
    <m/>
    <m/>
    <s v="Product / Project"/>
    <m/>
    <x v="787"/>
    <s v="SUN LUEN LOC - Optiliss Compact 27May11.pdf"/>
    <s v=".pdf"/>
    <d v="2014-03-13T00:00:00"/>
    <s v="as\afok"/>
    <s v="_x000d__x000a_"/>
    <m/>
    <m/>
    <m/>
    <m/>
    <m/>
    <s v="Optiliss Compact 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0"/>
  </r>
  <r>
    <n v="248"/>
    <x v="220"/>
    <x v="220"/>
    <x v="206"/>
    <x v="0"/>
    <x v="18"/>
    <n v="237"/>
    <x v="9"/>
    <m/>
    <m/>
    <s v="Product / Project"/>
    <m/>
    <x v="237"/>
    <s v="SUN LUEN LOC - Straightener 14Jan11.pdf"/>
    <s v=".pdf"/>
    <d v="2014-03-13T00:00:00"/>
    <s v="as\afok"/>
    <s v="_x000d__x000a_"/>
    <m/>
    <m/>
    <m/>
    <m/>
    <m/>
    <s v="Straightener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0"/>
  </r>
  <r>
    <n v="249"/>
    <x v="220"/>
    <x v="220"/>
    <x v="206"/>
    <x v="0"/>
    <x v="18"/>
    <n v="238"/>
    <x v="9"/>
    <m/>
    <m/>
    <s v="Product / Project"/>
    <m/>
    <x v="204"/>
    <s v="SUN LUEN LOC - Volum Hair 5Apr12.pdf"/>
    <s v=".pdf"/>
    <d v="2014-03-13T00:00:00"/>
    <s v="as\afok"/>
    <s v="_x000d__x000a_"/>
    <m/>
    <m/>
    <m/>
    <m/>
    <m/>
    <s v="Volum Hair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0"/>
  </r>
  <r>
    <n v="251"/>
    <x v="220"/>
    <x v="220"/>
    <x v="206"/>
    <x v="0"/>
    <x v="18"/>
    <n v="240"/>
    <x v="8"/>
    <m/>
    <m/>
    <s v="Supplier"/>
    <m/>
    <x v="247"/>
    <s v="Sun Luen_Responsible Purchasing Charter_13Aug12.pdf"/>
    <s v=".pdf"/>
    <d v="2014-03-1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0"/>
  </r>
  <r>
    <n v="240"/>
    <x v="220"/>
    <x v="220"/>
    <x v="206"/>
    <x v="0"/>
    <x v="18"/>
    <n v="231"/>
    <x v="1"/>
    <m/>
    <m/>
    <s v="Supplier"/>
    <m/>
    <x v="47"/>
    <s v="SEF - Sun Luen 2012.xlsx"/>
    <s v=".xlsx"/>
    <d v="2014-03-12T00:00:00"/>
    <s v="as\afok"/>
    <m/>
    <s v="2012"/>
    <m/>
    <m/>
    <m/>
    <m/>
    <m/>
    <x v="0"/>
    <x v="0"/>
    <x v="0"/>
    <x v="6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0"/>
  </r>
  <r>
    <n v="241"/>
    <x v="220"/>
    <x v="220"/>
    <x v="206"/>
    <x v="0"/>
    <x v="18"/>
    <n v="232"/>
    <x v="1"/>
    <m/>
    <m/>
    <s v="Supplier"/>
    <m/>
    <x v="788"/>
    <s v="SEF Sun Luen 2013.XLSX"/>
    <s v=".xlsx"/>
    <d v="2014-03-12T00:00:00"/>
    <s v="as\afok"/>
    <m/>
    <s v="2013"/>
    <m/>
    <m/>
    <m/>
    <m/>
    <m/>
    <x v="0"/>
    <x v="0"/>
    <x v="0"/>
    <x v="7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0"/>
  </r>
  <r>
    <n v="253"/>
    <x v="220"/>
    <x v="220"/>
    <x v="206"/>
    <x v="0"/>
    <x v="18"/>
    <n v="242"/>
    <x v="2"/>
    <m/>
    <m/>
    <s v="Supplier"/>
    <m/>
    <x v="713"/>
    <s v="Sun_Luen_SIF_2010.xlsx"/>
    <s v=".xlsx"/>
    <d v="2014-03-13T00:00:00"/>
    <s v="as\afok"/>
    <m/>
    <s v="2010"/>
    <m/>
    <m/>
    <m/>
    <m/>
    <m/>
    <x v="0"/>
    <x v="0"/>
    <x v="0"/>
    <x v="0"/>
    <x v="4"/>
    <x v="140"/>
    <x v="189"/>
    <x v="174"/>
    <x v="0"/>
    <x v="0"/>
    <x v="0"/>
    <x v="98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3"/>
    <x v="1"/>
    <n v="1"/>
    <x v="10"/>
  </r>
  <r>
    <n v="246"/>
    <x v="220"/>
    <x v="220"/>
    <x v="206"/>
    <x v="0"/>
    <x v="18"/>
    <n v="235"/>
    <x v="3"/>
    <m/>
    <m/>
    <s v="Supplier"/>
    <m/>
    <x v="47"/>
    <s v="Sun Luen - SPR 2012.pptx"/>
    <s v=".pptx"/>
    <d v="2014-03-12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1"/>
    <m/>
    <m/>
    <s v="FP"/>
    <m/>
    <s v="SP"/>
    <s v="MOULD"/>
    <s v="FP SP MOULD "/>
    <x v="0"/>
    <x v="1"/>
    <n v="1"/>
    <x v="10"/>
  </r>
  <r>
    <n v="945"/>
    <x v="221"/>
    <x v="221"/>
    <x v="207"/>
    <x v="4"/>
    <x v="6"/>
    <n v="923"/>
    <x v="7"/>
    <m/>
    <m/>
    <s v="Supplier"/>
    <m/>
    <x v="789"/>
    <s v="Sun_Tat_Env_Declaration_23Jun2010.xls"/>
    <s v=".xls"/>
    <d v="2014-03-24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m/>
    <m/>
    <s v="MOULD"/>
    <s v="MOULD "/>
    <x v="0"/>
    <x v="1"/>
    <m/>
    <x v="3"/>
  </r>
  <r>
    <n v="946"/>
    <x v="221"/>
    <x v="221"/>
    <x v="207"/>
    <x v="4"/>
    <x v="6"/>
    <n v="924"/>
    <x v="8"/>
    <m/>
    <m/>
    <s v="Supplier"/>
    <m/>
    <x v="261"/>
    <s v="Suntat_Responsible_Purchasing_Charter_06Aug12.pdf"/>
    <s v=".pdf"/>
    <d v="2014-03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m/>
    <m/>
    <s v="MOULD"/>
    <s v="MOULD "/>
    <x v="0"/>
    <x v="1"/>
    <m/>
    <x v="3"/>
  </r>
  <r>
    <n v="948"/>
    <x v="221"/>
    <x v="221"/>
    <x v="207"/>
    <x v="4"/>
    <x v="6"/>
    <n v="926"/>
    <x v="1"/>
    <m/>
    <m/>
    <s v="Supplier"/>
    <m/>
    <x v="503"/>
    <s v="Suntat_SEF_2012_R1.xlsx"/>
    <s v=".xlsx"/>
    <d v="2014-03-24T00:00:00"/>
    <s v="as\afok"/>
    <m/>
    <s v="2012"/>
    <m/>
    <m/>
    <m/>
    <m/>
    <m/>
    <x v="0"/>
    <x v="0"/>
    <x v="0"/>
    <x v="5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m/>
    <m/>
    <s v="MOULD"/>
    <s v="MOULD "/>
    <x v="0"/>
    <x v="1"/>
    <m/>
    <x v="3"/>
  </r>
  <r>
    <n v="944"/>
    <x v="221"/>
    <x v="221"/>
    <x v="207"/>
    <x v="4"/>
    <x v="6"/>
    <n v="922"/>
    <x v="2"/>
    <m/>
    <m/>
    <s v="Supplier"/>
    <m/>
    <x v="68"/>
    <s v="Suntat_SIF2013.xls"/>
    <s v=".xls"/>
    <d v="2014-03-24T00:00:00"/>
    <s v="as\afok"/>
    <m/>
    <s v="2013"/>
    <m/>
    <m/>
    <m/>
    <m/>
    <m/>
    <x v="0"/>
    <x v="0"/>
    <x v="0"/>
    <x v="0"/>
    <x v="2"/>
    <x v="70"/>
    <x v="191"/>
    <x v="160"/>
    <x v="156"/>
    <x v="148"/>
    <x v="46"/>
    <x v="5"/>
    <x v="4"/>
    <x v="7"/>
    <x v="1"/>
    <m/>
    <x v="0"/>
    <x v="0"/>
    <x v="0"/>
    <x v="0"/>
    <m/>
    <m/>
    <m/>
    <n v="0"/>
    <m/>
    <m/>
    <m/>
    <m/>
    <m/>
    <s v="MOULD"/>
    <s v="MOULD "/>
    <x v="2"/>
    <x v="1"/>
    <m/>
    <x v="3"/>
  </r>
  <r>
    <n v="947"/>
    <x v="221"/>
    <x v="221"/>
    <x v="207"/>
    <x v="4"/>
    <x v="6"/>
    <n v="925"/>
    <x v="3"/>
    <m/>
    <m/>
    <s v="Supplier"/>
    <m/>
    <x v="145"/>
    <s v="SPR_Suntat_May2012.ppt"/>
    <s v=".ppt"/>
    <d v="2014-03-24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m/>
    <m/>
    <s v="MOULD"/>
    <s v="MOULD "/>
    <x v="0"/>
    <x v="1"/>
    <m/>
    <x v="3"/>
  </r>
  <r>
    <n v="1744"/>
    <x v="222"/>
    <x v="222"/>
    <x v="208"/>
    <x v="5"/>
    <x v="7"/>
    <n v="1701"/>
    <x v="9"/>
    <m/>
    <m/>
    <s v="Supplier"/>
    <m/>
    <x v="790"/>
    <s v="NINGBO SUNNY_LOC  201105.pdf"/>
    <s v=".pdf"/>
    <d v="2014-04-0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0"/>
    <m/>
    <m/>
    <m/>
    <s v="CP"/>
    <m/>
    <m/>
    <s v="CP "/>
    <x v="0"/>
    <x v="1"/>
    <m/>
    <x v="45"/>
  </r>
  <r>
    <n v="1745"/>
    <x v="222"/>
    <x v="222"/>
    <x v="208"/>
    <x v="5"/>
    <x v="7"/>
    <n v="1702"/>
    <x v="8"/>
    <m/>
    <m/>
    <s v="Supplier"/>
    <m/>
    <x v="261"/>
    <s v="Ningbo Sunny_Responsible Purchaser Charter_9Aug2012.pdf"/>
    <s v=".pdf"/>
    <d v="2014-04-0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0"/>
    <m/>
    <m/>
    <m/>
    <s v="CP"/>
    <m/>
    <m/>
    <s v="CP "/>
    <x v="0"/>
    <x v="1"/>
    <m/>
    <x v="45"/>
  </r>
  <r>
    <n v="1746"/>
    <x v="222"/>
    <x v="222"/>
    <x v="208"/>
    <x v="5"/>
    <x v="7"/>
    <n v="1703"/>
    <x v="2"/>
    <m/>
    <m/>
    <s v="Supplier"/>
    <m/>
    <x v="159"/>
    <s v="Ningbo Sunny_SIF_9May2012.xls"/>
    <s v=".xls"/>
    <d v="2014-04-08T00:00:00"/>
    <s v="as\afok"/>
    <m/>
    <s v="2012"/>
    <m/>
    <m/>
    <m/>
    <m/>
    <m/>
    <x v="0"/>
    <x v="0"/>
    <x v="0"/>
    <x v="0"/>
    <x v="1"/>
    <x v="87"/>
    <x v="52"/>
    <x v="51"/>
    <x v="90"/>
    <x v="149"/>
    <x v="50"/>
    <x v="99"/>
    <x v="90"/>
    <x v="80"/>
    <x v="76"/>
    <s v="CP Panel"/>
    <x v="0"/>
    <x v="0"/>
    <x v="1"/>
    <x v="6"/>
    <m/>
    <m/>
    <m/>
    <n v="0"/>
    <m/>
    <n v="1"/>
    <m/>
    <s v="CP"/>
    <m/>
    <m/>
    <s v="CP "/>
    <x v="2"/>
    <x v="1"/>
    <m/>
    <x v="45"/>
  </r>
  <r>
    <n v="1743"/>
    <x v="222"/>
    <x v="222"/>
    <x v="208"/>
    <x v="5"/>
    <x v="7"/>
    <n v="1700"/>
    <x v="2"/>
    <m/>
    <m/>
    <s v="Supplier"/>
    <m/>
    <x v="791"/>
    <s v="Sunny Heater_SIF_08Jan2014.xls"/>
    <s v=".xls"/>
    <d v="2014-04-08T00:00:00"/>
    <s v="as\afok"/>
    <m/>
    <s v="2014"/>
    <m/>
    <m/>
    <m/>
    <m/>
    <m/>
    <x v="0"/>
    <x v="0"/>
    <x v="0"/>
    <x v="0"/>
    <x v="3"/>
    <x v="48"/>
    <x v="192"/>
    <x v="23"/>
    <x v="157"/>
    <x v="150"/>
    <x v="51"/>
    <x v="100"/>
    <x v="91"/>
    <x v="81"/>
    <x v="77"/>
    <s v="CP Panel"/>
    <x v="0"/>
    <x v="0"/>
    <x v="1"/>
    <x v="6"/>
    <m/>
    <m/>
    <m/>
    <n v="0"/>
    <m/>
    <m/>
    <m/>
    <s v="CP"/>
    <m/>
    <m/>
    <s v="CP "/>
    <x v="2"/>
    <x v="1"/>
    <m/>
    <x v="45"/>
  </r>
  <r>
    <n v="1742"/>
    <x v="222"/>
    <x v="222"/>
    <x v="208"/>
    <x v="5"/>
    <x v="7"/>
    <n v="1699"/>
    <x v="3"/>
    <m/>
    <m/>
    <s v="Supplier"/>
    <m/>
    <x v="792"/>
    <s v="SPR_Sunny_2014.ppt"/>
    <s v=".ppt"/>
    <d v="2014-04-08T00:00:00"/>
    <s v="as\afok"/>
    <m/>
    <s v="2014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0"/>
    <m/>
    <m/>
    <m/>
    <s v="CP"/>
    <m/>
    <m/>
    <s v="CP "/>
    <x v="0"/>
    <x v="1"/>
    <m/>
    <x v="45"/>
  </r>
  <r>
    <n v="2875"/>
    <x v="223"/>
    <x v="223"/>
    <x v="209"/>
    <x v="1"/>
    <x v="11"/>
    <n v="2614"/>
    <x v="6"/>
    <m/>
    <m/>
    <s v="Supplier"/>
    <m/>
    <x v="50"/>
    <s v="SunStrong_SupplyChainAgreement_11Apr2012.pdf"/>
    <s v=".pdf"/>
    <d v="2014-04-25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4"/>
    <m/>
    <m/>
    <n v="1"/>
    <n v="0"/>
    <m/>
    <n v="1"/>
    <m/>
    <s v="CP"/>
    <m/>
    <s v="MOULD"/>
    <s v="CP MOULD "/>
    <x v="0"/>
    <x v="1"/>
    <m/>
    <x v="55"/>
  </r>
  <r>
    <n v="1092"/>
    <x v="223"/>
    <x v="223"/>
    <x v="209"/>
    <x v="1"/>
    <x v="11"/>
    <n v="1068"/>
    <x v="9"/>
    <m/>
    <m/>
    <s v="Supplier"/>
    <m/>
    <x v="793"/>
    <s v="Letter of confidentiality_SIL_19April2011.pdf"/>
    <s v=".pdf"/>
    <d v="2014-03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4"/>
    <m/>
    <m/>
    <m/>
    <n v="0"/>
    <m/>
    <m/>
    <m/>
    <s v="CP"/>
    <m/>
    <s v="MOULD"/>
    <s v="CP MOULD "/>
    <x v="0"/>
    <x v="1"/>
    <m/>
    <x v="55"/>
  </r>
  <r>
    <n v="1094"/>
    <x v="223"/>
    <x v="223"/>
    <x v="209"/>
    <x v="1"/>
    <x v="11"/>
    <n v="1070"/>
    <x v="8"/>
    <m/>
    <m/>
    <s v="Supplier"/>
    <m/>
    <x v="84"/>
    <s v="Sunstrong_Responsible_Purchasing_Charter_20Aug12.pdf"/>
    <s v=".pdf"/>
    <d v="2014-03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4"/>
    <m/>
    <m/>
    <m/>
    <n v="0"/>
    <m/>
    <m/>
    <m/>
    <s v="CP"/>
    <m/>
    <s v="MOULD"/>
    <s v="CP MOULD "/>
    <x v="0"/>
    <x v="1"/>
    <m/>
    <x v="55"/>
  </r>
  <r>
    <n v="1095"/>
    <x v="223"/>
    <x v="223"/>
    <x v="209"/>
    <x v="1"/>
    <x v="11"/>
    <n v="1071"/>
    <x v="1"/>
    <m/>
    <m/>
    <s v="Supplier"/>
    <m/>
    <x v="112"/>
    <s v="Sun Strong_SEF_2012-2.xlsx"/>
    <s v=".xlsx"/>
    <d v="2014-03-25T00:00:00"/>
    <s v="as\afok"/>
    <m/>
    <s v="2012"/>
    <m/>
    <m/>
    <m/>
    <m/>
    <m/>
    <x v="0"/>
    <x v="0"/>
    <x v="0"/>
    <x v="17"/>
    <x v="0"/>
    <x v="0"/>
    <x v="0"/>
    <x v="0"/>
    <x v="0"/>
    <x v="0"/>
    <x v="0"/>
    <x v="0"/>
    <x v="0"/>
    <x v="0"/>
    <x v="0"/>
    <s v="CP Panel"/>
    <x v="0"/>
    <x v="0"/>
    <x v="1"/>
    <x v="4"/>
    <m/>
    <m/>
    <m/>
    <n v="0"/>
    <m/>
    <m/>
    <m/>
    <s v="CP"/>
    <m/>
    <s v="MOULD"/>
    <s v="CP MOULD "/>
    <x v="0"/>
    <x v="1"/>
    <m/>
    <x v="55"/>
  </r>
  <r>
    <n v="1096"/>
    <x v="223"/>
    <x v="223"/>
    <x v="209"/>
    <x v="1"/>
    <x v="11"/>
    <n v="1072"/>
    <x v="1"/>
    <m/>
    <m/>
    <s v="Supplier"/>
    <m/>
    <x v="30"/>
    <s v="Sun_Strong_SEF_2012.xlsx"/>
    <s v=".xlsx"/>
    <d v="2014-03-25T00:00:00"/>
    <s v="as\afok"/>
    <m/>
    <s v="2012"/>
    <m/>
    <m/>
    <m/>
    <m/>
    <m/>
    <x v="0"/>
    <x v="0"/>
    <x v="0"/>
    <x v="14"/>
    <x v="0"/>
    <x v="0"/>
    <x v="0"/>
    <x v="0"/>
    <x v="0"/>
    <x v="0"/>
    <x v="0"/>
    <x v="0"/>
    <x v="0"/>
    <x v="0"/>
    <x v="0"/>
    <s v="CP Panel"/>
    <x v="0"/>
    <x v="0"/>
    <x v="1"/>
    <x v="4"/>
    <m/>
    <m/>
    <m/>
    <n v="0"/>
    <m/>
    <m/>
    <m/>
    <s v="CP"/>
    <m/>
    <s v="MOULD"/>
    <s v="CP MOULD "/>
    <x v="0"/>
    <x v="1"/>
    <m/>
    <x v="55"/>
  </r>
  <r>
    <n v="1090"/>
    <x v="223"/>
    <x v="223"/>
    <x v="209"/>
    <x v="1"/>
    <x v="11"/>
    <n v="1066"/>
    <x v="1"/>
    <m/>
    <m/>
    <s v="Supplier"/>
    <m/>
    <x v="190"/>
    <s v="SIL_SEF_2013-1.xlsx"/>
    <s v=".xlsx"/>
    <d v="2014-03-25T00:00:00"/>
    <s v="as\afok"/>
    <m/>
    <s v="2013"/>
    <m/>
    <m/>
    <m/>
    <m/>
    <m/>
    <x v="0"/>
    <x v="0"/>
    <x v="0"/>
    <x v="23"/>
    <x v="0"/>
    <x v="0"/>
    <x v="0"/>
    <x v="0"/>
    <x v="0"/>
    <x v="0"/>
    <x v="0"/>
    <x v="0"/>
    <x v="0"/>
    <x v="0"/>
    <x v="0"/>
    <s v="CP Panel"/>
    <x v="0"/>
    <x v="0"/>
    <x v="1"/>
    <x v="4"/>
    <m/>
    <m/>
    <m/>
    <n v="0"/>
    <m/>
    <m/>
    <m/>
    <s v="CP"/>
    <m/>
    <s v="MOULD"/>
    <s v="CP MOULD "/>
    <x v="0"/>
    <x v="1"/>
    <m/>
    <x v="55"/>
  </r>
  <r>
    <n v="1091"/>
    <x v="223"/>
    <x v="223"/>
    <x v="209"/>
    <x v="1"/>
    <x v="11"/>
    <n v="1067"/>
    <x v="2"/>
    <n v="1"/>
    <m/>
    <s v="Supplier"/>
    <m/>
    <x v="160"/>
    <s v="Sun_Strong_SIF 2013.xlsx"/>
    <s v=".xlsx"/>
    <d v="2014-03-25T00:00:00"/>
    <s v="as\afok"/>
    <m/>
    <s v="2013"/>
    <m/>
    <m/>
    <m/>
    <m/>
    <m/>
    <x v="0"/>
    <x v="0"/>
    <x v="0"/>
    <x v="0"/>
    <x v="2"/>
    <x v="123"/>
    <x v="64"/>
    <x v="175"/>
    <x v="82"/>
    <x v="151"/>
    <x v="0"/>
    <x v="94"/>
    <x v="86"/>
    <x v="82"/>
    <x v="78"/>
    <s v="CP Panel"/>
    <x v="0"/>
    <x v="0"/>
    <x v="1"/>
    <x v="4"/>
    <m/>
    <m/>
    <m/>
    <n v="0"/>
    <m/>
    <m/>
    <m/>
    <s v="CP"/>
    <m/>
    <s v="MOULD"/>
    <s v="CP MOULD "/>
    <x v="2"/>
    <x v="1"/>
    <m/>
    <x v="55"/>
  </r>
  <r>
    <n v="1093"/>
    <x v="223"/>
    <x v="223"/>
    <x v="209"/>
    <x v="1"/>
    <x v="11"/>
    <n v="1069"/>
    <x v="3"/>
    <m/>
    <m/>
    <s v="Supplier"/>
    <m/>
    <x v="153"/>
    <s v="Sun Strong - SPR - Sept 2012.pptx"/>
    <s v=".pptx"/>
    <d v="2014-03-25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4"/>
    <m/>
    <m/>
    <m/>
    <n v="0"/>
    <m/>
    <m/>
    <m/>
    <s v="CP"/>
    <m/>
    <s v="MOULD"/>
    <s v="CP MOULD "/>
    <x v="0"/>
    <x v="1"/>
    <m/>
    <x v="55"/>
  </r>
  <r>
    <n v="2531"/>
    <x v="224"/>
    <x v="224"/>
    <x v="210"/>
    <x v="5"/>
    <x v="16"/>
    <n v="2412"/>
    <x v="4"/>
    <m/>
    <m/>
    <s v="Supplier"/>
    <m/>
    <x v="794"/>
    <s v="SUZHOU DELUXE-DEVELOPMENT AND SUPPLY AGREEMENT-14012009.pdf"/>
    <s v=".pdf"/>
    <d v="2014-04-23T00:00:00"/>
    <s v="as\afok"/>
    <m/>
    <s v="FHA 00 016 ind.07"/>
    <s v="37E3 - 30 days end of month due net on posting date 37E3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0"/>
    <m/>
    <m/>
    <s v="FP"/>
    <m/>
    <s v="SP"/>
    <m/>
    <s v="FP SP "/>
    <x v="0"/>
    <x v="1"/>
    <m/>
    <x v="10"/>
  </r>
  <r>
    <n v="2532"/>
    <x v="224"/>
    <x v="224"/>
    <x v="210"/>
    <x v="5"/>
    <x v="16"/>
    <n v="2413"/>
    <x v="7"/>
    <m/>
    <m/>
    <s v="Supplier"/>
    <m/>
    <x v="295"/>
    <s v="Deluxe_Env_Declaration_03Jun2010.pdf"/>
    <s v=".pdf"/>
    <d v="2014-04-23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m/>
    <s v="FP SP "/>
    <x v="0"/>
    <x v="1"/>
    <m/>
    <x v="10"/>
  </r>
  <r>
    <n v="2529"/>
    <x v="224"/>
    <x v="224"/>
    <x v="210"/>
    <x v="5"/>
    <x v="16"/>
    <n v="2410"/>
    <x v="8"/>
    <m/>
    <m/>
    <s v="Supplier"/>
    <m/>
    <x v="176"/>
    <s v="DULUXE -Responsible  Purchasing Charter_17Aug2012.pdf"/>
    <s v=".pdf"/>
    <d v="2014-04-2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m/>
    <s v="FP SP "/>
    <x v="0"/>
    <x v="1"/>
    <m/>
    <x v="10"/>
  </r>
  <r>
    <n v="2530"/>
    <x v="224"/>
    <x v="224"/>
    <x v="210"/>
    <x v="5"/>
    <x v="16"/>
    <n v="2411"/>
    <x v="1"/>
    <m/>
    <m/>
    <s v="Supplier"/>
    <m/>
    <x v="795"/>
    <s v="SEF DELUXE 2011 OCT.xlsx"/>
    <s v=".xlsx"/>
    <d v="2014-04-23T00:00:00"/>
    <s v="as\afok"/>
    <m/>
    <s v="2011"/>
    <m/>
    <m/>
    <m/>
    <m/>
    <m/>
    <x v="0"/>
    <x v="0"/>
    <x v="0"/>
    <x v="18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m/>
    <s v="FP SP "/>
    <x v="0"/>
    <x v="1"/>
    <m/>
    <x v="10"/>
  </r>
  <r>
    <n v="2533"/>
    <x v="224"/>
    <x v="224"/>
    <x v="210"/>
    <x v="5"/>
    <x v="16"/>
    <n v="2414"/>
    <x v="2"/>
    <m/>
    <m/>
    <s v="Supplier"/>
    <m/>
    <x v="685"/>
    <s v="Deluxe_SIF_03Jun2010.xls"/>
    <s v=".xls"/>
    <d v="2014-04-23T00:00:00"/>
    <s v="as\afok"/>
    <m/>
    <s v="2010"/>
    <m/>
    <m/>
    <m/>
    <m/>
    <m/>
    <x v="0"/>
    <x v="0"/>
    <x v="0"/>
    <x v="0"/>
    <x v="4"/>
    <x v="141"/>
    <x v="61"/>
    <x v="28"/>
    <x v="0"/>
    <x v="0"/>
    <x v="0"/>
    <x v="48"/>
    <x v="0"/>
    <x v="0"/>
    <x v="0"/>
    <m/>
    <x v="0"/>
    <x v="0"/>
    <x v="0"/>
    <x v="0"/>
    <m/>
    <m/>
    <m/>
    <n v="0"/>
    <m/>
    <n v="1"/>
    <s v="FP"/>
    <m/>
    <s v="SP"/>
    <m/>
    <s v="FP SP "/>
    <x v="3"/>
    <x v="1"/>
    <m/>
    <x v="10"/>
  </r>
  <r>
    <n v="1106"/>
    <x v="225"/>
    <x v="225"/>
    <x v="211"/>
    <x v="1"/>
    <x v="11"/>
    <n v="1082"/>
    <x v="4"/>
    <m/>
    <m/>
    <s v="Supplier"/>
    <m/>
    <x v="796"/>
    <s v="TaHsing_0.SupplyAgreement_31May2012.pdf"/>
    <s v=".pdf"/>
    <d v="2014-03-25T00:00:00"/>
    <s v="as\afok"/>
    <m/>
    <s v="V7"/>
    <s v="37D6 - Within 60 days Due net on posting date 37D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n v="1"/>
    <m/>
    <m/>
    <n v="1"/>
    <m/>
    <m/>
    <m/>
    <s v="CP"/>
    <m/>
    <m/>
    <s v="CP "/>
    <x v="0"/>
    <x v="1"/>
    <m/>
    <x v="21"/>
  </r>
  <r>
    <n v="1110"/>
    <x v="225"/>
    <x v="225"/>
    <x v="211"/>
    <x v="1"/>
    <x v="11"/>
    <n v="1086"/>
    <x v="5"/>
    <m/>
    <m/>
    <s v="Supplier"/>
    <m/>
    <x v="170"/>
    <s v="TaHsing_QualityPurchasingContracts_24Oct2013.pdf"/>
    <s v=".pdf"/>
    <d v="2014-03-25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n v="1"/>
    <m/>
    <n v="1"/>
    <m/>
    <m/>
    <m/>
    <s v="CP"/>
    <m/>
    <m/>
    <s v="CP "/>
    <x v="0"/>
    <x v="1"/>
    <m/>
    <x v="21"/>
  </r>
  <r>
    <n v="1109"/>
    <x v="225"/>
    <x v="225"/>
    <x v="211"/>
    <x v="1"/>
    <x v="11"/>
    <n v="1085"/>
    <x v="6"/>
    <m/>
    <m/>
    <s v="Supplier"/>
    <m/>
    <x v="796"/>
    <s v="TaHsing_SupplyChainAppendix_31May2012.pdf"/>
    <s v=".pdf"/>
    <d v="2014-03-25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n v="1"/>
    <n v="1"/>
    <m/>
    <m/>
    <m/>
    <s v="CP"/>
    <m/>
    <m/>
    <s v="CP "/>
    <x v="0"/>
    <x v="1"/>
    <m/>
    <x v="21"/>
  </r>
  <r>
    <n v="1108"/>
    <x v="225"/>
    <x v="225"/>
    <x v="211"/>
    <x v="1"/>
    <x v="11"/>
    <n v="1084"/>
    <x v="10"/>
    <m/>
    <m/>
    <s v="Supplier"/>
    <m/>
    <x v="796"/>
    <s v="TaHsing_6.DeclarationLetter_31May2012.pdf"/>
    <s v=".pdf"/>
    <d v="2014-03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21"/>
  </r>
  <r>
    <n v="1107"/>
    <x v="225"/>
    <x v="225"/>
    <x v="211"/>
    <x v="1"/>
    <x v="11"/>
    <n v="1083"/>
    <x v="7"/>
    <m/>
    <m/>
    <s v="Supplier"/>
    <m/>
    <x v="796"/>
    <s v="TaHsing_3.EnvironmentalDeclaration_31May2012.pdf"/>
    <s v=".pdf"/>
    <d v="2014-03-25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21"/>
  </r>
  <r>
    <n v="1101"/>
    <x v="225"/>
    <x v="225"/>
    <x v="211"/>
    <x v="1"/>
    <x v="11"/>
    <n v="1077"/>
    <x v="13"/>
    <m/>
    <m/>
    <s v="Supplier"/>
    <d v="2011-06-18T00:00:00"/>
    <x v="797"/>
    <s v="Ta Hsing_ISO14001_15Jul2008.PDF"/>
    <s v=".pdf"/>
    <d v="2014-03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21"/>
  </r>
  <r>
    <n v="1098"/>
    <x v="225"/>
    <x v="225"/>
    <x v="211"/>
    <x v="1"/>
    <x v="11"/>
    <n v="1074"/>
    <x v="14"/>
    <m/>
    <m/>
    <s v="Supplier"/>
    <d v="2008-05-21T00:00:00"/>
    <x v="798"/>
    <s v="Ta Hsing_ISO9001_21May2008.PDF"/>
    <s v=".pdf"/>
    <d v="2014-03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21"/>
  </r>
  <r>
    <n v="1100"/>
    <x v="225"/>
    <x v="225"/>
    <x v="211"/>
    <x v="1"/>
    <x v="11"/>
    <n v="1076"/>
    <x v="8"/>
    <m/>
    <m/>
    <s v="Supplier"/>
    <m/>
    <x v="19"/>
    <s v="Ta_Hsing_Responsible_Purchasing_Charter_07Aug12.pdf"/>
    <s v=".pdf"/>
    <d v="2014-03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21"/>
  </r>
  <r>
    <n v="1112"/>
    <x v="225"/>
    <x v="225"/>
    <x v="211"/>
    <x v="1"/>
    <x v="11"/>
    <n v="1088"/>
    <x v="8"/>
    <m/>
    <m/>
    <s v="Supplier"/>
    <m/>
    <x v="799"/>
    <s v="TaHsing_PurchasingCharter_27Nov2013(English).pdf"/>
    <s v=".pdf"/>
    <d v="2014-03-25T00:00:00"/>
    <s v="as\afok"/>
    <s v="English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21"/>
  </r>
  <r>
    <n v="1111"/>
    <x v="225"/>
    <x v="225"/>
    <x v="211"/>
    <x v="1"/>
    <x v="11"/>
    <n v="1087"/>
    <x v="8"/>
    <m/>
    <m/>
    <s v="Supplier"/>
    <m/>
    <x v="799"/>
    <s v="TaHsing_PurchasingCharter_27Nov2013(Chinese).pdf"/>
    <s v=".pdf"/>
    <d v="2014-03-25T00:00:00"/>
    <s v="as\afok"/>
    <s v="Chinese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21"/>
  </r>
  <r>
    <n v="1113"/>
    <x v="225"/>
    <x v="225"/>
    <x v="211"/>
    <x v="1"/>
    <x v="11"/>
    <n v="1089"/>
    <x v="8"/>
    <m/>
    <m/>
    <s v="Supplier"/>
    <m/>
    <x v="800"/>
    <s v="TaHsing_PurchasingCharter_29Nov2013(Vietnam factory).pdf"/>
    <s v=".pdf"/>
    <d v="2014-03-25T00:00:00"/>
    <s v="as\afok"/>
    <s v="Vietnam factory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n v="1"/>
    <m/>
    <m/>
    <s v="CP"/>
    <m/>
    <m/>
    <s v="CP "/>
    <x v="0"/>
    <x v="1"/>
    <m/>
    <x v="21"/>
  </r>
  <r>
    <n v="1099"/>
    <x v="225"/>
    <x v="225"/>
    <x v="211"/>
    <x v="1"/>
    <x v="11"/>
    <n v="1075"/>
    <x v="1"/>
    <m/>
    <m/>
    <s v="Supplier"/>
    <m/>
    <x v="145"/>
    <s v="Ta Hsing_SEF_2012.xls"/>
    <s v=".xls"/>
    <d v="2014-03-25T00:00:00"/>
    <s v="as\afok"/>
    <m/>
    <s v="2012"/>
    <m/>
    <m/>
    <m/>
    <m/>
    <m/>
    <x v="0"/>
    <x v="0"/>
    <x v="0"/>
    <x v="7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21"/>
  </r>
  <r>
    <n v="1104"/>
    <x v="225"/>
    <x v="225"/>
    <x v="211"/>
    <x v="1"/>
    <x v="11"/>
    <n v="1080"/>
    <x v="1"/>
    <m/>
    <m/>
    <s v="Supplier"/>
    <m/>
    <x v="638"/>
    <s v="Ta Hsing_SEF_2013-1.xlsx"/>
    <s v=".xlsx"/>
    <d v="2014-03-25T00:00:00"/>
    <s v="as\afok"/>
    <m/>
    <s v="2013"/>
    <m/>
    <m/>
    <m/>
    <m/>
    <m/>
    <x v="0"/>
    <x v="0"/>
    <x v="0"/>
    <x v="48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21"/>
  </r>
  <r>
    <n v="1103"/>
    <x v="225"/>
    <x v="225"/>
    <x v="211"/>
    <x v="1"/>
    <x v="11"/>
    <n v="1079"/>
    <x v="2"/>
    <m/>
    <m/>
    <s v="Supplier"/>
    <m/>
    <x v="507"/>
    <s v="TA_Hsing_SIF2013.xlsx"/>
    <s v=".xlsx"/>
    <d v="2014-03-25T00:00:00"/>
    <s v="as\afok"/>
    <m/>
    <s v="2013"/>
    <m/>
    <m/>
    <m/>
    <m/>
    <m/>
    <x v="0"/>
    <x v="0"/>
    <x v="0"/>
    <x v="0"/>
    <x v="2"/>
    <x v="0"/>
    <x v="85"/>
    <x v="176"/>
    <x v="158"/>
    <x v="152"/>
    <x v="0"/>
    <x v="101"/>
    <x v="92"/>
    <x v="83"/>
    <x v="23"/>
    <s v="CP Panel"/>
    <x v="0"/>
    <x v="0"/>
    <x v="1"/>
    <x v="1"/>
    <m/>
    <m/>
    <m/>
    <n v="1"/>
    <m/>
    <m/>
    <m/>
    <s v="CP"/>
    <m/>
    <m/>
    <s v="CP "/>
    <x v="2"/>
    <x v="1"/>
    <m/>
    <x v="21"/>
  </r>
  <r>
    <n v="1105"/>
    <x v="225"/>
    <x v="225"/>
    <x v="211"/>
    <x v="1"/>
    <x v="11"/>
    <n v="1081"/>
    <x v="3"/>
    <m/>
    <m/>
    <s v="Supplier"/>
    <m/>
    <x v="180"/>
    <s v="Ta Hsing_SPR_ 2013_05.pptx"/>
    <s v=".pptx"/>
    <d v="2014-03-25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21"/>
  </r>
  <r>
    <n v="1097"/>
    <x v="225"/>
    <x v="225"/>
    <x v="211"/>
    <x v="1"/>
    <x v="11"/>
    <n v="1073"/>
    <x v="3"/>
    <m/>
    <m/>
    <s v="Supplier"/>
    <m/>
    <x v="153"/>
    <s v="TA HSING- SPR- Sept 2012.pptx"/>
    <s v=".pptx"/>
    <d v="2014-03-25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21"/>
  </r>
  <r>
    <n v="2682"/>
    <x v="226"/>
    <x v="226"/>
    <x v="212"/>
    <x v="0"/>
    <x v="0"/>
    <n v="2525"/>
    <x v="4"/>
    <m/>
    <m/>
    <s v="Supplier"/>
    <m/>
    <x v="30"/>
    <s v="Team_Concept_General Agrreement_16Dec11.pdf"/>
    <s v=".pdf"/>
    <d v="2014-04-24T00:00:00"/>
    <s v="as\afok"/>
    <m/>
    <s v="FHA 00 016 ind.10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n v="1"/>
    <m/>
    <m/>
    <n v="1"/>
    <m/>
    <m/>
    <s v="FP"/>
    <s v="CP"/>
    <m/>
    <s v="MOULD"/>
    <s v="FP CP MOULD Both"/>
    <x v="0"/>
    <x v="1"/>
    <m/>
    <x v="19"/>
  </r>
  <r>
    <n v="2691"/>
    <x v="226"/>
    <x v="226"/>
    <x v="212"/>
    <x v="0"/>
    <x v="0"/>
    <n v="2534"/>
    <x v="4"/>
    <m/>
    <m/>
    <s v="Supplier"/>
    <m/>
    <x v="801"/>
    <s v="Team Concept FHA000016 ind. 09 20090519.pdf"/>
    <s v=".pdf"/>
    <d v="2014-04-24T00:00:00"/>
    <s v="as\afok"/>
    <m/>
    <s v="FHA 00 016 ind.09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n v="1"/>
    <m/>
    <m/>
    <n v="1"/>
    <n v="1"/>
    <m/>
    <s v="FP"/>
    <s v="CP"/>
    <m/>
    <s v="MOULD"/>
    <s v="FP CP MOULD Both"/>
    <x v="0"/>
    <x v="1"/>
    <m/>
    <x v="19"/>
  </r>
  <r>
    <n v="2685"/>
    <x v="226"/>
    <x v="226"/>
    <x v="212"/>
    <x v="0"/>
    <x v="0"/>
    <n v="2528"/>
    <x v="5"/>
    <m/>
    <m/>
    <s v="Supplier"/>
    <m/>
    <x v="802"/>
    <s v="Team_Concept_General Agrreement_16Dec11.pdf"/>
    <s v=".pdf"/>
    <d v="2014-04-24T00:00:00"/>
    <s v="as\afok"/>
    <m/>
    <m/>
    <m/>
    <m/>
    <m/>
    <n v="3000"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n v="1"/>
    <m/>
    <n v="1"/>
    <m/>
    <m/>
    <s v="FP"/>
    <s v="CP"/>
    <m/>
    <s v="MOULD"/>
    <s v="FP CP MOULD Both"/>
    <x v="0"/>
    <x v="1"/>
    <m/>
    <x v="19"/>
  </r>
  <r>
    <n v="2684"/>
    <x v="226"/>
    <x v="226"/>
    <x v="212"/>
    <x v="0"/>
    <x v="0"/>
    <n v="2527"/>
    <x v="6"/>
    <m/>
    <m/>
    <s v="Supplier"/>
    <m/>
    <x v="803"/>
    <s v="Team_Concept_General Agrreement_16Dec11.pdf"/>
    <s v=".pdf"/>
    <d v="2014-04-24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n v="1"/>
    <n v="1"/>
    <m/>
    <m/>
    <s v="FP"/>
    <s v="CP"/>
    <m/>
    <s v="MOULD"/>
    <s v="FP CP MOULD Both"/>
    <x v="0"/>
    <x v="1"/>
    <m/>
    <x v="19"/>
  </r>
  <r>
    <n v="2686"/>
    <x v="226"/>
    <x v="226"/>
    <x v="212"/>
    <x v="0"/>
    <x v="0"/>
    <n v="2529"/>
    <x v="10"/>
    <m/>
    <m/>
    <s v="Supplier"/>
    <m/>
    <x v="462"/>
    <s v="Team_Concept_General Agrreement_16Dec11.pdf"/>
    <s v=".pdf"/>
    <d v="2014-04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s v="CP"/>
    <m/>
    <s v="MOULD"/>
    <s v="FP CP MOULD Both"/>
    <x v="0"/>
    <x v="1"/>
    <m/>
    <x v="19"/>
  </r>
  <r>
    <n v="2683"/>
    <x v="226"/>
    <x v="226"/>
    <x v="212"/>
    <x v="0"/>
    <x v="0"/>
    <n v="2526"/>
    <x v="7"/>
    <m/>
    <m/>
    <s v="Supplier"/>
    <m/>
    <x v="802"/>
    <s v="Team_Concept_General Agrreement_16Dec11.pdf"/>
    <s v=".pdf"/>
    <d v="2014-04-24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s v="CP"/>
    <m/>
    <s v="MOULD"/>
    <s v="FP CP MOULD Both"/>
    <x v="0"/>
    <x v="1"/>
    <m/>
    <x v="19"/>
  </r>
  <r>
    <n v="2681"/>
    <x v="226"/>
    <x v="226"/>
    <x v="212"/>
    <x v="0"/>
    <x v="0"/>
    <n v="2524"/>
    <x v="16"/>
    <m/>
    <m/>
    <s v="Supplier"/>
    <d v="2013-03-09T00:00:00"/>
    <x v="713"/>
    <s v="Team_Concept_SA8000_18May2010.pdf"/>
    <s v=".pdf"/>
    <d v="2014-04-24T00:00:00"/>
    <s v="as\afok"/>
    <s v="SA8000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s v="CP"/>
    <m/>
    <s v="MOULD"/>
    <s v="FP CP MOULD Both"/>
    <x v="0"/>
    <x v="1"/>
    <m/>
    <x v="19"/>
  </r>
  <r>
    <n v="2687"/>
    <x v="226"/>
    <x v="226"/>
    <x v="212"/>
    <x v="0"/>
    <x v="0"/>
    <n v="2530"/>
    <x v="8"/>
    <m/>
    <m/>
    <s v="Supplier"/>
    <m/>
    <x v="227"/>
    <s v="Team Concept_Responsible Purchasing Charter_4Aug12.pdf"/>
    <s v=".pdf"/>
    <d v="2014-04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s v="CP"/>
    <m/>
    <s v="MOULD"/>
    <s v="FP CP MOULD Both"/>
    <x v="0"/>
    <x v="1"/>
    <m/>
    <x v="19"/>
  </r>
  <r>
    <n v="2689"/>
    <x v="226"/>
    <x v="226"/>
    <x v="212"/>
    <x v="0"/>
    <x v="0"/>
    <n v="2532"/>
    <x v="1"/>
    <m/>
    <m/>
    <s v="Supplier"/>
    <m/>
    <x v="354"/>
    <s v="SEF 2012 - Team Concept.xlsx"/>
    <s v=".xlsx"/>
    <d v="2014-04-24T00:00:00"/>
    <s v="as\afok"/>
    <m/>
    <s v="2012"/>
    <m/>
    <m/>
    <m/>
    <m/>
    <m/>
    <x v="0"/>
    <x v="0"/>
    <x v="0"/>
    <x v="17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s v="CP"/>
    <m/>
    <s v="MOULD"/>
    <s v="FP CP MOULD Both"/>
    <x v="0"/>
    <x v="1"/>
    <m/>
    <x v="19"/>
  </r>
  <r>
    <n v="2679"/>
    <x v="226"/>
    <x v="226"/>
    <x v="212"/>
    <x v="0"/>
    <x v="0"/>
    <n v="2522"/>
    <x v="1"/>
    <m/>
    <m/>
    <s v="Supplier"/>
    <m/>
    <x v="267"/>
    <s v="SEF - Team Concept 2013.xlsx"/>
    <s v=".xlsx"/>
    <d v="2014-04-24T00:00:00"/>
    <s v="as\afok"/>
    <m/>
    <s v="2013"/>
    <m/>
    <m/>
    <m/>
    <m/>
    <m/>
    <x v="0"/>
    <x v="0"/>
    <x v="0"/>
    <x v="7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s v="CP"/>
    <m/>
    <s v="MOULD"/>
    <s v="FP CP MOULD Both"/>
    <x v="0"/>
    <x v="1"/>
    <m/>
    <x v="19"/>
  </r>
  <r>
    <n v="2680"/>
    <x v="226"/>
    <x v="226"/>
    <x v="212"/>
    <x v="0"/>
    <x v="0"/>
    <n v="2523"/>
    <x v="2"/>
    <n v="1"/>
    <m/>
    <s v="Supplier"/>
    <m/>
    <x v="374"/>
    <s v="Team_Concept_SIF2012.xls"/>
    <s v=".xls"/>
    <d v="2014-04-24T00:00:00"/>
    <s v="as\afok"/>
    <m/>
    <s v="2012"/>
    <m/>
    <m/>
    <m/>
    <m/>
    <m/>
    <x v="0"/>
    <x v="0"/>
    <x v="0"/>
    <x v="0"/>
    <x v="1"/>
    <x v="102"/>
    <x v="135"/>
    <x v="177"/>
    <x v="159"/>
    <x v="153"/>
    <x v="0"/>
    <x v="0"/>
    <x v="0"/>
    <x v="0"/>
    <x v="0"/>
    <s v="FP panel"/>
    <x v="1"/>
    <x v="2"/>
    <x v="0"/>
    <x v="0"/>
    <m/>
    <m/>
    <m/>
    <n v="1"/>
    <m/>
    <m/>
    <s v="FP"/>
    <s v="CP"/>
    <m/>
    <s v="MOULD"/>
    <s v="FP CP MOULD Both"/>
    <x v="1"/>
    <x v="1"/>
    <m/>
    <x v="19"/>
  </r>
  <r>
    <n v="2690"/>
    <x v="226"/>
    <x v="226"/>
    <x v="212"/>
    <x v="0"/>
    <x v="0"/>
    <n v="2533"/>
    <x v="3"/>
    <m/>
    <m/>
    <s v="Supplier"/>
    <m/>
    <x v="593"/>
    <s v="SPR - Team Concept 11Mar2013.pptx"/>
    <s v=".pptx"/>
    <d v="2014-04-24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s v="CP"/>
    <m/>
    <s v="MOULD"/>
    <s v="FP CP MOULD Both"/>
    <x v="0"/>
    <x v="1"/>
    <m/>
    <x v="19"/>
  </r>
  <r>
    <n v="2688"/>
    <x v="226"/>
    <x v="226"/>
    <x v="212"/>
    <x v="0"/>
    <x v="0"/>
    <n v="2531"/>
    <x v="3"/>
    <m/>
    <m/>
    <s v="Supplier"/>
    <m/>
    <x v="747"/>
    <s v="SPR - Team Concept 2012 12-06-26.ppt"/>
    <s v=".ppt"/>
    <d v="2014-04-24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s v="CP"/>
    <m/>
    <s v="MOULD"/>
    <s v="FP CP MOULD Both"/>
    <x v="0"/>
    <x v="1"/>
    <m/>
    <x v="19"/>
  </r>
  <r>
    <n v="2678"/>
    <x v="226"/>
    <x v="226"/>
    <x v="212"/>
    <x v="0"/>
    <x v="0"/>
    <n v="2521"/>
    <x v="3"/>
    <m/>
    <m/>
    <s v="Supplier"/>
    <m/>
    <x v="593"/>
    <s v="SPR - Team Concept 2013.pdf"/>
    <s v=".pdf"/>
    <d v="2014-04-24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s v="CP"/>
    <m/>
    <s v="MOULD"/>
    <s v="FP CP MOULD Both"/>
    <x v="0"/>
    <x v="1"/>
    <m/>
    <x v="19"/>
  </r>
  <r>
    <n v="2351"/>
    <x v="227"/>
    <x v="227"/>
    <x v="213"/>
    <x v="1"/>
    <x v="5"/>
    <n v="2292"/>
    <x v="4"/>
    <m/>
    <m/>
    <s v="Supplier"/>
    <m/>
    <x v="408"/>
    <s v="Techlink_Purchase_Agreement_2008.pdf"/>
    <s v=".pdf"/>
    <d v="2014-04-17T00:00:00"/>
    <s v="as\afok"/>
    <m/>
    <m/>
    <s v="37D6 - Within 60 days Due net on posting date 37D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and  CP Panel"/>
    <x v="1"/>
    <x v="2"/>
    <x v="1"/>
    <x v="3"/>
    <n v="1"/>
    <m/>
    <m/>
    <n v="1"/>
    <m/>
    <m/>
    <s v="FP"/>
    <s v="CP"/>
    <m/>
    <s v="MOULD"/>
    <s v="FP CP MOULD Both"/>
    <x v="0"/>
    <x v="1"/>
    <m/>
    <x v="50"/>
  </r>
  <r>
    <n v="2353"/>
    <x v="227"/>
    <x v="227"/>
    <x v="213"/>
    <x v="1"/>
    <x v="5"/>
    <n v="2294"/>
    <x v="4"/>
    <m/>
    <m/>
    <s v="Supplier"/>
    <m/>
    <x v="804"/>
    <s v="Techlink_General Agreement_V7.pdf"/>
    <s v=".pdf"/>
    <d v="2014-04-17T00:00:00"/>
    <s v="as\afok"/>
    <m/>
    <s v="V7"/>
    <s v="37D9 - Within 90 days Due net on posting date 37D9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and  CP Panel"/>
    <x v="1"/>
    <x v="2"/>
    <x v="1"/>
    <x v="3"/>
    <n v="1"/>
    <m/>
    <m/>
    <n v="1"/>
    <m/>
    <m/>
    <s v="FP"/>
    <s v="CP"/>
    <m/>
    <s v="MOULD"/>
    <s v="FP CP MOULD Both"/>
    <x v="0"/>
    <x v="1"/>
    <m/>
    <x v="50"/>
  </r>
  <r>
    <n v="2352"/>
    <x v="227"/>
    <x v="227"/>
    <x v="213"/>
    <x v="1"/>
    <x v="5"/>
    <n v="2293"/>
    <x v="5"/>
    <m/>
    <m/>
    <s v="Supplier"/>
    <m/>
    <x v="214"/>
    <s v="Techlink_Purchase_Agreement_2008.pdf"/>
    <s v=".pdf"/>
    <d v="2014-04-17T00:00:00"/>
    <s v="as\afok"/>
    <m/>
    <s v="FHA 00 014 ind.07"/>
    <m/>
    <m/>
    <m/>
    <n v="0"/>
    <m/>
    <x v="0"/>
    <x v="0"/>
    <x v="0"/>
    <x v="0"/>
    <x v="0"/>
    <x v="0"/>
    <x v="0"/>
    <x v="0"/>
    <x v="0"/>
    <x v="0"/>
    <x v="0"/>
    <x v="0"/>
    <x v="0"/>
    <x v="0"/>
    <x v="0"/>
    <s v="FP Panel and  CP Panel"/>
    <x v="1"/>
    <x v="2"/>
    <x v="1"/>
    <x v="3"/>
    <m/>
    <n v="1"/>
    <m/>
    <n v="1"/>
    <m/>
    <m/>
    <s v="FP"/>
    <s v="CP"/>
    <m/>
    <s v="MOULD"/>
    <s v="FP CP MOULD Both"/>
    <x v="0"/>
    <x v="1"/>
    <m/>
    <x v="50"/>
  </r>
  <r>
    <n v="2356"/>
    <x v="227"/>
    <x v="227"/>
    <x v="213"/>
    <x v="1"/>
    <x v="5"/>
    <n v="2297"/>
    <x v="5"/>
    <m/>
    <m/>
    <s v="Supplier"/>
    <m/>
    <x v="805"/>
    <s v="Techlink_General Agreement_V7.pdf"/>
    <s v=".pdf"/>
    <d v="2014-04-17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FP Panel and  CP Panel"/>
    <x v="1"/>
    <x v="2"/>
    <x v="1"/>
    <x v="3"/>
    <m/>
    <n v="1"/>
    <m/>
    <n v="1"/>
    <m/>
    <m/>
    <s v="FP"/>
    <s v="CP"/>
    <m/>
    <s v="MOULD"/>
    <s v="FP CP MOULD Both"/>
    <x v="0"/>
    <x v="1"/>
    <m/>
    <x v="50"/>
  </r>
  <r>
    <n v="2355"/>
    <x v="227"/>
    <x v="227"/>
    <x v="213"/>
    <x v="1"/>
    <x v="5"/>
    <n v="2296"/>
    <x v="6"/>
    <m/>
    <m/>
    <s v="Supplier"/>
    <m/>
    <x v="804"/>
    <s v="Techlink_General Agreement_V7.pdf"/>
    <s v=".pdf"/>
    <d v="2014-04-17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FP Panel and  CP Panel"/>
    <x v="1"/>
    <x v="2"/>
    <x v="1"/>
    <x v="3"/>
    <m/>
    <m/>
    <n v="1"/>
    <n v="1"/>
    <m/>
    <m/>
    <s v="FP"/>
    <s v="CP"/>
    <m/>
    <s v="MOULD"/>
    <s v="FP CP MOULD Both"/>
    <x v="0"/>
    <x v="1"/>
    <m/>
    <x v="50"/>
  </r>
  <r>
    <n v="2357"/>
    <x v="227"/>
    <x v="227"/>
    <x v="213"/>
    <x v="1"/>
    <x v="5"/>
    <n v="2298"/>
    <x v="10"/>
    <m/>
    <m/>
    <s v="Supplier"/>
    <m/>
    <x v="805"/>
    <s v="Techlink_General Agreement_V7.pdf"/>
    <s v=".pdf"/>
    <d v="2014-04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and  CP Panel"/>
    <x v="1"/>
    <x v="2"/>
    <x v="1"/>
    <x v="3"/>
    <m/>
    <m/>
    <m/>
    <n v="1"/>
    <m/>
    <m/>
    <s v="FP"/>
    <s v="CP"/>
    <m/>
    <s v="MOULD"/>
    <s v="FP CP MOULD Both"/>
    <x v="0"/>
    <x v="1"/>
    <m/>
    <x v="50"/>
  </r>
  <r>
    <n v="2354"/>
    <x v="227"/>
    <x v="227"/>
    <x v="213"/>
    <x v="1"/>
    <x v="5"/>
    <n v="2295"/>
    <x v="7"/>
    <m/>
    <m/>
    <s v="Supplier"/>
    <m/>
    <x v="804"/>
    <s v="Techlink_General Agreement_V7.pdf"/>
    <s v=".pdf"/>
    <d v="2014-04-17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and  CP Panel"/>
    <x v="1"/>
    <x v="2"/>
    <x v="1"/>
    <x v="3"/>
    <m/>
    <m/>
    <m/>
    <n v="1"/>
    <m/>
    <m/>
    <s v="FP"/>
    <s v="CP"/>
    <m/>
    <s v="MOULD"/>
    <s v="FP CP MOULD Both"/>
    <x v="0"/>
    <x v="1"/>
    <m/>
    <x v="50"/>
  </r>
  <r>
    <n v="2360"/>
    <x v="227"/>
    <x v="227"/>
    <x v="213"/>
    <x v="1"/>
    <x v="5"/>
    <n v="2301"/>
    <x v="7"/>
    <m/>
    <m/>
    <s v="Supplier"/>
    <m/>
    <x v="611"/>
    <s v="Tech_Link_Env_Declaration_20May2010.xls"/>
    <s v=".xls"/>
    <d v="2014-04-17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and  CP Panel"/>
    <x v="1"/>
    <x v="2"/>
    <x v="1"/>
    <x v="3"/>
    <m/>
    <m/>
    <m/>
    <n v="1"/>
    <m/>
    <m/>
    <s v="FP"/>
    <s v="CP"/>
    <m/>
    <s v="MOULD"/>
    <s v="FP CP MOULD Both"/>
    <x v="0"/>
    <x v="1"/>
    <m/>
    <x v="50"/>
  </r>
  <r>
    <n v="2350"/>
    <x v="227"/>
    <x v="227"/>
    <x v="213"/>
    <x v="1"/>
    <x v="5"/>
    <n v="2291"/>
    <x v="0"/>
    <m/>
    <m/>
    <s v="Supplier"/>
    <m/>
    <x v="806"/>
    <s v="Tech Link FRD00069 ind.04 200906.pdf"/>
    <s v=".pdf"/>
    <d v="2014-04-17T00:00:00"/>
    <s v="as\afok"/>
    <m/>
    <s v="FRD 00 069 ind.04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and  CP Panel"/>
    <x v="1"/>
    <x v="2"/>
    <x v="1"/>
    <x v="3"/>
    <m/>
    <m/>
    <m/>
    <n v="1"/>
    <m/>
    <m/>
    <s v="FP"/>
    <s v="CP"/>
    <m/>
    <s v="MOULD"/>
    <s v="FP CP MOULD Both"/>
    <x v="0"/>
    <x v="1"/>
    <m/>
    <x v="50"/>
  </r>
  <r>
    <n v="2359"/>
    <x v="227"/>
    <x v="227"/>
    <x v="213"/>
    <x v="1"/>
    <x v="5"/>
    <n v="2300"/>
    <x v="9"/>
    <m/>
    <m/>
    <s v="Supplier"/>
    <m/>
    <x v="584"/>
    <s v="Techlink_LOC_06FEB2013.pdf"/>
    <s v=".pdf"/>
    <d v="2014-04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and  CP Panel"/>
    <x v="1"/>
    <x v="2"/>
    <x v="1"/>
    <x v="3"/>
    <m/>
    <m/>
    <m/>
    <n v="1"/>
    <m/>
    <m/>
    <s v="FP"/>
    <s v="CP"/>
    <m/>
    <s v="MOULD"/>
    <s v="FP CP MOULD Both"/>
    <x v="0"/>
    <x v="1"/>
    <m/>
    <x v="50"/>
  </r>
  <r>
    <n v="2362"/>
    <x v="227"/>
    <x v="227"/>
    <x v="213"/>
    <x v="1"/>
    <x v="5"/>
    <n v="2303"/>
    <x v="8"/>
    <m/>
    <m/>
    <s v="Supplier"/>
    <m/>
    <x v="19"/>
    <s v="Techlink_Responsible_Purchasing_Charter_07Aug12.pdf"/>
    <s v=".pdf"/>
    <d v="2014-04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and  CP Panel"/>
    <x v="1"/>
    <x v="2"/>
    <x v="1"/>
    <x v="3"/>
    <m/>
    <m/>
    <m/>
    <n v="1"/>
    <m/>
    <m/>
    <s v="FP"/>
    <s v="CP"/>
    <m/>
    <s v="MOULD"/>
    <s v="FP CP MOULD Both"/>
    <x v="0"/>
    <x v="1"/>
    <m/>
    <x v="50"/>
  </r>
  <r>
    <n v="2361"/>
    <x v="227"/>
    <x v="227"/>
    <x v="213"/>
    <x v="1"/>
    <x v="5"/>
    <n v="2302"/>
    <x v="1"/>
    <m/>
    <m/>
    <s v="Supplier"/>
    <m/>
    <x v="511"/>
    <s v="Techlink_SEF_2012-2.xlsx"/>
    <s v=".xlsx"/>
    <d v="2014-04-17T00:00:00"/>
    <s v="as\afok"/>
    <m/>
    <s v="2012"/>
    <m/>
    <m/>
    <m/>
    <m/>
    <m/>
    <x v="0"/>
    <x v="0"/>
    <x v="0"/>
    <x v="25"/>
    <x v="0"/>
    <x v="0"/>
    <x v="0"/>
    <x v="0"/>
    <x v="0"/>
    <x v="0"/>
    <x v="0"/>
    <x v="0"/>
    <x v="0"/>
    <x v="0"/>
    <x v="0"/>
    <s v="FP Panel and  CP Panel"/>
    <x v="1"/>
    <x v="2"/>
    <x v="1"/>
    <x v="3"/>
    <m/>
    <m/>
    <m/>
    <n v="1"/>
    <m/>
    <m/>
    <s v="FP"/>
    <s v="CP"/>
    <m/>
    <s v="MOULD"/>
    <s v="FP CP MOULD Both"/>
    <x v="0"/>
    <x v="1"/>
    <m/>
    <x v="50"/>
  </r>
  <r>
    <n v="2358"/>
    <x v="227"/>
    <x v="227"/>
    <x v="213"/>
    <x v="1"/>
    <x v="5"/>
    <n v="2299"/>
    <x v="1"/>
    <m/>
    <m/>
    <s v="Supplier"/>
    <m/>
    <x v="205"/>
    <s v="SEF - Techlink_2012.xlsx"/>
    <s v=".xlsx"/>
    <d v="2014-04-17T00:00:00"/>
    <s v="as\afok"/>
    <m/>
    <s v="2012"/>
    <m/>
    <m/>
    <m/>
    <m/>
    <m/>
    <x v="0"/>
    <x v="0"/>
    <x v="0"/>
    <x v="7"/>
    <x v="0"/>
    <x v="0"/>
    <x v="0"/>
    <x v="0"/>
    <x v="0"/>
    <x v="0"/>
    <x v="0"/>
    <x v="0"/>
    <x v="0"/>
    <x v="0"/>
    <x v="0"/>
    <s v="FP Panel and  CP Panel"/>
    <x v="1"/>
    <x v="2"/>
    <x v="1"/>
    <x v="3"/>
    <m/>
    <m/>
    <m/>
    <n v="1"/>
    <m/>
    <m/>
    <s v="FP"/>
    <s v="CP"/>
    <m/>
    <s v="MOULD"/>
    <s v="FP CP MOULD Both"/>
    <x v="0"/>
    <x v="1"/>
    <m/>
    <x v="50"/>
  </r>
  <r>
    <n v="2364"/>
    <x v="227"/>
    <x v="227"/>
    <x v="213"/>
    <x v="1"/>
    <x v="5"/>
    <n v="2305"/>
    <x v="2"/>
    <m/>
    <m/>
    <s v="Supplier"/>
    <m/>
    <x v="549"/>
    <s v="Techlink_SIF 2013.xlsx"/>
    <s v=".xlsx"/>
    <d v="2014-04-17T00:00:00"/>
    <s v="as\afok"/>
    <m/>
    <s v="2013"/>
    <m/>
    <m/>
    <m/>
    <m/>
    <m/>
    <x v="0"/>
    <x v="0"/>
    <x v="0"/>
    <x v="0"/>
    <x v="2"/>
    <x v="76"/>
    <x v="89"/>
    <x v="85"/>
    <x v="75"/>
    <x v="154"/>
    <x v="5"/>
    <x v="102"/>
    <x v="93"/>
    <x v="84"/>
    <x v="1"/>
    <s v="FP Panel and  CP Panel"/>
    <x v="1"/>
    <x v="2"/>
    <x v="1"/>
    <x v="3"/>
    <m/>
    <m/>
    <m/>
    <n v="1"/>
    <m/>
    <m/>
    <s v="FP"/>
    <s v="CP"/>
    <m/>
    <s v="MOULD"/>
    <s v="FP CP MOULD Both"/>
    <x v="1"/>
    <x v="1"/>
    <m/>
    <x v="50"/>
  </r>
  <r>
    <n v="2365"/>
    <x v="227"/>
    <x v="227"/>
    <x v="213"/>
    <x v="1"/>
    <x v="5"/>
    <n v="2306"/>
    <x v="17"/>
    <m/>
    <m/>
    <s v="Supplier"/>
    <m/>
    <x v="242"/>
    <s v="Techlink_Social Audit_warning letter_2012.pdf"/>
    <s v=".pdf"/>
    <d v="2014-04-17T00:00:00"/>
    <s v="as\afok"/>
    <m/>
    <m/>
    <m/>
    <m/>
    <m/>
    <m/>
    <m/>
    <x v="1"/>
    <x v="1"/>
    <x v="1"/>
    <x v="0"/>
    <x v="0"/>
    <x v="0"/>
    <x v="0"/>
    <x v="0"/>
    <x v="0"/>
    <x v="0"/>
    <x v="0"/>
    <x v="0"/>
    <x v="0"/>
    <x v="0"/>
    <x v="0"/>
    <s v="FP Panel and  CP Panel"/>
    <x v="1"/>
    <x v="2"/>
    <x v="1"/>
    <x v="3"/>
    <m/>
    <m/>
    <m/>
    <n v="1"/>
    <n v="1"/>
    <m/>
    <s v="FP"/>
    <s v="CP"/>
    <m/>
    <s v="MOULD"/>
    <s v="FP CP MOULD Both"/>
    <x v="0"/>
    <x v="1"/>
    <m/>
    <x v="50"/>
  </r>
  <r>
    <n v="2363"/>
    <x v="227"/>
    <x v="227"/>
    <x v="213"/>
    <x v="1"/>
    <x v="5"/>
    <n v="2304"/>
    <x v="3"/>
    <m/>
    <m/>
    <s v="Supplier"/>
    <m/>
    <x v="130"/>
    <s v="Techlink 2012 SPR.pptx"/>
    <s v=".pptx"/>
    <d v="2014-04-17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and  CP Panel"/>
    <x v="1"/>
    <x v="2"/>
    <x v="1"/>
    <x v="3"/>
    <m/>
    <m/>
    <m/>
    <n v="1"/>
    <m/>
    <m/>
    <s v="FP"/>
    <s v="CP"/>
    <m/>
    <s v="MOULD"/>
    <s v="FP CP MOULD Both"/>
    <x v="0"/>
    <x v="1"/>
    <m/>
    <x v="50"/>
  </r>
  <r>
    <n v="649"/>
    <x v="228"/>
    <x v="228"/>
    <x v="214"/>
    <x v="1"/>
    <x v="13"/>
    <n v="632"/>
    <x v="4"/>
    <m/>
    <m/>
    <s v="Supplier"/>
    <m/>
    <x v="70"/>
    <s v="Telefield_General Agreement_V7.pdf"/>
    <s v=".pdf"/>
    <d v="2014-03-19T00:00:00"/>
    <s v="as\afok"/>
    <m/>
    <s v="V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n v="1"/>
    <m/>
    <m/>
    <n v="1"/>
    <m/>
    <m/>
    <m/>
    <s v="CP"/>
    <m/>
    <s v="MOULD"/>
    <s v="CP MOULD "/>
    <x v="0"/>
    <x v="1"/>
    <m/>
    <x v="56"/>
  </r>
  <r>
    <n v="651"/>
    <x v="228"/>
    <x v="228"/>
    <x v="214"/>
    <x v="1"/>
    <x v="13"/>
    <n v="634"/>
    <x v="5"/>
    <m/>
    <m/>
    <s v="Supplier"/>
    <m/>
    <x v="678"/>
    <s v="Telefield_General Agreement_V7.pdf"/>
    <s v=".pdf"/>
    <d v="2014-03-19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n v="1"/>
    <m/>
    <n v="1"/>
    <m/>
    <m/>
    <m/>
    <s v="CP"/>
    <m/>
    <s v="MOULD"/>
    <s v="CP MOULD "/>
    <x v="0"/>
    <x v="1"/>
    <m/>
    <x v="56"/>
  </r>
  <r>
    <n v="652"/>
    <x v="228"/>
    <x v="228"/>
    <x v="214"/>
    <x v="1"/>
    <x v="13"/>
    <n v="635"/>
    <x v="6"/>
    <m/>
    <m/>
    <s v="Supplier"/>
    <m/>
    <x v="70"/>
    <s v="Telefield_General Agreement_V7.pdf"/>
    <s v=".pdf"/>
    <d v="2014-03-19T00:00:00"/>
    <s v="as\afok"/>
    <m/>
    <m/>
    <m/>
    <n v="70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m/>
    <n v="1"/>
    <n v="1"/>
    <m/>
    <m/>
    <m/>
    <s v="CP"/>
    <m/>
    <s v="MOULD"/>
    <s v="CP MOULD "/>
    <x v="0"/>
    <x v="1"/>
    <m/>
    <x v="56"/>
  </r>
  <r>
    <n v="653"/>
    <x v="228"/>
    <x v="228"/>
    <x v="214"/>
    <x v="1"/>
    <x v="13"/>
    <n v="636"/>
    <x v="10"/>
    <m/>
    <m/>
    <s v="Supplier"/>
    <m/>
    <x v="807"/>
    <s v="Telefield_General Agreement_V7.pdf"/>
    <s v=".pdf"/>
    <d v="2014-03-1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m/>
    <m/>
    <n v="1"/>
    <m/>
    <m/>
    <m/>
    <s v="CP"/>
    <m/>
    <s v="MOULD"/>
    <s v="CP MOULD "/>
    <x v="0"/>
    <x v="1"/>
    <m/>
    <x v="56"/>
  </r>
  <r>
    <n v="650"/>
    <x v="228"/>
    <x v="228"/>
    <x v="214"/>
    <x v="1"/>
    <x v="13"/>
    <n v="633"/>
    <x v="7"/>
    <m/>
    <m/>
    <s v="Supplier"/>
    <m/>
    <x v="70"/>
    <s v="Telefield_General Agreement_V7.pdf"/>
    <s v=".pdf"/>
    <d v="2014-03-19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m/>
    <m/>
    <n v="1"/>
    <m/>
    <m/>
    <m/>
    <s v="CP"/>
    <m/>
    <s v="MOULD"/>
    <s v="CP MOULD "/>
    <x v="0"/>
    <x v="1"/>
    <m/>
    <x v="56"/>
  </r>
  <r>
    <n v="646"/>
    <x v="228"/>
    <x v="228"/>
    <x v="214"/>
    <x v="1"/>
    <x v="13"/>
    <n v="629"/>
    <x v="13"/>
    <m/>
    <m/>
    <s v="Supplier"/>
    <d v="2012-09-16T00:00:00"/>
    <x v="808"/>
    <s v="Telefield_ISO14001_16Mar2012.pdf"/>
    <s v=".pdf"/>
    <d v="2014-03-1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m/>
    <m/>
    <n v="1"/>
    <m/>
    <m/>
    <m/>
    <s v="CP"/>
    <m/>
    <s v="MOULD"/>
    <s v="CP MOULD "/>
    <x v="0"/>
    <x v="1"/>
    <m/>
    <x v="56"/>
  </r>
  <r>
    <n v="645"/>
    <x v="228"/>
    <x v="228"/>
    <x v="214"/>
    <x v="1"/>
    <x v="13"/>
    <n v="628"/>
    <x v="14"/>
    <m/>
    <m/>
    <s v="Supplier"/>
    <d v="2010-11-15T00:00:00"/>
    <x v="809"/>
    <s v="Telefield_ISO9001_15Nov2010.pdf"/>
    <s v=".pdf"/>
    <d v="2014-03-1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m/>
    <m/>
    <n v="1"/>
    <m/>
    <m/>
    <m/>
    <s v="CP"/>
    <m/>
    <s v="MOULD"/>
    <s v="CP MOULD "/>
    <x v="0"/>
    <x v="1"/>
    <m/>
    <x v="56"/>
  </r>
  <r>
    <n v="642"/>
    <x v="228"/>
    <x v="228"/>
    <x v="214"/>
    <x v="1"/>
    <x v="13"/>
    <n v="625"/>
    <x v="9"/>
    <m/>
    <m/>
    <s v="Product / Project"/>
    <m/>
    <x v="32"/>
    <s v="Telefield LOC_Tokyo_10Oct2011.pdf"/>
    <s v=".pdf"/>
    <d v="2014-03-19T00:00:00"/>
    <s v="as\afok"/>
    <m/>
    <m/>
    <m/>
    <m/>
    <m/>
    <m/>
    <s v="Tokyo"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m/>
    <m/>
    <n v="1"/>
    <m/>
    <m/>
    <m/>
    <s v="CP"/>
    <m/>
    <s v="MOULD"/>
    <s v="CP MOULD "/>
    <x v="0"/>
    <x v="1"/>
    <m/>
    <x v="56"/>
  </r>
  <r>
    <n v="641"/>
    <x v="228"/>
    <x v="228"/>
    <x v="214"/>
    <x v="1"/>
    <x v="13"/>
    <n v="624"/>
    <x v="9"/>
    <m/>
    <m/>
    <s v="Product / Project"/>
    <m/>
    <x v="406"/>
    <s v="Telefield_LOC_GTO-3.pdf"/>
    <s v=".pdf"/>
    <d v="2014-03-19T00:00:00"/>
    <s v="as\afok"/>
    <m/>
    <m/>
    <m/>
    <m/>
    <m/>
    <m/>
    <s v="GTO-3"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m/>
    <m/>
    <n v="1"/>
    <m/>
    <m/>
    <m/>
    <s v="CP"/>
    <m/>
    <s v="MOULD"/>
    <s v="CP MOULD "/>
    <x v="0"/>
    <x v="1"/>
    <m/>
    <x v="56"/>
  </r>
  <r>
    <n v="643"/>
    <x v="228"/>
    <x v="228"/>
    <x v="214"/>
    <x v="1"/>
    <x v="13"/>
    <n v="626"/>
    <x v="9"/>
    <m/>
    <m/>
    <s v="Product / Project"/>
    <m/>
    <x v="32"/>
    <s v="Telefield LOC_ROME_10Oct2011.pdf"/>
    <s v=".pdf"/>
    <d v="2014-03-19T00:00:00"/>
    <s v="as\afok"/>
    <m/>
    <m/>
    <m/>
    <m/>
    <m/>
    <m/>
    <s v="Rome"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m/>
    <m/>
    <n v="1"/>
    <m/>
    <m/>
    <m/>
    <s v="CP"/>
    <m/>
    <s v="MOULD"/>
    <s v="CP MOULD "/>
    <x v="0"/>
    <x v="1"/>
    <m/>
    <x v="56"/>
  </r>
  <r>
    <n v="648"/>
    <x v="228"/>
    <x v="228"/>
    <x v="214"/>
    <x v="1"/>
    <x v="13"/>
    <n v="631"/>
    <x v="9"/>
    <m/>
    <m/>
    <s v="Supplier"/>
    <m/>
    <x v="810"/>
    <s v="Telefield_LOC_30Nov2010.pdf"/>
    <s v=".pdf"/>
    <d v="2014-03-1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m/>
    <m/>
    <n v="1"/>
    <m/>
    <m/>
    <m/>
    <s v="CP"/>
    <m/>
    <s v="MOULD"/>
    <s v="CP MOULD "/>
    <x v="0"/>
    <x v="1"/>
    <m/>
    <x v="56"/>
  </r>
  <r>
    <n v="647"/>
    <x v="228"/>
    <x v="228"/>
    <x v="214"/>
    <x v="1"/>
    <x v="13"/>
    <n v="630"/>
    <x v="16"/>
    <m/>
    <m/>
    <s v="Supplier"/>
    <d v="2011-11-13T00:00:00"/>
    <x v="200"/>
    <s v="Telefield_ISO13485_22Mar2010.pdf"/>
    <s v=".pdf"/>
    <d v="2014-03-19T00:00:00"/>
    <s v="as\afok"/>
    <s v="ISO 13485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m/>
    <m/>
    <n v="1"/>
    <m/>
    <m/>
    <m/>
    <s v="CP"/>
    <m/>
    <s v="MOULD"/>
    <s v="CP MOULD "/>
    <x v="0"/>
    <x v="1"/>
    <m/>
    <x v="56"/>
  </r>
  <r>
    <n v="644"/>
    <x v="228"/>
    <x v="228"/>
    <x v="214"/>
    <x v="1"/>
    <x v="13"/>
    <n v="627"/>
    <x v="8"/>
    <m/>
    <m/>
    <s v="Supplier"/>
    <m/>
    <x v="338"/>
    <s v="Telefield_Responsible_Purchasing_Charter_14Aug12.pdf"/>
    <s v=".pdf"/>
    <d v="2014-03-1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m/>
    <m/>
    <n v="1"/>
    <m/>
    <m/>
    <m/>
    <s v="CP"/>
    <m/>
    <s v="MOULD"/>
    <s v="CP MOULD "/>
    <x v="0"/>
    <x v="1"/>
    <m/>
    <x v="56"/>
  </r>
  <r>
    <n v="655"/>
    <x v="228"/>
    <x v="228"/>
    <x v="214"/>
    <x v="1"/>
    <x v="13"/>
    <n v="638"/>
    <x v="1"/>
    <m/>
    <m/>
    <s v="Supplier"/>
    <m/>
    <x v="130"/>
    <s v="Telefield_SEF 2012 Nov.xls"/>
    <s v=".xls"/>
    <d v="2014-03-19T00:00:00"/>
    <s v="as\afok"/>
    <m/>
    <s v="2012"/>
    <m/>
    <m/>
    <m/>
    <m/>
    <m/>
    <x v="0"/>
    <x v="0"/>
    <x v="0"/>
    <x v="17"/>
    <x v="0"/>
    <x v="0"/>
    <x v="0"/>
    <x v="0"/>
    <x v="0"/>
    <x v="0"/>
    <x v="0"/>
    <x v="0"/>
    <x v="0"/>
    <x v="0"/>
    <x v="0"/>
    <s v="CP Panel"/>
    <x v="0"/>
    <x v="0"/>
    <x v="1"/>
    <x v="7"/>
    <m/>
    <m/>
    <m/>
    <n v="1"/>
    <m/>
    <m/>
    <m/>
    <s v="CP"/>
    <m/>
    <s v="MOULD"/>
    <s v="CP MOULD "/>
    <x v="0"/>
    <x v="1"/>
    <m/>
    <x v="56"/>
  </r>
  <r>
    <n v="656"/>
    <x v="228"/>
    <x v="228"/>
    <x v="214"/>
    <x v="1"/>
    <x v="13"/>
    <n v="639"/>
    <x v="1"/>
    <m/>
    <m/>
    <s v="Supplier"/>
    <m/>
    <x v="145"/>
    <s v="Telefield_SEF_2012.xls"/>
    <s v=".xls"/>
    <d v="2014-03-19T00:00:00"/>
    <s v="as\afok"/>
    <m/>
    <s v="2012"/>
    <m/>
    <m/>
    <m/>
    <m/>
    <m/>
    <x v="0"/>
    <x v="0"/>
    <x v="0"/>
    <x v="35"/>
    <x v="0"/>
    <x v="0"/>
    <x v="0"/>
    <x v="0"/>
    <x v="0"/>
    <x v="0"/>
    <x v="0"/>
    <x v="0"/>
    <x v="0"/>
    <x v="0"/>
    <x v="0"/>
    <s v="CP Panel"/>
    <x v="0"/>
    <x v="0"/>
    <x v="1"/>
    <x v="7"/>
    <m/>
    <m/>
    <m/>
    <n v="1"/>
    <n v="1"/>
    <m/>
    <m/>
    <s v="CP"/>
    <m/>
    <s v="MOULD"/>
    <s v="CP MOULD "/>
    <x v="0"/>
    <x v="1"/>
    <m/>
    <x v="56"/>
  </r>
  <r>
    <n v="640"/>
    <x v="228"/>
    <x v="228"/>
    <x v="214"/>
    <x v="1"/>
    <x v="13"/>
    <n v="623"/>
    <x v="1"/>
    <m/>
    <m/>
    <s v="Supplier"/>
    <m/>
    <x v="138"/>
    <s v="Telefield_SEF_2013-1.xlsx"/>
    <s v=".xlsx"/>
    <d v="2014-03-19T00:00:00"/>
    <s v="as\afok"/>
    <m/>
    <s v="2013"/>
    <m/>
    <m/>
    <m/>
    <m/>
    <m/>
    <x v="0"/>
    <x v="0"/>
    <x v="0"/>
    <x v="19"/>
    <x v="0"/>
    <x v="0"/>
    <x v="0"/>
    <x v="0"/>
    <x v="0"/>
    <x v="0"/>
    <x v="0"/>
    <x v="0"/>
    <x v="0"/>
    <x v="0"/>
    <x v="0"/>
    <s v="CP Panel"/>
    <x v="0"/>
    <x v="0"/>
    <x v="1"/>
    <x v="7"/>
    <m/>
    <m/>
    <m/>
    <n v="1"/>
    <m/>
    <m/>
    <m/>
    <s v="CP"/>
    <m/>
    <s v="MOULD"/>
    <s v="CP MOULD "/>
    <x v="0"/>
    <x v="1"/>
    <m/>
    <x v="56"/>
  </r>
  <r>
    <n v="639"/>
    <x v="228"/>
    <x v="228"/>
    <x v="214"/>
    <x v="1"/>
    <x v="13"/>
    <n v="622"/>
    <x v="2"/>
    <m/>
    <m/>
    <s v="Supplier"/>
    <m/>
    <x v="811"/>
    <s v="Telefield_SIF 2013.xls"/>
    <s v=".xls"/>
    <d v="2014-03-19T00:00:00"/>
    <s v="as\afok"/>
    <m/>
    <s v="2013"/>
    <m/>
    <m/>
    <m/>
    <m/>
    <m/>
    <x v="0"/>
    <x v="0"/>
    <x v="0"/>
    <x v="0"/>
    <x v="2"/>
    <x v="0"/>
    <x v="0"/>
    <x v="178"/>
    <x v="160"/>
    <x v="35"/>
    <x v="0"/>
    <x v="0"/>
    <x v="94"/>
    <x v="85"/>
    <x v="79"/>
    <s v="CP Panel"/>
    <x v="0"/>
    <x v="0"/>
    <x v="1"/>
    <x v="7"/>
    <m/>
    <m/>
    <m/>
    <n v="1"/>
    <m/>
    <m/>
    <m/>
    <s v="CP"/>
    <m/>
    <s v="MOULD"/>
    <s v="CP MOULD "/>
    <x v="2"/>
    <x v="1"/>
    <m/>
    <x v="56"/>
  </r>
  <r>
    <n v="654"/>
    <x v="228"/>
    <x v="228"/>
    <x v="214"/>
    <x v="1"/>
    <x v="13"/>
    <n v="637"/>
    <x v="3"/>
    <m/>
    <m/>
    <s v="Supplier"/>
    <m/>
    <x v="75"/>
    <s v="Telefield_SPR_OCT2012.ppt"/>
    <s v=".ppt"/>
    <d v="2014-03-19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m/>
    <m/>
    <n v="1"/>
    <m/>
    <m/>
    <m/>
    <s v="CP"/>
    <m/>
    <s v="MOULD"/>
    <s v="CP MOULD "/>
    <x v="0"/>
    <x v="1"/>
    <m/>
    <x v="56"/>
  </r>
  <r>
    <n v="894"/>
    <x v="229"/>
    <x v="229"/>
    <x v="215"/>
    <x v="1"/>
    <x v="1"/>
    <n v="872"/>
    <x v="4"/>
    <m/>
    <m/>
    <s v="Supplier"/>
    <m/>
    <x v="812"/>
    <s v="Supply-Agreement_Thermaster_11Dec2013.pdf"/>
    <s v=".pdf"/>
    <d v="2014-03-21T00:00:00"/>
    <s v="as\afok"/>
    <m/>
    <s v="V8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5"/>
    <n v="1"/>
    <m/>
    <m/>
    <n v="1"/>
    <m/>
    <m/>
    <m/>
    <s v="CP"/>
    <m/>
    <m/>
    <s v="CP "/>
    <x v="0"/>
    <x v="1"/>
    <m/>
    <x v="21"/>
  </r>
  <r>
    <n v="907"/>
    <x v="229"/>
    <x v="229"/>
    <x v="215"/>
    <x v="1"/>
    <x v="1"/>
    <n v="885"/>
    <x v="4"/>
    <m/>
    <m/>
    <s v="Supplier"/>
    <m/>
    <x v="813"/>
    <s v="Thermaster_Purchase_Agreement_2009.pdf"/>
    <s v=".pdf"/>
    <d v="2014-03-21T00:00:00"/>
    <s v="as\afok"/>
    <m/>
    <s v="V5"/>
    <s v="37D3 - Within 30 days Due net on Posting date 37D3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5"/>
    <n v="1"/>
    <m/>
    <m/>
    <n v="1"/>
    <m/>
    <m/>
    <m/>
    <s v="CP"/>
    <m/>
    <m/>
    <s v="CP "/>
    <x v="0"/>
    <x v="1"/>
    <m/>
    <x v="21"/>
  </r>
  <r>
    <n v="904"/>
    <x v="229"/>
    <x v="229"/>
    <x v="215"/>
    <x v="1"/>
    <x v="1"/>
    <n v="882"/>
    <x v="5"/>
    <m/>
    <m/>
    <s v="Supplier"/>
    <m/>
    <x v="176"/>
    <s v="THERMASTER_Quality Appendix_17_Aug_2012.pdf"/>
    <s v=".pdf"/>
    <d v="2014-03-21T00:00:00"/>
    <s v="as\afok"/>
    <m/>
    <s v="V4"/>
    <m/>
    <m/>
    <m/>
    <n v="10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5"/>
    <m/>
    <n v="1"/>
    <m/>
    <n v="1"/>
    <m/>
    <m/>
    <m/>
    <s v="CP"/>
    <m/>
    <m/>
    <s v="CP "/>
    <x v="0"/>
    <x v="1"/>
    <m/>
    <x v="21"/>
  </r>
  <r>
    <n v="896"/>
    <x v="229"/>
    <x v="229"/>
    <x v="215"/>
    <x v="1"/>
    <x v="1"/>
    <n v="874"/>
    <x v="5"/>
    <m/>
    <m/>
    <s v="Supplier"/>
    <m/>
    <x v="730"/>
    <s v="Supply-Agreement_Thermaster_11Dec2013.pdf"/>
    <s v=".pdf"/>
    <d v="2014-03-21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5"/>
    <m/>
    <n v="1"/>
    <m/>
    <n v="1"/>
    <m/>
    <m/>
    <m/>
    <s v="CP"/>
    <m/>
    <m/>
    <s v="CP "/>
    <x v="0"/>
    <x v="1"/>
    <m/>
    <x v="21"/>
  </r>
  <r>
    <n v="908"/>
    <x v="229"/>
    <x v="229"/>
    <x v="215"/>
    <x v="1"/>
    <x v="1"/>
    <n v="886"/>
    <x v="5"/>
    <m/>
    <m/>
    <s v="Supplier"/>
    <m/>
    <x v="813"/>
    <s v="Thermaster_Purchase_Agreement_2009.pdf"/>
    <s v=".pdf"/>
    <d v="2014-03-21T00:00:00"/>
    <s v="as\afok"/>
    <m/>
    <s v="FHA 00 014 ind.07"/>
    <m/>
    <m/>
    <m/>
    <n v="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5"/>
    <m/>
    <n v="1"/>
    <m/>
    <n v="1"/>
    <n v="1"/>
    <m/>
    <m/>
    <s v="CP"/>
    <m/>
    <m/>
    <s v="CP "/>
    <x v="0"/>
    <x v="1"/>
    <m/>
    <x v="21"/>
  </r>
  <r>
    <n v="897"/>
    <x v="229"/>
    <x v="229"/>
    <x v="215"/>
    <x v="1"/>
    <x v="1"/>
    <n v="875"/>
    <x v="6"/>
    <m/>
    <m/>
    <s v="Supplier"/>
    <m/>
    <x v="814"/>
    <s v="Supply-Agreement_Thermaster_11Dec2013.pdf"/>
    <s v=".pdf"/>
    <d v="2014-03-21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5"/>
    <m/>
    <m/>
    <n v="1"/>
    <n v="1"/>
    <m/>
    <m/>
    <m/>
    <s v="CP"/>
    <m/>
    <m/>
    <s v="CP "/>
    <x v="0"/>
    <x v="1"/>
    <m/>
    <x v="21"/>
  </r>
  <r>
    <n v="895"/>
    <x v="229"/>
    <x v="229"/>
    <x v="215"/>
    <x v="1"/>
    <x v="1"/>
    <n v="873"/>
    <x v="7"/>
    <m/>
    <m/>
    <s v="Supplier"/>
    <m/>
    <x v="730"/>
    <s v="Supply-Agreement_Thermaster_11Dec2013.pdf"/>
    <s v=".pdf"/>
    <d v="2014-03-21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5"/>
    <m/>
    <m/>
    <m/>
    <n v="1"/>
    <m/>
    <m/>
    <m/>
    <s v="CP"/>
    <m/>
    <m/>
    <s v="CP "/>
    <x v="0"/>
    <x v="1"/>
    <m/>
    <x v="21"/>
  </r>
  <r>
    <n v="901"/>
    <x v="229"/>
    <x v="229"/>
    <x v="215"/>
    <x v="1"/>
    <x v="1"/>
    <n v="879"/>
    <x v="14"/>
    <m/>
    <m/>
    <s v="Supplier"/>
    <d v="2012-11-08T00:00:00"/>
    <x v="815"/>
    <s v="Thermaster_ISO9001_11Dec2009.jpg"/>
    <s v=".jpg"/>
    <d v="2014-03-2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5"/>
    <m/>
    <m/>
    <m/>
    <n v="1"/>
    <m/>
    <m/>
    <m/>
    <s v="CP"/>
    <m/>
    <m/>
    <s v="CP "/>
    <x v="0"/>
    <x v="1"/>
    <m/>
    <x v="21"/>
  </r>
  <r>
    <n v="902"/>
    <x v="229"/>
    <x v="229"/>
    <x v="215"/>
    <x v="1"/>
    <x v="1"/>
    <n v="880"/>
    <x v="8"/>
    <m/>
    <m/>
    <s v="Supplier"/>
    <m/>
    <x v="254"/>
    <s v="Thermaster_Responsible_Purchasing_Charter_02Aug12.pdf"/>
    <s v=".pdf"/>
    <d v="2014-03-2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5"/>
    <m/>
    <m/>
    <m/>
    <n v="1"/>
    <m/>
    <m/>
    <m/>
    <s v="CP"/>
    <m/>
    <m/>
    <s v="CP "/>
    <x v="0"/>
    <x v="1"/>
    <m/>
    <x v="21"/>
  </r>
  <r>
    <n v="903"/>
    <x v="229"/>
    <x v="229"/>
    <x v="215"/>
    <x v="1"/>
    <x v="1"/>
    <n v="881"/>
    <x v="1"/>
    <m/>
    <m/>
    <s v="Supplier"/>
    <m/>
    <x v="816"/>
    <s v="SEF_Thermaster_2012_1st.xlsx"/>
    <s v=".xlsx"/>
    <d v="2014-03-21T00:00:00"/>
    <s v="as\afok"/>
    <m/>
    <s v="2012"/>
    <m/>
    <m/>
    <m/>
    <m/>
    <m/>
    <x v="0"/>
    <x v="0"/>
    <x v="0"/>
    <x v="7"/>
    <x v="0"/>
    <x v="0"/>
    <x v="0"/>
    <x v="0"/>
    <x v="0"/>
    <x v="0"/>
    <x v="0"/>
    <x v="0"/>
    <x v="0"/>
    <x v="0"/>
    <x v="0"/>
    <s v="CP Panel"/>
    <x v="0"/>
    <x v="0"/>
    <x v="1"/>
    <x v="5"/>
    <m/>
    <m/>
    <m/>
    <n v="1"/>
    <m/>
    <m/>
    <m/>
    <s v="CP"/>
    <m/>
    <m/>
    <s v="CP "/>
    <x v="0"/>
    <x v="1"/>
    <m/>
    <x v="21"/>
  </r>
  <r>
    <n v="905"/>
    <x v="229"/>
    <x v="229"/>
    <x v="215"/>
    <x v="1"/>
    <x v="1"/>
    <n v="883"/>
    <x v="1"/>
    <m/>
    <m/>
    <s v="Supplier"/>
    <m/>
    <x v="817"/>
    <s v="SEF - Thermaster_2012.xlsx"/>
    <s v=".xlsx"/>
    <d v="2014-03-21T00:00:00"/>
    <s v="as\afok"/>
    <m/>
    <s v="2012"/>
    <m/>
    <m/>
    <m/>
    <m/>
    <m/>
    <x v="0"/>
    <x v="0"/>
    <x v="0"/>
    <x v="14"/>
    <x v="0"/>
    <x v="0"/>
    <x v="0"/>
    <x v="0"/>
    <x v="0"/>
    <x v="0"/>
    <x v="0"/>
    <x v="0"/>
    <x v="0"/>
    <x v="0"/>
    <x v="0"/>
    <s v="CP Panel"/>
    <x v="0"/>
    <x v="0"/>
    <x v="1"/>
    <x v="5"/>
    <m/>
    <m/>
    <m/>
    <n v="1"/>
    <m/>
    <m/>
    <m/>
    <s v="CP"/>
    <m/>
    <m/>
    <s v="CP "/>
    <x v="0"/>
    <x v="1"/>
    <m/>
    <x v="21"/>
  </r>
  <r>
    <n v="898"/>
    <x v="229"/>
    <x v="229"/>
    <x v="215"/>
    <x v="1"/>
    <x v="1"/>
    <n v="876"/>
    <x v="1"/>
    <m/>
    <m/>
    <s v="Supplier"/>
    <m/>
    <x v="9"/>
    <s v="Thermaster SEF 2013-Designer-20130601-89.xlsx"/>
    <s v=".xlsx"/>
    <d v="2014-03-21T00:00:00"/>
    <s v="as\afok"/>
    <m/>
    <s v="2013"/>
    <m/>
    <m/>
    <m/>
    <m/>
    <m/>
    <x v="0"/>
    <x v="0"/>
    <x v="0"/>
    <x v="39"/>
    <x v="0"/>
    <x v="0"/>
    <x v="0"/>
    <x v="0"/>
    <x v="0"/>
    <x v="0"/>
    <x v="0"/>
    <x v="0"/>
    <x v="0"/>
    <x v="0"/>
    <x v="0"/>
    <s v="CP Panel"/>
    <x v="0"/>
    <x v="0"/>
    <x v="1"/>
    <x v="5"/>
    <m/>
    <m/>
    <m/>
    <n v="1"/>
    <m/>
    <m/>
    <m/>
    <s v="CP"/>
    <m/>
    <m/>
    <s v="CP "/>
    <x v="0"/>
    <x v="1"/>
    <m/>
    <x v="21"/>
  </r>
  <r>
    <n v="900"/>
    <x v="229"/>
    <x v="229"/>
    <x v="215"/>
    <x v="1"/>
    <x v="1"/>
    <n v="878"/>
    <x v="2"/>
    <n v="1"/>
    <m/>
    <s v="Supplier"/>
    <m/>
    <x v="194"/>
    <s v="Thermaster_SIF 2013.xlsx"/>
    <s v=".xlsx"/>
    <d v="2014-03-21T00:00:00"/>
    <s v="as\afok"/>
    <m/>
    <s v="2013"/>
    <m/>
    <m/>
    <m/>
    <m/>
    <m/>
    <x v="0"/>
    <x v="0"/>
    <x v="0"/>
    <x v="0"/>
    <x v="2"/>
    <x v="142"/>
    <x v="193"/>
    <x v="179"/>
    <x v="161"/>
    <x v="155"/>
    <x v="0"/>
    <x v="0"/>
    <x v="0"/>
    <x v="0"/>
    <x v="0"/>
    <s v="CP Panel"/>
    <x v="0"/>
    <x v="0"/>
    <x v="1"/>
    <x v="5"/>
    <m/>
    <m/>
    <m/>
    <n v="1"/>
    <m/>
    <m/>
    <m/>
    <s v="CP"/>
    <m/>
    <m/>
    <s v="CP "/>
    <x v="2"/>
    <x v="1"/>
    <m/>
    <x v="21"/>
  </r>
  <r>
    <n v="906"/>
    <x v="229"/>
    <x v="229"/>
    <x v="215"/>
    <x v="1"/>
    <x v="1"/>
    <n v="884"/>
    <x v="3"/>
    <m/>
    <m/>
    <s v="Supplier"/>
    <m/>
    <x v="473"/>
    <s v="THERMASTER_SPR_APR_2011.pptx"/>
    <s v=".pptx"/>
    <d v="2014-03-21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5"/>
    <m/>
    <m/>
    <m/>
    <n v="1"/>
    <m/>
    <m/>
    <m/>
    <s v="CP"/>
    <m/>
    <m/>
    <s v="CP "/>
    <x v="0"/>
    <x v="1"/>
    <m/>
    <x v="21"/>
  </r>
  <r>
    <n v="899"/>
    <x v="229"/>
    <x v="229"/>
    <x v="215"/>
    <x v="1"/>
    <x v="1"/>
    <n v="877"/>
    <x v="18"/>
    <m/>
    <m/>
    <s v="Supplier"/>
    <m/>
    <x v="624"/>
    <s v="Thermaster_SSR_20130711.pptx"/>
    <s v=".pptx"/>
    <d v="2014-03-21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5"/>
    <m/>
    <m/>
    <m/>
    <n v="1"/>
    <m/>
    <m/>
    <m/>
    <s v="CP"/>
    <m/>
    <m/>
    <s v="CP "/>
    <x v="0"/>
    <x v="1"/>
    <m/>
    <x v="21"/>
  </r>
  <r>
    <n v="912"/>
    <x v="230"/>
    <x v="230"/>
    <x v="216"/>
    <x v="1"/>
    <x v="1"/>
    <n v="890"/>
    <x v="4"/>
    <m/>
    <m/>
    <s v="Supplier"/>
    <m/>
    <x v="818"/>
    <s v="Thermokey_Agreement_JUL2012.tif"/>
    <s v=".tif"/>
    <d v="2014-03-21T00:00:00"/>
    <s v="as\afok"/>
    <m/>
    <s v="V7"/>
    <s v="37D6 - Within 60 days Due net on posting date 37D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n v="1"/>
    <m/>
    <m/>
    <n v="1"/>
    <m/>
    <m/>
    <m/>
    <s v="CP"/>
    <m/>
    <m/>
    <s v="CP "/>
    <x v="0"/>
    <x v="1"/>
    <m/>
    <x v="21"/>
  </r>
  <r>
    <n v="914"/>
    <x v="230"/>
    <x v="230"/>
    <x v="216"/>
    <x v="1"/>
    <x v="1"/>
    <n v="892"/>
    <x v="5"/>
    <m/>
    <m/>
    <s v="Supplier"/>
    <m/>
    <x v="412"/>
    <s v="Thermokey_Agreement_JUL2012.tif"/>
    <s v=".tif"/>
    <d v="2014-03-21T00:00:00"/>
    <s v="as\afok"/>
    <m/>
    <m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n v="1"/>
    <m/>
    <n v="1"/>
    <m/>
    <m/>
    <m/>
    <s v="CP"/>
    <m/>
    <m/>
    <s v="CP "/>
    <x v="0"/>
    <x v="1"/>
    <m/>
    <x v="21"/>
  </r>
  <r>
    <n v="915"/>
    <x v="230"/>
    <x v="230"/>
    <x v="216"/>
    <x v="1"/>
    <x v="1"/>
    <n v="893"/>
    <x v="6"/>
    <m/>
    <m/>
    <s v="Supplier"/>
    <m/>
    <x v="412"/>
    <s v="Thermokey_Agreement_JUL2012.tif"/>
    <s v=".tif"/>
    <d v="2014-03-21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n v="1"/>
    <n v="1"/>
    <m/>
    <m/>
    <m/>
    <s v="CP"/>
    <m/>
    <m/>
    <s v="CP "/>
    <x v="0"/>
    <x v="1"/>
    <m/>
    <x v="21"/>
  </r>
  <r>
    <n v="916"/>
    <x v="230"/>
    <x v="230"/>
    <x v="216"/>
    <x v="1"/>
    <x v="1"/>
    <n v="894"/>
    <x v="10"/>
    <m/>
    <m/>
    <s v="Supplier"/>
    <m/>
    <x v="422"/>
    <s v="Thermokey_Agreement_JUL2012.tif"/>
    <s v=".tif"/>
    <d v="2014-03-2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21"/>
  </r>
  <r>
    <n v="919"/>
    <x v="230"/>
    <x v="230"/>
    <x v="216"/>
    <x v="1"/>
    <x v="1"/>
    <n v="897"/>
    <x v="7"/>
    <m/>
    <m/>
    <s v="Supplier"/>
    <m/>
    <x v="14"/>
    <s v="Thermonkey_EnvDeclaration2011.pdf"/>
    <s v=".pdf"/>
    <d v="2014-03-21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n v="1"/>
    <m/>
    <m/>
    <s v="CP"/>
    <m/>
    <m/>
    <s v="CP "/>
    <x v="0"/>
    <x v="1"/>
    <m/>
    <x v="21"/>
  </r>
  <r>
    <n v="913"/>
    <x v="230"/>
    <x v="230"/>
    <x v="216"/>
    <x v="1"/>
    <x v="1"/>
    <n v="891"/>
    <x v="7"/>
    <m/>
    <m/>
    <s v="Supplier"/>
    <m/>
    <x v="818"/>
    <s v="Thermokey_Agreement_JUL2012.tif"/>
    <s v=".tif"/>
    <d v="2014-03-21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21"/>
  </r>
  <r>
    <n v="910"/>
    <x v="230"/>
    <x v="230"/>
    <x v="216"/>
    <x v="1"/>
    <x v="1"/>
    <n v="888"/>
    <x v="8"/>
    <m/>
    <m/>
    <s v="Supplier"/>
    <m/>
    <x v="254"/>
    <s v="THERMOKEY_Responsible_Purchasing_Charter_02Aug12.pdf"/>
    <s v=".pdf"/>
    <d v="2014-03-2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21"/>
  </r>
  <r>
    <n v="917"/>
    <x v="230"/>
    <x v="230"/>
    <x v="216"/>
    <x v="1"/>
    <x v="1"/>
    <n v="895"/>
    <x v="1"/>
    <m/>
    <m/>
    <s v="Supplier"/>
    <m/>
    <x v="10"/>
    <s v="Thermokey_SEF_2012.xlsx"/>
    <s v=".xlsx"/>
    <d v="2014-03-21T00:00:00"/>
    <s v="as\afok"/>
    <m/>
    <s v="2012"/>
    <m/>
    <m/>
    <m/>
    <m/>
    <m/>
    <x v="0"/>
    <x v="0"/>
    <x v="0"/>
    <x v="11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21"/>
  </r>
  <r>
    <n v="909"/>
    <x v="230"/>
    <x v="230"/>
    <x v="216"/>
    <x v="1"/>
    <x v="1"/>
    <n v="887"/>
    <x v="1"/>
    <m/>
    <m/>
    <s v="Supplier"/>
    <m/>
    <x v="9"/>
    <s v="Thermokey SEF 2013-Manufacturer-20130601-75.xlsx"/>
    <s v=".xlsx"/>
    <d v="2014-03-21T00:00:00"/>
    <s v="as\afok"/>
    <m/>
    <s v="2013"/>
    <m/>
    <m/>
    <m/>
    <m/>
    <m/>
    <x v="0"/>
    <x v="0"/>
    <x v="0"/>
    <x v="1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21"/>
  </r>
  <r>
    <n v="911"/>
    <x v="230"/>
    <x v="230"/>
    <x v="216"/>
    <x v="1"/>
    <x v="1"/>
    <n v="889"/>
    <x v="2"/>
    <m/>
    <m/>
    <s v="Supplier"/>
    <m/>
    <x v="507"/>
    <s v="Thermokey_SIF 2013.xlsx"/>
    <s v=".xlsx"/>
    <d v="2014-03-21T00:00:00"/>
    <s v="as\afok"/>
    <m/>
    <s v="2013"/>
    <m/>
    <m/>
    <m/>
    <m/>
    <m/>
    <x v="0"/>
    <x v="0"/>
    <x v="0"/>
    <x v="0"/>
    <x v="2"/>
    <x v="143"/>
    <x v="194"/>
    <x v="180"/>
    <x v="162"/>
    <x v="156"/>
    <x v="20"/>
    <x v="36"/>
    <x v="30"/>
    <x v="13"/>
    <x v="35"/>
    <s v="CP Panel"/>
    <x v="0"/>
    <x v="0"/>
    <x v="1"/>
    <x v="1"/>
    <m/>
    <m/>
    <m/>
    <n v="1"/>
    <m/>
    <m/>
    <m/>
    <s v="CP"/>
    <m/>
    <m/>
    <s v="CP "/>
    <x v="2"/>
    <x v="1"/>
    <m/>
    <x v="21"/>
  </r>
  <r>
    <n v="918"/>
    <x v="230"/>
    <x v="230"/>
    <x v="216"/>
    <x v="1"/>
    <x v="1"/>
    <n v="896"/>
    <x v="2"/>
    <n v="1"/>
    <m/>
    <s v="Supplier"/>
    <m/>
    <x v="11"/>
    <s v="Thermokey_SIF2012_6Mar12.xlsx"/>
    <s v=".xlsx"/>
    <d v="2014-03-21T00:00:00"/>
    <s v="as\afok"/>
    <m/>
    <s v="2012"/>
    <m/>
    <m/>
    <m/>
    <m/>
    <m/>
    <x v="0"/>
    <x v="0"/>
    <x v="0"/>
    <x v="0"/>
    <x v="1"/>
    <x v="144"/>
    <x v="195"/>
    <x v="181"/>
    <x v="163"/>
    <x v="157"/>
    <x v="35"/>
    <x v="103"/>
    <x v="95"/>
    <x v="39"/>
    <x v="64"/>
    <s v="CP Panel"/>
    <x v="0"/>
    <x v="0"/>
    <x v="1"/>
    <x v="1"/>
    <m/>
    <m/>
    <m/>
    <n v="1"/>
    <m/>
    <m/>
    <m/>
    <s v="CP"/>
    <m/>
    <m/>
    <s v="CP "/>
    <x v="2"/>
    <x v="1"/>
    <m/>
    <x v="21"/>
  </r>
  <r>
    <n v="1753"/>
    <x v="231"/>
    <x v="231"/>
    <x v="217"/>
    <x v="5"/>
    <x v="7"/>
    <n v="1710"/>
    <x v="4"/>
    <m/>
    <m/>
    <s v="Supplier"/>
    <m/>
    <x v="475"/>
    <s v="Tianbo_Supply Agreement_31Mar2012.pdf"/>
    <s v=".pdf"/>
    <d v="2014-04-08T00:00:00"/>
    <s v="as\afok"/>
    <m/>
    <s v="V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m/>
    <m/>
    <m/>
    <s v="CP"/>
    <m/>
    <m/>
    <s v="CP "/>
    <x v="0"/>
    <x v="1"/>
    <m/>
    <x v="8"/>
  </r>
  <r>
    <n v="1796"/>
    <x v="231"/>
    <x v="231"/>
    <x v="217"/>
    <x v="5"/>
    <x v="7"/>
    <n v="1753"/>
    <x v="5"/>
    <m/>
    <m/>
    <m/>
    <m/>
    <x v="74"/>
    <s v="Tianbo_Supply Agreement_31Mar2012.pdf"/>
    <s v=".pdf"/>
    <d v="2014-04-09T00:00:00"/>
    <s v="as\afok"/>
    <m/>
    <s v="V4"/>
    <m/>
    <m/>
    <m/>
    <n v="5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n v="1"/>
    <m/>
    <n v="1"/>
    <m/>
    <m/>
    <m/>
    <s v="CP"/>
    <m/>
    <m/>
    <s v="CP "/>
    <x v="0"/>
    <x v="1"/>
    <m/>
    <x v="8"/>
  </r>
  <r>
    <n v="1797"/>
    <x v="231"/>
    <x v="231"/>
    <x v="217"/>
    <x v="5"/>
    <x v="7"/>
    <n v="1754"/>
    <x v="6"/>
    <m/>
    <m/>
    <m/>
    <m/>
    <x v="74"/>
    <s v="Tianbo_Supply Agreement_31Mar2012.pdf"/>
    <s v=".pdf"/>
    <d v="2014-04-09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n v="1"/>
    <n v="1"/>
    <m/>
    <m/>
    <m/>
    <s v="CP"/>
    <m/>
    <m/>
    <s v="CP "/>
    <x v="0"/>
    <x v="1"/>
    <m/>
    <x v="8"/>
  </r>
  <r>
    <n v="1798"/>
    <x v="231"/>
    <x v="231"/>
    <x v="217"/>
    <x v="5"/>
    <x v="7"/>
    <n v="1755"/>
    <x v="10"/>
    <m/>
    <m/>
    <m/>
    <m/>
    <x v="568"/>
    <s v="Tianbo_Supply Agreement_31Mar2012.pdf"/>
    <s v=".pdf"/>
    <d v="2014-04-0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n v="1"/>
    <m/>
    <m/>
    <s v="CP"/>
    <m/>
    <m/>
    <s v="CP "/>
    <x v="0"/>
    <x v="1"/>
    <m/>
    <x v="8"/>
  </r>
  <r>
    <n v="1749"/>
    <x v="231"/>
    <x v="231"/>
    <x v="217"/>
    <x v="5"/>
    <x v="7"/>
    <n v="1706"/>
    <x v="7"/>
    <m/>
    <m/>
    <s v="Supplier"/>
    <m/>
    <x v="819"/>
    <s v="TIAN BO_Env_Declaration_20110531.xls"/>
    <s v=".xls"/>
    <d v="2014-04-08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8"/>
  </r>
  <r>
    <n v="1795"/>
    <x v="231"/>
    <x v="231"/>
    <x v="217"/>
    <x v="5"/>
    <x v="7"/>
    <n v="1752"/>
    <x v="13"/>
    <m/>
    <m/>
    <s v="Supplier"/>
    <d v="2014-12-07T00:00:00"/>
    <x v="820"/>
    <s v="Tianbo_Supply Agreement_31Mar2012.pdf"/>
    <s v=".pdf"/>
    <d v="2014-04-0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8"/>
  </r>
  <r>
    <n v="1750"/>
    <x v="231"/>
    <x v="231"/>
    <x v="217"/>
    <x v="5"/>
    <x v="7"/>
    <n v="1707"/>
    <x v="9"/>
    <m/>
    <m/>
    <s v="Supplier"/>
    <m/>
    <x v="821"/>
    <s v="LOC_Ningbo_Tianbo.pdf"/>
    <s v=".pdf"/>
    <d v="2014-04-0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8"/>
  </r>
  <r>
    <n v="1752"/>
    <x v="231"/>
    <x v="231"/>
    <x v="217"/>
    <x v="5"/>
    <x v="7"/>
    <n v="1709"/>
    <x v="8"/>
    <m/>
    <m/>
    <s v="Supplier"/>
    <m/>
    <x v="8"/>
    <s v="Tianbo_Responsible Purchaser Charter_9Aug2012.pdf"/>
    <s v=".pdf"/>
    <d v="2014-04-0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8"/>
  </r>
  <r>
    <n v="1751"/>
    <x v="231"/>
    <x v="231"/>
    <x v="217"/>
    <x v="5"/>
    <x v="7"/>
    <n v="1708"/>
    <x v="1"/>
    <m/>
    <m/>
    <s v="Supplier"/>
    <m/>
    <x v="474"/>
    <s v="Tianbo_SEF_Jun2012.xlsx"/>
    <s v=".xlsx"/>
    <d v="2014-04-08T00:00:00"/>
    <s v="as\afok"/>
    <m/>
    <s v="2012"/>
    <m/>
    <m/>
    <m/>
    <m/>
    <m/>
    <x v="0"/>
    <x v="0"/>
    <x v="0"/>
    <x v="14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8"/>
  </r>
  <r>
    <n v="1747"/>
    <x v="231"/>
    <x v="231"/>
    <x v="217"/>
    <x v="5"/>
    <x v="7"/>
    <n v="1704"/>
    <x v="2"/>
    <m/>
    <m/>
    <s v="Supplier"/>
    <m/>
    <x v="137"/>
    <s v="TIANBO_SIF_20140218.xlsx"/>
    <s v=".xlsx"/>
    <d v="2014-04-08T00:00:00"/>
    <s v="as\afok"/>
    <m/>
    <s v="2014"/>
    <m/>
    <m/>
    <m/>
    <m/>
    <m/>
    <x v="0"/>
    <x v="0"/>
    <x v="0"/>
    <x v="0"/>
    <x v="3"/>
    <x v="62"/>
    <x v="61"/>
    <x v="99"/>
    <x v="53"/>
    <x v="42"/>
    <x v="9"/>
    <x v="15"/>
    <x v="96"/>
    <x v="11"/>
    <x v="18"/>
    <s v="CP Panel"/>
    <x v="0"/>
    <x v="0"/>
    <x v="1"/>
    <x v="3"/>
    <m/>
    <m/>
    <m/>
    <n v="1"/>
    <m/>
    <m/>
    <m/>
    <s v="CP"/>
    <m/>
    <m/>
    <s v="CP "/>
    <x v="2"/>
    <x v="1"/>
    <m/>
    <x v="8"/>
  </r>
  <r>
    <n v="1793"/>
    <x v="231"/>
    <x v="231"/>
    <x v="217"/>
    <x v="5"/>
    <x v="7"/>
    <n v="1750"/>
    <x v="2"/>
    <m/>
    <m/>
    <s v="Supplier"/>
    <m/>
    <x v="220"/>
    <s v="Tianbo_SIF_17Apr2012.xls"/>
    <s v=".xls"/>
    <d v="2014-04-09T00:00:00"/>
    <s v="as\afok"/>
    <m/>
    <s v="2012"/>
    <m/>
    <m/>
    <m/>
    <m/>
    <m/>
    <x v="0"/>
    <x v="0"/>
    <x v="0"/>
    <x v="0"/>
    <x v="1"/>
    <x v="26"/>
    <x v="55"/>
    <x v="58"/>
    <x v="96"/>
    <x v="82"/>
    <x v="22"/>
    <x v="104"/>
    <x v="97"/>
    <x v="86"/>
    <x v="80"/>
    <s v="CP Panel"/>
    <x v="0"/>
    <x v="0"/>
    <x v="1"/>
    <x v="3"/>
    <m/>
    <m/>
    <m/>
    <n v="1"/>
    <m/>
    <m/>
    <m/>
    <s v="CP"/>
    <m/>
    <m/>
    <s v="CP "/>
    <x v="2"/>
    <x v="1"/>
    <m/>
    <x v="8"/>
  </r>
  <r>
    <n v="1748"/>
    <x v="231"/>
    <x v="231"/>
    <x v="217"/>
    <x v="5"/>
    <x v="7"/>
    <n v="1705"/>
    <x v="3"/>
    <m/>
    <m/>
    <s v="Supplier"/>
    <m/>
    <x v="138"/>
    <s v="Tianbo_SPR_2013.ppt"/>
    <s v=".ppt"/>
    <d v="2014-04-08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8"/>
  </r>
  <r>
    <n v="1794"/>
    <x v="231"/>
    <x v="231"/>
    <x v="217"/>
    <x v="5"/>
    <x v="7"/>
    <n v="1751"/>
    <x v="3"/>
    <m/>
    <m/>
    <s v="Supplier"/>
    <m/>
    <x v="159"/>
    <s v="Tianbo_SPR_2012May.pptx"/>
    <s v=".pptx"/>
    <d v="2014-04-09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8"/>
  </r>
  <r>
    <n v="1145"/>
    <x v="232"/>
    <x v="232"/>
    <x v="218"/>
    <x v="0"/>
    <x v="9"/>
    <n v="1121"/>
    <x v="4"/>
    <m/>
    <m/>
    <s v="Supplier"/>
    <m/>
    <x v="29"/>
    <s v="Tiffany_General Agreement_17Jul12.pdf"/>
    <s v=".pdf"/>
    <d v="2014-03-25T00:00:00"/>
    <s v="as\afok"/>
    <m/>
    <s v="FHA 00 016 ind.09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n v="1"/>
    <m/>
    <m/>
    <n v="1"/>
    <m/>
    <m/>
    <s v="FP"/>
    <m/>
    <m/>
    <s v="MOULD"/>
    <s v="FP MOULD "/>
    <x v="0"/>
    <x v="1"/>
    <m/>
    <x v="0"/>
  </r>
  <r>
    <n v="1148"/>
    <x v="232"/>
    <x v="232"/>
    <x v="218"/>
    <x v="0"/>
    <x v="9"/>
    <n v="1124"/>
    <x v="5"/>
    <m/>
    <m/>
    <s v="Supplier"/>
    <m/>
    <x v="29"/>
    <s v="Tiffany_General Agreement_17Jul12.pdf"/>
    <s v=".pdf"/>
    <d v="2014-03-25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n v="1"/>
    <m/>
    <n v="1"/>
    <m/>
    <m/>
    <s v="FP"/>
    <m/>
    <m/>
    <s v="MOULD"/>
    <s v="FP MOULD "/>
    <x v="0"/>
    <x v="1"/>
    <m/>
    <x v="0"/>
  </r>
  <r>
    <n v="1147"/>
    <x v="232"/>
    <x v="232"/>
    <x v="218"/>
    <x v="0"/>
    <x v="9"/>
    <n v="1123"/>
    <x v="6"/>
    <m/>
    <m/>
    <s v="Supplier"/>
    <m/>
    <x v="29"/>
    <s v="Tiffany_General Agreement_17Jul12.pdf"/>
    <s v=".pdf"/>
    <d v="2014-03-25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n v="1"/>
    <n v="1"/>
    <m/>
    <m/>
    <s v="FP"/>
    <m/>
    <m/>
    <s v="MOULD"/>
    <s v="FP MOULD "/>
    <x v="0"/>
    <x v="1"/>
    <m/>
    <x v="0"/>
  </r>
  <r>
    <n v="1149"/>
    <x v="232"/>
    <x v="232"/>
    <x v="218"/>
    <x v="0"/>
    <x v="9"/>
    <n v="1125"/>
    <x v="10"/>
    <m/>
    <m/>
    <s v="Supplier"/>
    <m/>
    <x v="135"/>
    <s v="Tiffany_General Agreement_17Jul12.pdf"/>
    <s v=".pdf"/>
    <d v="2014-03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m/>
    <s v="MOULD"/>
    <s v="FP MOULD "/>
    <x v="0"/>
    <x v="1"/>
    <m/>
    <x v="0"/>
  </r>
  <r>
    <n v="1146"/>
    <x v="232"/>
    <x v="232"/>
    <x v="218"/>
    <x v="0"/>
    <x v="9"/>
    <n v="1122"/>
    <x v="7"/>
    <m/>
    <m/>
    <s v="Supplier"/>
    <m/>
    <x v="29"/>
    <s v="Tiffany_General Agreement_17Jul12.pdf"/>
    <s v=".pdf"/>
    <d v="2014-03-25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m/>
    <s v="MOULD"/>
    <s v="FP MOULD "/>
    <x v="0"/>
    <x v="1"/>
    <m/>
    <x v="0"/>
  </r>
  <r>
    <n v="1143"/>
    <x v="232"/>
    <x v="232"/>
    <x v="218"/>
    <x v="0"/>
    <x v="9"/>
    <n v="1119"/>
    <x v="13"/>
    <m/>
    <m/>
    <s v="Supplier"/>
    <d v="2013-10-13T00:00:00"/>
    <x v="353"/>
    <s v="Tiffany_ISO14001_2010-2013.pdf"/>
    <s v=".pdf"/>
    <d v="2014-03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m/>
    <s v="MOULD"/>
    <s v="FP MOULD "/>
    <x v="0"/>
    <x v="1"/>
    <m/>
    <x v="0"/>
  </r>
  <r>
    <n v="1142"/>
    <x v="232"/>
    <x v="232"/>
    <x v="218"/>
    <x v="0"/>
    <x v="9"/>
    <n v="1118"/>
    <x v="9"/>
    <m/>
    <m/>
    <s v="Supplier"/>
    <m/>
    <x v="822"/>
    <s v="Tiffany_LOC_7Jul11.pdf"/>
    <s v=".pdf"/>
    <d v="2014-03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m/>
    <s v="MOULD"/>
    <s v="FP MOULD "/>
    <x v="0"/>
    <x v="1"/>
    <m/>
    <x v="0"/>
  </r>
  <r>
    <n v="1152"/>
    <x v="232"/>
    <x v="232"/>
    <x v="218"/>
    <x v="0"/>
    <x v="9"/>
    <n v="1128"/>
    <x v="8"/>
    <m/>
    <m/>
    <s v="Supplier"/>
    <m/>
    <x v="552"/>
    <s v="Tiffany_Responsible Purchasing Charter_2Aug12.pdf"/>
    <s v=".pdf"/>
    <d v="2014-03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n v="1"/>
    <m/>
    <s v="FP"/>
    <m/>
    <m/>
    <s v="MOULD"/>
    <s v="FP MOULD "/>
    <x v="0"/>
    <x v="1"/>
    <m/>
    <x v="0"/>
  </r>
  <r>
    <n v="1144"/>
    <x v="232"/>
    <x v="232"/>
    <x v="218"/>
    <x v="0"/>
    <x v="9"/>
    <n v="1120"/>
    <x v="1"/>
    <m/>
    <m/>
    <s v="Supplier"/>
    <m/>
    <x v="264"/>
    <s v="SEF 2012 - Tiffany 20120820.xlsx"/>
    <s v=".xlsx"/>
    <d v="2014-03-25T00:00:00"/>
    <s v="as\afok"/>
    <m/>
    <s v="2012"/>
    <m/>
    <m/>
    <m/>
    <m/>
    <m/>
    <x v="0"/>
    <x v="0"/>
    <x v="0"/>
    <x v="9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m/>
    <s v="MOULD"/>
    <s v="FP MOULD "/>
    <x v="0"/>
    <x v="1"/>
    <m/>
    <x v="0"/>
  </r>
  <r>
    <n v="1141"/>
    <x v="232"/>
    <x v="232"/>
    <x v="218"/>
    <x v="0"/>
    <x v="9"/>
    <n v="1117"/>
    <x v="2"/>
    <n v="1"/>
    <m/>
    <s v="Supplier"/>
    <m/>
    <x v="823"/>
    <s v="Tiffany FHA6E502_EN - SIF 2014.XLSX"/>
    <s v=".xlsx"/>
    <d v="2014-03-25T00:00:00"/>
    <s v="as\afok"/>
    <m/>
    <s v="2014"/>
    <m/>
    <m/>
    <m/>
    <m/>
    <m/>
    <x v="0"/>
    <x v="0"/>
    <x v="0"/>
    <x v="0"/>
    <x v="3"/>
    <x v="2"/>
    <x v="196"/>
    <x v="14"/>
    <x v="89"/>
    <x v="12"/>
    <x v="0"/>
    <x v="105"/>
    <x v="98"/>
    <x v="87"/>
    <x v="0"/>
    <s v="FP panel"/>
    <x v="1"/>
    <x v="3"/>
    <x v="0"/>
    <x v="0"/>
    <m/>
    <m/>
    <m/>
    <n v="1"/>
    <m/>
    <m/>
    <s v="FP"/>
    <m/>
    <m/>
    <s v="MOULD"/>
    <s v="FP MOULD "/>
    <x v="3"/>
    <x v="1"/>
    <m/>
    <x v="0"/>
  </r>
  <r>
    <n v="1151"/>
    <x v="232"/>
    <x v="232"/>
    <x v="218"/>
    <x v="0"/>
    <x v="9"/>
    <n v="1127"/>
    <x v="2"/>
    <m/>
    <m/>
    <s v="Supplier"/>
    <m/>
    <x v="289"/>
    <s v="Tiffany_SIF2013.XLSX"/>
    <s v=".xlsx"/>
    <d v="2014-03-25T00:00:00"/>
    <s v="as\afok"/>
    <m/>
    <s v="2013"/>
    <m/>
    <m/>
    <m/>
    <m/>
    <m/>
    <x v="0"/>
    <x v="0"/>
    <x v="0"/>
    <x v="0"/>
    <x v="2"/>
    <x v="145"/>
    <x v="6"/>
    <x v="5"/>
    <x v="164"/>
    <x v="158"/>
    <x v="0"/>
    <x v="90"/>
    <x v="99"/>
    <x v="0"/>
    <x v="0"/>
    <s v="FP panel"/>
    <x v="1"/>
    <x v="3"/>
    <x v="0"/>
    <x v="0"/>
    <m/>
    <m/>
    <m/>
    <n v="1"/>
    <m/>
    <m/>
    <s v="FP"/>
    <m/>
    <m/>
    <s v="MOULD"/>
    <s v="FP MOULD "/>
    <x v="3"/>
    <x v="1"/>
    <m/>
    <x v="0"/>
  </r>
  <r>
    <n v="1150"/>
    <x v="232"/>
    <x v="232"/>
    <x v="218"/>
    <x v="0"/>
    <x v="9"/>
    <n v="1126"/>
    <x v="2"/>
    <m/>
    <m/>
    <s v="Supplier"/>
    <m/>
    <x v="173"/>
    <s v="Tiffany_SIF2012_20120223.xls"/>
    <s v=".xls"/>
    <d v="2014-03-25T00:00:00"/>
    <s v="as\afok"/>
    <m/>
    <s v="2012"/>
    <m/>
    <m/>
    <m/>
    <m/>
    <m/>
    <x v="0"/>
    <x v="0"/>
    <x v="0"/>
    <x v="0"/>
    <x v="1"/>
    <x v="146"/>
    <x v="5"/>
    <x v="88"/>
    <x v="78"/>
    <x v="159"/>
    <x v="0"/>
    <x v="106"/>
    <x v="0"/>
    <x v="0"/>
    <x v="0"/>
    <s v="FP panel"/>
    <x v="1"/>
    <x v="3"/>
    <x v="0"/>
    <x v="0"/>
    <m/>
    <m/>
    <m/>
    <n v="1"/>
    <m/>
    <m/>
    <s v="FP"/>
    <m/>
    <m/>
    <s v="MOULD"/>
    <s v="FP MOULD "/>
    <x v="3"/>
    <x v="1"/>
    <m/>
    <x v="0"/>
  </r>
  <r>
    <n v="950"/>
    <x v="233"/>
    <x v="233"/>
    <x v="219"/>
    <x v="4"/>
    <x v="6"/>
    <n v="928"/>
    <x v="7"/>
    <m/>
    <m/>
    <s v="Supplier"/>
    <m/>
    <x v="582"/>
    <s v="TK_Mold_Env_Declaration_03Mar2010.xls"/>
    <s v=".xls"/>
    <d v="2014-03-24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m/>
    <m/>
    <s v="MOULD"/>
    <s v="MOULD "/>
    <x v="0"/>
    <x v="1"/>
    <m/>
    <x v="3"/>
  </r>
  <r>
    <n v="953"/>
    <x v="233"/>
    <x v="233"/>
    <x v="219"/>
    <x v="4"/>
    <x v="6"/>
    <n v="931"/>
    <x v="13"/>
    <m/>
    <m/>
    <s v="Supplier"/>
    <d v="2012-06-25T00:00:00"/>
    <x v="42"/>
    <s v="TK_Mold_ISO14001_25Jun2012.jpg"/>
    <s v=".jpg"/>
    <d v="2014-03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m/>
    <m/>
    <s v="MOULD"/>
    <s v="MOULD "/>
    <x v="0"/>
    <x v="1"/>
    <m/>
    <x v="3"/>
  </r>
  <r>
    <n v="954"/>
    <x v="233"/>
    <x v="233"/>
    <x v="219"/>
    <x v="4"/>
    <x v="6"/>
    <n v="932"/>
    <x v="13"/>
    <m/>
    <m/>
    <s v="Supplier"/>
    <d v="2009-06-27T00:00:00"/>
    <x v="824"/>
    <s v="TK_Mold_ISO14001_Chinese_2009.jpg"/>
    <s v=".jpg"/>
    <d v="2014-03-24T00:00:00"/>
    <s v="as\afok"/>
    <s v="Chinese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m/>
    <m/>
    <s v="MOULD"/>
    <s v="MOULD "/>
    <x v="0"/>
    <x v="1"/>
    <m/>
    <x v="3"/>
  </r>
  <r>
    <n v="955"/>
    <x v="233"/>
    <x v="233"/>
    <x v="219"/>
    <x v="4"/>
    <x v="6"/>
    <n v="933"/>
    <x v="13"/>
    <m/>
    <m/>
    <s v="Supplier"/>
    <d v="2009-06-27T00:00:00"/>
    <x v="824"/>
    <s v="TK_Mold_ISO14001_English_2009.jpg"/>
    <s v=".jpg"/>
    <d v="2014-03-24T00:00:00"/>
    <s v="as\afok"/>
    <s v="English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m/>
    <m/>
    <s v="MOULD"/>
    <s v="MOULD "/>
    <x v="0"/>
    <x v="1"/>
    <m/>
    <x v="3"/>
  </r>
  <r>
    <n v="951"/>
    <x v="233"/>
    <x v="233"/>
    <x v="219"/>
    <x v="4"/>
    <x v="6"/>
    <n v="929"/>
    <x v="8"/>
    <m/>
    <m/>
    <s v="Supplier"/>
    <m/>
    <x v="261"/>
    <s v="TK_Responsible_Purchasing_Charter_06Aug12.pdf"/>
    <s v=".pdf"/>
    <d v="2014-03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m/>
    <m/>
    <s v="MOULD"/>
    <s v="MOULD "/>
    <x v="0"/>
    <x v="1"/>
    <m/>
    <x v="3"/>
  </r>
  <r>
    <n v="952"/>
    <x v="233"/>
    <x v="233"/>
    <x v="219"/>
    <x v="4"/>
    <x v="6"/>
    <n v="930"/>
    <x v="1"/>
    <m/>
    <m/>
    <s v="Supplier"/>
    <m/>
    <x v="87"/>
    <s v="TK Mold_SEF_May2011_R1.xlsx"/>
    <s v=".xlsx"/>
    <d v="2014-03-24T00:00:00"/>
    <s v="as\afok"/>
    <m/>
    <s v="2011"/>
    <m/>
    <m/>
    <m/>
    <m/>
    <m/>
    <x v="0"/>
    <x v="0"/>
    <x v="0"/>
    <x v="15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m/>
    <m/>
    <s v="MOULD"/>
    <s v="MOULD "/>
    <x v="0"/>
    <x v="1"/>
    <m/>
    <x v="3"/>
  </r>
  <r>
    <n v="956"/>
    <x v="233"/>
    <x v="233"/>
    <x v="219"/>
    <x v="4"/>
    <x v="6"/>
    <n v="934"/>
    <x v="2"/>
    <m/>
    <m/>
    <s v="Supplier"/>
    <m/>
    <x v="39"/>
    <s v="TK_SIF2012_20Jul12.xlsx"/>
    <s v=".xlsx"/>
    <d v="2014-03-24T00:00:00"/>
    <s v="as\afok"/>
    <m/>
    <s v="2012"/>
    <m/>
    <m/>
    <m/>
    <m/>
    <m/>
    <x v="0"/>
    <x v="0"/>
    <x v="0"/>
    <x v="0"/>
    <x v="1"/>
    <x v="147"/>
    <x v="143"/>
    <x v="48"/>
    <x v="96"/>
    <x v="150"/>
    <x v="0"/>
    <x v="0"/>
    <x v="0"/>
    <x v="0"/>
    <x v="0"/>
    <m/>
    <x v="0"/>
    <x v="0"/>
    <x v="0"/>
    <x v="0"/>
    <m/>
    <m/>
    <m/>
    <n v="0"/>
    <m/>
    <m/>
    <m/>
    <m/>
    <m/>
    <s v="MOULD"/>
    <s v="MOULD "/>
    <x v="2"/>
    <x v="1"/>
    <m/>
    <x v="3"/>
  </r>
  <r>
    <n v="949"/>
    <x v="233"/>
    <x v="233"/>
    <x v="219"/>
    <x v="4"/>
    <x v="6"/>
    <n v="927"/>
    <x v="2"/>
    <n v="1"/>
    <m/>
    <s v="Supplier"/>
    <m/>
    <x v="101"/>
    <s v="TK_SIF2013.xlsx"/>
    <s v=".xlsx"/>
    <d v="2014-03-24T00:00:00"/>
    <s v="as\afok"/>
    <m/>
    <s v="2013"/>
    <m/>
    <m/>
    <m/>
    <m/>
    <m/>
    <x v="0"/>
    <x v="0"/>
    <x v="0"/>
    <x v="0"/>
    <x v="2"/>
    <x v="148"/>
    <x v="112"/>
    <x v="134"/>
    <x v="11"/>
    <x v="42"/>
    <x v="0"/>
    <x v="0"/>
    <x v="0"/>
    <x v="0"/>
    <x v="0"/>
    <m/>
    <x v="0"/>
    <x v="0"/>
    <x v="0"/>
    <x v="0"/>
    <m/>
    <m/>
    <m/>
    <n v="0"/>
    <m/>
    <m/>
    <m/>
    <m/>
    <m/>
    <s v="MOULD"/>
    <s v="MOULD "/>
    <x v="2"/>
    <x v="1"/>
    <m/>
    <x v="3"/>
  </r>
  <r>
    <n v="957"/>
    <x v="233"/>
    <x v="233"/>
    <x v="219"/>
    <x v="4"/>
    <x v="6"/>
    <n v="935"/>
    <x v="3"/>
    <m/>
    <m/>
    <s v="Supplier"/>
    <m/>
    <x v="90"/>
    <s v="SPR_TK Mold June 2011.ppt"/>
    <s v=".ppt"/>
    <d v="2014-03-24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m/>
    <m/>
    <s v="MOULD"/>
    <s v="MOULD "/>
    <x v="0"/>
    <x v="1"/>
    <m/>
    <x v="3"/>
  </r>
  <r>
    <n v="658"/>
    <x v="234"/>
    <x v="234"/>
    <x v="220"/>
    <x v="1"/>
    <x v="13"/>
    <n v="641"/>
    <x v="7"/>
    <m/>
    <m/>
    <s v="Supplier"/>
    <m/>
    <x v="825"/>
    <s v="Tower_Env_Declaration_11Jun2010.xlsx"/>
    <s v=".xlsx"/>
    <d v="2014-03-19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659"/>
    <x v="234"/>
    <x v="234"/>
    <x v="220"/>
    <x v="1"/>
    <x v="13"/>
    <n v="642"/>
    <x v="1"/>
    <m/>
    <m/>
    <s v="Supplier"/>
    <m/>
    <x v="622"/>
    <s v="SEF_Tower_2010_04.xlsx"/>
    <s v=".xlsx"/>
    <d v="2014-03-19T00:00:00"/>
    <s v="as\afok"/>
    <m/>
    <s v="2010"/>
    <m/>
    <m/>
    <m/>
    <m/>
    <m/>
    <x v="0"/>
    <x v="0"/>
    <x v="0"/>
    <x v="49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s v="CP"/>
    <m/>
    <m/>
    <s v="CP "/>
    <x v="0"/>
    <x v="1"/>
    <m/>
    <x v="8"/>
  </r>
  <r>
    <n v="657"/>
    <x v="234"/>
    <x v="234"/>
    <x v="220"/>
    <x v="1"/>
    <x v="13"/>
    <n v="640"/>
    <x v="2"/>
    <m/>
    <m/>
    <s v="Supplier"/>
    <m/>
    <x v="13"/>
    <s v="Tower_switches_SIF 2013.xls"/>
    <s v=".xls"/>
    <d v="2014-03-19T00:00:00"/>
    <s v="as\afok"/>
    <m/>
    <s v="2013"/>
    <m/>
    <m/>
    <m/>
    <m/>
    <m/>
    <x v="0"/>
    <x v="0"/>
    <x v="0"/>
    <x v="0"/>
    <x v="2"/>
    <x v="0"/>
    <x v="197"/>
    <x v="85"/>
    <x v="124"/>
    <x v="47"/>
    <x v="0"/>
    <x v="107"/>
    <x v="100"/>
    <x v="88"/>
    <x v="18"/>
    <m/>
    <x v="0"/>
    <x v="0"/>
    <x v="0"/>
    <x v="0"/>
    <m/>
    <m/>
    <m/>
    <n v="0"/>
    <m/>
    <m/>
    <m/>
    <s v="CP"/>
    <m/>
    <m/>
    <s v="CP "/>
    <x v="2"/>
    <x v="1"/>
    <m/>
    <x v="8"/>
  </r>
  <r>
    <n v="1159"/>
    <x v="235"/>
    <x v="235"/>
    <x v="221"/>
    <x v="0"/>
    <x v="9"/>
    <n v="1135"/>
    <x v="4"/>
    <m/>
    <m/>
    <s v="Supplier"/>
    <m/>
    <x v="25"/>
    <s v="Transtek_General Agreement_25Jan2013.pdf"/>
    <s v=".pdf"/>
    <d v="2014-03-26T00:00:00"/>
    <s v="as\afok"/>
    <m/>
    <s v="FHA 00 016 ind.11"/>
    <s v="37D3 - Within 30 days Due net on Posting date 37D3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n v="1"/>
    <m/>
    <m/>
    <n v="1"/>
    <m/>
    <m/>
    <s v="FP"/>
    <m/>
    <s v="SP"/>
    <s v="MOULD"/>
    <s v="FP SP MOULD "/>
    <x v="0"/>
    <x v="1"/>
    <m/>
    <x v="10"/>
  </r>
  <r>
    <n v="1162"/>
    <x v="235"/>
    <x v="235"/>
    <x v="221"/>
    <x v="0"/>
    <x v="9"/>
    <n v="1138"/>
    <x v="5"/>
    <m/>
    <m/>
    <s v="Supplier"/>
    <m/>
    <x v="25"/>
    <s v="Transtek_General Agreement_25Jan2013.pdf"/>
    <s v=".pdf"/>
    <d v="2014-03-26T00:00:00"/>
    <s v="as\afok"/>
    <m/>
    <m/>
    <m/>
    <m/>
    <m/>
    <n v="20000"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n v="1"/>
    <m/>
    <n v="1"/>
    <m/>
    <m/>
    <s v="FP"/>
    <m/>
    <s v="SP"/>
    <s v="MOULD"/>
    <s v="FP SP MOULD "/>
    <x v="0"/>
    <x v="1"/>
    <m/>
    <x v="10"/>
  </r>
  <r>
    <n v="1161"/>
    <x v="235"/>
    <x v="235"/>
    <x v="221"/>
    <x v="0"/>
    <x v="9"/>
    <n v="1137"/>
    <x v="6"/>
    <m/>
    <m/>
    <s v="Supplier"/>
    <m/>
    <x v="25"/>
    <s v="Transtek_General Agreement_25Jan2013.pdf"/>
    <s v=".pdf"/>
    <d v="2014-03-26T00:00:00"/>
    <s v="as\afok"/>
    <m/>
    <m/>
    <m/>
    <n v="55"/>
    <n v="85"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n v="1"/>
    <n v="1"/>
    <m/>
    <m/>
    <s v="FP"/>
    <m/>
    <s v="SP"/>
    <s v="MOULD"/>
    <s v="FP SP MOULD "/>
    <x v="0"/>
    <x v="1"/>
    <m/>
    <x v="10"/>
  </r>
  <r>
    <n v="1163"/>
    <x v="235"/>
    <x v="235"/>
    <x v="221"/>
    <x v="0"/>
    <x v="9"/>
    <n v="1139"/>
    <x v="10"/>
    <m/>
    <m/>
    <s v="Supplier"/>
    <m/>
    <x v="363"/>
    <s v="Transtek_General Agreement_25Jan2013.pdf"/>
    <s v=".pdf"/>
    <d v="2014-03-2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m/>
    <s v="SP"/>
    <s v="MOULD"/>
    <s v="FP SP MOULD "/>
    <x v="0"/>
    <x v="1"/>
    <m/>
    <x v="10"/>
  </r>
  <r>
    <n v="1160"/>
    <x v="235"/>
    <x v="235"/>
    <x v="221"/>
    <x v="0"/>
    <x v="9"/>
    <n v="1136"/>
    <x v="7"/>
    <m/>
    <m/>
    <s v="Supplier"/>
    <m/>
    <x v="514"/>
    <s v="Transtek_General Agreement_25Jan2013.pdf"/>
    <s v=".pdf"/>
    <d v="2014-03-26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m/>
    <s v="SP"/>
    <s v="MOULD"/>
    <s v="FP SP MOULD "/>
    <x v="0"/>
    <x v="1"/>
    <m/>
    <x v="10"/>
  </r>
  <r>
    <n v="1157"/>
    <x v="235"/>
    <x v="235"/>
    <x v="221"/>
    <x v="0"/>
    <x v="9"/>
    <n v="1133"/>
    <x v="11"/>
    <m/>
    <m/>
    <s v="Product / Project"/>
    <m/>
    <x v="826"/>
    <s v="Transtek_Exclusivity - Bathroom Scale 5268_14Nov12.pdf"/>
    <s v=".pdf"/>
    <d v="2014-03-26T00:00:00"/>
    <s v="as\afok"/>
    <m/>
    <m/>
    <m/>
    <m/>
    <m/>
    <m/>
    <s v="Bathroom Scale 5268"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m/>
    <s v="SP"/>
    <s v="MOULD"/>
    <s v="FP SP MOULD "/>
    <x v="0"/>
    <x v="1"/>
    <m/>
    <x v="10"/>
  </r>
  <r>
    <n v="1158"/>
    <x v="235"/>
    <x v="235"/>
    <x v="221"/>
    <x v="0"/>
    <x v="9"/>
    <n v="1134"/>
    <x v="11"/>
    <m/>
    <m/>
    <s v="Product / Project"/>
    <m/>
    <x v="584"/>
    <s v="Transtek_Exclusivity - Kitchen Scale 5262_6Feb13.pdf"/>
    <s v=".pdf"/>
    <d v="2014-03-26T00:00:00"/>
    <s v="as\afok"/>
    <m/>
    <m/>
    <m/>
    <m/>
    <m/>
    <m/>
    <s v="Kitchen Scale 5262"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m/>
    <s v="SP"/>
    <s v="MOULD"/>
    <s v="FP SP MOULD "/>
    <x v="0"/>
    <x v="1"/>
    <m/>
    <x v="10"/>
  </r>
  <r>
    <n v="1164"/>
    <x v="235"/>
    <x v="235"/>
    <x v="221"/>
    <x v="0"/>
    <x v="9"/>
    <n v="1140"/>
    <x v="11"/>
    <m/>
    <m/>
    <s v="Supplier"/>
    <m/>
    <x v="278"/>
    <s v="Exclusivity Summary for Transtek.xlsx"/>
    <s v=".xlsx"/>
    <d v="2014-03-26T00:00:00"/>
    <s v="as\afok"/>
    <s v="Exclusivity Summary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m/>
    <s v="SP"/>
    <s v="MOULD"/>
    <s v="FP SP MOULD "/>
    <x v="0"/>
    <x v="1"/>
    <m/>
    <x v="10"/>
  </r>
  <r>
    <n v="1156"/>
    <x v="235"/>
    <x v="235"/>
    <x v="221"/>
    <x v="0"/>
    <x v="9"/>
    <n v="1132"/>
    <x v="12"/>
    <m/>
    <m/>
    <s v="Product / Project"/>
    <m/>
    <x v="584"/>
    <s v="Transtek_Exclusivity - Kitchen Scale 5262_6Feb13.pdf"/>
    <s v=".pdf"/>
    <d v="2014-03-26T00:00:00"/>
    <s v="as\afok"/>
    <m/>
    <m/>
    <m/>
    <m/>
    <m/>
    <m/>
    <s v="Kitchen Scale 5262"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m/>
    <s v="SP"/>
    <s v="MOULD"/>
    <s v="FP SP MOULD "/>
    <x v="0"/>
    <x v="1"/>
    <m/>
    <x v="10"/>
  </r>
  <r>
    <n v="1155"/>
    <x v="235"/>
    <x v="235"/>
    <x v="221"/>
    <x v="0"/>
    <x v="9"/>
    <n v="1131"/>
    <x v="12"/>
    <m/>
    <m/>
    <s v="Product / Project"/>
    <m/>
    <x v="826"/>
    <s v="Transtek_IP - Bathroom Scale 5268_14Nov12.pdf"/>
    <s v=".pdf"/>
    <d v="2014-03-26T00:00:00"/>
    <s v="as\afok"/>
    <m/>
    <m/>
    <m/>
    <m/>
    <m/>
    <m/>
    <s v="Bathroom Scale 5268"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m/>
    <s v="SP"/>
    <s v="MOULD"/>
    <s v="FP SP MOULD "/>
    <x v="0"/>
    <x v="1"/>
    <m/>
    <x v="10"/>
  </r>
  <r>
    <n v="1167"/>
    <x v="235"/>
    <x v="235"/>
    <x v="221"/>
    <x v="0"/>
    <x v="9"/>
    <n v="1143"/>
    <x v="13"/>
    <m/>
    <m/>
    <s v="Supplier"/>
    <d v="2013-07-20T00:00:00"/>
    <x v="827"/>
    <s v="Transtek_ISO 14001_20Jul2013.JPG"/>
    <s v=".jpg"/>
    <d v="2014-03-2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m/>
    <s v="SP"/>
    <s v="MOULD"/>
    <s v="FP SP MOULD "/>
    <x v="0"/>
    <x v="1"/>
    <m/>
    <x v="10"/>
  </r>
  <r>
    <n v="1165"/>
    <x v="235"/>
    <x v="235"/>
    <x v="221"/>
    <x v="0"/>
    <x v="9"/>
    <n v="1141"/>
    <x v="14"/>
    <m/>
    <m/>
    <s v="Supplier"/>
    <d v="2013-12-07T00:00:00"/>
    <x v="828"/>
    <s v="Transtek_ISO9001_7Dec2013.JPG"/>
    <s v=".jpg"/>
    <d v="2014-03-2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m/>
    <s v="SP"/>
    <s v="MOULD"/>
    <s v="FP SP MOULD "/>
    <x v="0"/>
    <x v="1"/>
    <m/>
    <x v="10"/>
  </r>
  <r>
    <n v="1168"/>
    <x v="235"/>
    <x v="235"/>
    <x v="221"/>
    <x v="0"/>
    <x v="9"/>
    <n v="1144"/>
    <x v="15"/>
    <m/>
    <m/>
    <s v="Supplier"/>
    <m/>
    <x v="829"/>
    <s v="Transtek_Non Disclosure Agreement_21Sep12.pdf"/>
    <s v=".pdf"/>
    <d v="2014-03-2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m/>
    <s v="SP"/>
    <s v="MOULD"/>
    <s v="FP SP MOULD "/>
    <x v="0"/>
    <x v="1"/>
    <m/>
    <x v="10"/>
  </r>
  <r>
    <n v="1166"/>
    <x v="235"/>
    <x v="235"/>
    <x v="221"/>
    <x v="0"/>
    <x v="9"/>
    <n v="1142"/>
    <x v="16"/>
    <m/>
    <m/>
    <s v="Supplier"/>
    <d v="2013-02-21T00:00:00"/>
    <x v="830"/>
    <s v="Transtek_ISO 13485_21Feb2013.pdf"/>
    <s v=".pdf"/>
    <d v="2014-03-26T00:00:00"/>
    <s v="as\afok"/>
    <s v="ISO 13485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m/>
    <s v="SP"/>
    <s v="MOULD"/>
    <s v="FP SP MOULD "/>
    <x v="0"/>
    <x v="1"/>
    <m/>
    <x v="10"/>
  </r>
  <r>
    <n v="1170"/>
    <x v="235"/>
    <x v="235"/>
    <x v="221"/>
    <x v="0"/>
    <x v="9"/>
    <n v="1146"/>
    <x v="8"/>
    <m/>
    <m/>
    <s v="Supplier"/>
    <m/>
    <x v="623"/>
    <s v="Transtek_Responsible Purchasing Charter_16Oct12.pdf"/>
    <s v=".pdf"/>
    <d v="2014-03-2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n v="1"/>
    <m/>
    <s v="FP"/>
    <m/>
    <s v="SP"/>
    <s v="MOULD"/>
    <s v="FP SP MOULD "/>
    <x v="0"/>
    <x v="1"/>
    <m/>
    <x v="10"/>
  </r>
  <r>
    <n v="1154"/>
    <x v="235"/>
    <x v="235"/>
    <x v="221"/>
    <x v="0"/>
    <x v="9"/>
    <n v="1130"/>
    <x v="1"/>
    <m/>
    <m/>
    <s v="Supplier"/>
    <m/>
    <x v="253"/>
    <s v="SEF Transtek 20130812.xlsx"/>
    <s v=".xlsx"/>
    <d v="2014-03-26T00:00:00"/>
    <s v="as\afok"/>
    <m/>
    <s v="2013"/>
    <m/>
    <m/>
    <m/>
    <m/>
    <m/>
    <x v="0"/>
    <x v="0"/>
    <x v="0"/>
    <x v="6"/>
    <x v="0"/>
    <x v="0"/>
    <x v="0"/>
    <x v="0"/>
    <x v="0"/>
    <x v="0"/>
    <x v="0"/>
    <x v="0"/>
    <x v="0"/>
    <x v="0"/>
    <x v="0"/>
    <s v="FP panel"/>
    <x v="1"/>
    <x v="2"/>
    <x v="0"/>
    <x v="0"/>
    <m/>
    <m/>
    <m/>
    <n v="1"/>
    <m/>
    <m/>
    <s v="FP"/>
    <m/>
    <s v="SP"/>
    <s v="MOULD"/>
    <s v="FP SP MOULD "/>
    <x v="0"/>
    <x v="1"/>
    <m/>
    <x v="10"/>
  </r>
  <r>
    <n v="1169"/>
    <x v="235"/>
    <x v="235"/>
    <x v="221"/>
    <x v="0"/>
    <x v="9"/>
    <n v="1145"/>
    <x v="2"/>
    <n v="1"/>
    <m/>
    <s v="Supplier"/>
    <m/>
    <x v="529"/>
    <s v="Transtek_SIF_2012 0926.xls"/>
    <s v=".xls"/>
    <d v="2014-03-26T00:00:00"/>
    <s v="as\afok"/>
    <m/>
    <s v="2012"/>
    <m/>
    <m/>
    <m/>
    <m/>
    <m/>
    <x v="0"/>
    <x v="0"/>
    <x v="0"/>
    <x v="0"/>
    <x v="1"/>
    <x v="71"/>
    <x v="126"/>
    <x v="182"/>
    <x v="165"/>
    <x v="160"/>
    <x v="0"/>
    <x v="24"/>
    <x v="22"/>
    <x v="6"/>
    <x v="9"/>
    <s v="FP panel"/>
    <x v="1"/>
    <x v="2"/>
    <x v="0"/>
    <x v="0"/>
    <m/>
    <m/>
    <m/>
    <n v="1"/>
    <m/>
    <m/>
    <s v="FP"/>
    <m/>
    <s v="SP"/>
    <s v="MOULD"/>
    <s v="FP SP MOULD "/>
    <x v="3"/>
    <x v="1"/>
    <m/>
    <x v="10"/>
  </r>
  <r>
    <n v="1153"/>
    <x v="235"/>
    <x v="235"/>
    <x v="221"/>
    <x v="0"/>
    <x v="9"/>
    <n v="1129"/>
    <x v="2"/>
    <m/>
    <m/>
    <s v="Supplier"/>
    <m/>
    <x v="831"/>
    <s v="Transtek SIF 2013 0916.xls"/>
    <s v=".xls"/>
    <d v="2014-03-26T00:00:00"/>
    <s v="as\afok"/>
    <m/>
    <s v="2013"/>
    <m/>
    <m/>
    <m/>
    <m/>
    <m/>
    <x v="0"/>
    <x v="0"/>
    <x v="0"/>
    <x v="0"/>
    <x v="2"/>
    <x v="88"/>
    <x v="80"/>
    <x v="183"/>
    <x v="0"/>
    <x v="0"/>
    <x v="0"/>
    <x v="24"/>
    <x v="0"/>
    <x v="0"/>
    <x v="0"/>
    <s v="FP panel"/>
    <x v="1"/>
    <x v="2"/>
    <x v="0"/>
    <x v="0"/>
    <m/>
    <m/>
    <m/>
    <n v="1"/>
    <m/>
    <m/>
    <s v="FP"/>
    <m/>
    <s v="SP"/>
    <s v="MOULD"/>
    <s v="FP SP MOULD "/>
    <x v="3"/>
    <x v="1"/>
    <m/>
    <x v="10"/>
  </r>
  <r>
    <n v="1178"/>
    <x v="236"/>
    <x v="236"/>
    <x v="222"/>
    <x v="0"/>
    <x v="9"/>
    <n v="1154"/>
    <x v="4"/>
    <m/>
    <m/>
    <s v="Supplier"/>
    <m/>
    <x v="132"/>
    <s v="Tsann Kuen_General Agreement_22Dec12.pdf"/>
    <s v=".pdf"/>
    <d v="2014-03-26T00:00:00"/>
    <s v="as\afok"/>
    <m/>
    <s v="FHA 00 016 ind.10"/>
    <s v="37D6 - Within 60 days Due net on posting date 37D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n v="1"/>
    <m/>
    <m/>
    <n v="1"/>
    <m/>
    <m/>
    <s v="FP"/>
    <s v="CP"/>
    <s v="SP"/>
    <s v="MOULD"/>
    <s v="FP CP SP MOULD Both"/>
    <x v="0"/>
    <x v="1"/>
    <m/>
    <x v="54"/>
  </r>
  <r>
    <n v="1188"/>
    <x v="236"/>
    <x v="236"/>
    <x v="222"/>
    <x v="0"/>
    <x v="9"/>
    <n v="1164"/>
    <x v="4"/>
    <m/>
    <m/>
    <s v="Supplier"/>
    <m/>
    <x v="832"/>
    <s v="TSANN KUEN-DEVELOPMENT AND SUPPLY AGREEMENT 20042009.PDF"/>
    <s v=".pdf"/>
    <d v="2014-03-26T00:00:00"/>
    <s v="as\afok"/>
    <m/>
    <s v="FHA 00 016 ind.09"/>
    <s v="37D6 - Within 60 days Due net on posting date 37D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n v="1"/>
    <m/>
    <m/>
    <n v="1"/>
    <m/>
    <m/>
    <s v="FP"/>
    <s v="CP"/>
    <s v="SP"/>
    <s v="MOULD"/>
    <s v="FP CP SP MOULD Both"/>
    <x v="0"/>
    <x v="1"/>
    <m/>
    <x v="54"/>
  </r>
  <r>
    <n v="1181"/>
    <x v="236"/>
    <x v="236"/>
    <x v="222"/>
    <x v="0"/>
    <x v="9"/>
    <n v="1157"/>
    <x v="5"/>
    <m/>
    <m/>
    <s v="Supplier"/>
    <m/>
    <x v="132"/>
    <s v="Tsann Kuen_General Agreement_22Dec12.pdf"/>
    <s v=".pdf"/>
    <d v="2014-03-26T00:00:00"/>
    <s v="as\afok"/>
    <m/>
    <m/>
    <m/>
    <m/>
    <m/>
    <n v="50000"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n v="1"/>
    <m/>
    <n v="1"/>
    <m/>
    <m/>
    <s v="FP"/>
    <s v="CP"/>
    <s v="SP"/>
    <s v="MOULD"/>
    <s v="FP CP SP MOULD Both"/>
    <x v="0"/>
    <x v="1"/>
    <m/>
    <x v="54"/>
  </r>
  <r>
    <n v="1180"/>
    <x v="236"/>
    <x v="236"/>
    <x v="222"/>
    <x v="0"/>
    <x v="9"/>
    <n v="1156"/>
    <x v="6"/>
    <m/>
    <m/>
    <s v="Supplier"/>
    <m/>
    <x v="132"/>
    <s v="Tsann Kuen_General Agreement_22Dec12.pdf"/>
    <s v=".pdf"/>
    <d v="2014-03-26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n v="1"/>
    <n v="1"/>
    <m/>
    <m/>
    <s v="FP"/>
    <s v="CP"/>
    <s v="SP"/>
    <s v="MOULD"/>
    <s v="FP CP SP MOULD Both"/>
    <x v="0"/>
    <x v="1"/>
    <m/>
    <x v="54"/>
  </r>
  <r>
    <n v="1182"/>
    <x v="236"/>
    <x v="236"/>
    <x v="222"/>
    <x v="0"/>
    <x v="9"/>
    <n v="1158"/>
    <x v="10"/>
    <m/>
    <m/>
    <s v="Supplier"/>
    <m/>
    <x v="833"/>
    <s v="Tsann Kuen_General Agreement_22Dec12.pdf"/>
    <s v=".pdf"/>
    <d v="2014-03-2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1"/>
    <m/>
    <m/>
    <s v="FP"/>
    <s v="CP"/>
    <s v="SP"/>
    <s v="MOULD"/>
    <s v="FP CP SP MOULD Both"/>
    <x v="0"/>
    <x v="1"/>
    <m/>
    <x v="54"/>
  </r>
  <r>
    <n v="1179"/>
    <x v="236"/>
    <x v="236"/>
    <x v="222"/>
    <x v="0"/>
    <x v="9"/>
    <n v="1155"/>
    <x v="7"/>
    <m/>
    <m/>
    <s v="Supplier"/>
    <m/>
    <x v="731"/>
    <s v="Tsann Kuen_General Agreement_22Dec12.pdf"/>
    <s v=".pdf"/>
    <d v="2014-03-26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1"/>
    <m/>
    <m/>
    <s v="FP"/>
    <s v="CP"/>
    <s v="SP"/>
    <s v="MOULD"/>
    <s v="FP CP SP MOULD Both"/>
    <x v="0"/>
    <x v="1"/>
    <m/>
    <x v="54"/>
  </r>
  <r>
    <n v="1177"/>
    <x v="236"/>
    <x v="236"/>
    <x v="222"/>
    <x v="0"/>
    <x v="9"/>
    <n v="1153"/>
    <x v="11"/>
    <m/>
    <m/>
    <s v="Product / Project"/>
    <m/>
    <x v="505"/>
    <s v="Tsann Kuen_Exclusivity Agreement_TSK-H102 Single Curved Grill_26Feb13.pdf"/>
    <s v=".pdf"/>
    <d v="2014-03-26T00:00:00"/>
    <s v="as\afok"/>
    <m/>
    <m/>
    <m/>
    <m/>
    <m/>
    <m/>
    <s v="TSK-H102 Single Curved Grill"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1"/>
    <m/>
    <m/>
    <s v="FP"/>
    <s v="CP"/>
    <s v="SP"/>
    <s v="MOULD"/>
    <s v="FP CP SP MOULD Both"/>
    <x v="0"/>
    <x v="1"/>
    <m/>
    <x v="54"/>
  </r>
  <r>
    <n v="1186"/>
    <x v="236"/>
    <x v="236"/>
    <x v="222"/>
    <x v="0"/>
    <x v="9"/>
    <n v="1162"/>
    <x v="11"/>
    <m/>
    <m/>
    <s v="Product / Project"/>
    <m/>
    <x v="834"/>
    <s v="Tsann Kuen_Exclusivity Agreement_TSK-H115 Double Curve Grill_14Dec11.pdf"/>
    <s v=".pdf"/>
    <d v="2014-03-26T00:00:00"/>
    <s v="as\afok"/>
    <m/>
    <m/>
    <m/>
    <m/>
    <m/>
    <m/>
    <s v="TSK-H115 Double Curve Grill"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1"/>
    <m/>
    <m/>
    <s v="FP"/>
    <s v="CP"/>
    <s v="SP"/>
    <s v="MOULD"/>
    <s v="FP CP SP MOULD Both"/>
    <x v="0"/>
    <x v="1"/>
    <m/>
    <x v="54"/>
  </r>
  <r>
    <n v="1191"/>
    <x v="236"/>
    <x v="236"/>
    <x v="222"/>
    <x v="0"/>
    <x v="9"/>
    <n v="1167"/>
    <x v="11"/>
    <m/>
    <m/>
    <s v="Supplier"/>
    <m/>
    <x v="708"/>
    <s v="Exclusivity Summary TK.xlsx"/>
    <s v=".xlsx"/>
    <d v="2014-03-26T00:00:00"/>
    <s v="as\afok"/>
    <s v="Exclusivity Summary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1"/>
    <n v="1"/>
    <m/>
    <s v="FP"/>
    <s v="CP"/>
    <s v="SP"/>
    <s v="MOULD"/>
    <s v="FP CP SP MOULD Both"/>
    <x v="0"/>
    <x v="1"/>
    <m/>
    <x v="54"/>
  </r>
  <r>
    <n v="1173"/>
    <x v="236"/>
    <x v="236"/>
    <x v="222"/>
    <x v="0"/>
    <x v="9"/>
    <n v="1149"/>
    <x v="11"/>
    <m/>
    <m/>
    <s v="Supplier"/>
    <m/>
    <x v="574"/>
    <s v="EA and IP for H132 and 134.pdf"/>
    <s v=".pdf"/>
    <d v="2014-03-26T00:00:00"/>
    <s v="as\afok"/>
    <s v="H132 and 134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1"/>
    <m/>
    <m/>
    <s v="FP"/>
    <s v="CP"/>
    <s v="SP"/>
    <s v="MOULD"/>
    <s v="FP CP SP MOULD Both"/>
    <x v="0"/>
    <x v="1"/>
    <m/>
    <x v="54"/>
  </r>
  <r>
    <n v="1185"/>
    <x v="236"/>
    <x v="236"/>
    <x v="222"/>
    <x v="0"/>
    <x v="9"/>
    <n v="1161"/>
    <x v="12"/>
    <m/>
    <m/>
    <s v="Product / Project"/>
    <m/>
    <x v="834"/>
    <s v="Tsann Kuen_IP_TSK-H115 Double Curve Grill_14Dec11.pdf"/>
    <s v=".pdf"/>
    <d v="2014-03-26T00:00:00"/>
    <s v="as\afok"/>
    <m/>
    <m/>
    <m/>
    <m/>
    <m/>
    <m/>
    <s v="TSK-H115 Double Curve Grill"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1"/>
    <m/>
    <m/>
    <s v="FP"/>
    <s v="CP"/>
    <s v="SP"/>
    <s v="MOULD"/>
    <s v="FP CP SP MOULD Both"/>
    <x v="0"/>
    <x v="1"/>
    <m/>
    <x v="54"/>
  </r>
  <r>
    <n v="1172"/>
    <x v="236"/>
    <x v="236"/>
    <x v="222"/>
    <x v="0"/>
    <x v="9"/>
    <n v="1148"/>
    <x v="12"/>
    <m/>
    <m/>
    <s v="Product / Project"/>
    <m/>
    <x v="574"/>
    <s v="EA and IP for H132 and 134.pdf"/>
    <s v=".pdf"/>
    <d v="2014-03-26T00:00:00"/>
    <s v="as\afok"/>
    <m/>
    <m/>
    <m/>
    <m/>
    <m/>
    <m/>
    <s v="H132 and 134"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1"/>
    <m/>
    <m/>
    <s v="FP"/>
    <s v="CP"/>
    <s v="SP"/>
    <s v="MOULD"/>
    <s v="FP CP SP MOULD Both"/>
    <x v="0"/>
    <x v="1"/>
    <m/>
    <x v="54"/>
  </r>
  <r>
    <n v="1176"/>
    <x v="236"/>
    <x v="236"/>
    <x v="222"/>
    <x v="0"/>
    <x v="9"/>
    <n v="1152"/>
    <x v="12"/>
    <m/>
    <m/>
    <s v="Product / Project"/>
    <m/>
    <x v="505"/>
    <s v="Tsann Kuen_IP_TSK-H102 Single Curved Grill_26Feb13.pdf"/>
    <s v=".pdf"/>
    <d v="2014-03-26T00:00:00"/>
    <s v="as\afok"/>
    <m/>
    <m/>
    <m/>
    <m/>
    <m/>
    <m/>
    <s v="TSK-H102 Single Curved Grill"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1"/>
    <m/>
    <m/>
    <s v="FP"/>
    <s v="CP"/>
    <s v="SP"/>
    <s v="MOULD"/>
    <s v="FP CP SP MOULD Both"/>
    <x v="0"/>
    <x v="1"/>
    <m/>
    <x v="54"/>
  </r>
  <r>
    <n v="1189"/>
    <x v="236"/>
    <x v="236"/>
    <x v="222"/>
    <x v="0"/>
    <x v="9"/>
    <n v="1165"/>
    <x v="13"/>
    <m/>
    <m/>
    <s v="Supplier"/>
    <d v="2011-12-18T00:00:00"/>
    <x v="835"/>
    <s v="Tsann_Kuen_ISO14001_2010.pdf"/>
    <s v=".pdf"/>
    <d v="2014-03-2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1"/>
    <m/>
    <m/>
    <s v="FP"/>
    <s v="CP"/>
    <s v="SP"/>
    <s v="MOULD"/>
    <s v="FP CP SP MOULD Both"/>
    <x v="0"/>
    <x v="1"/>
    <m/>
    <x v="54"/>
  </r>
  <r>
    <n v="1183"/>
    <x v="236"/>
    <x v="236"/>
    <x v="222"/>
    <x v="0"/>
    <x v="9"/>
    <n v="1159"/>
    <x v="14"/>
    <m/>
    <m/>
    <s v="Supplier"/>
    <d v="2011-08-25T00:00:00"/>
    <x v="836"/>
    <s v="Tsann  Kuen_ISO9001_ 26Aug2008.jpg"/>
    <s v=".jpg"/>
    <d v="2014-03-2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1"/>
    <m/>
    <m/>
    <s v="FP"/>
    <s v="CP"/>
    <s v="SP"/>
    <s v="MOULD"/>
    <s v="FP CP SP MOULD Both"/>
    <x v="0"/>
    <x v="1"/>
    <m/>
    <x v="54"/>
  </r>
  <r>
    <n v="1184"/>
    <x v="236"/>
    <x v="236"/>
    <x v="222"/>
    <x v="0"/>
    <x v="9"/>
    <n v="1160"/>
    <x v="1"/>
    <m/>
    <m/>
    <s v="Supplier"/>
    <m/>
    <x v="276"/>
    <s v="SEF_Tsann Kuen_20120830.xlsx"/>
    <s v=".xlsx"/>
    <d v="2014-03-26T00:00:00"/>
    <s v="as\afok"/>
    <m/>
    <s v="2012"/>
    <m/>
    <m/>
    <m/>
    <m/>
    <m/>
    <x v="0"/>
    <x v="0"/>
    <x v="0"/>
    <x v="2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1"/>
    <m/>
    <m/>
    <s v="FP"/>
    <s v="CP"/>
    <s v="SP"/>
    <s v="MOULD"/>
    <s v="FP CP SP MOULD Both"/>
    <x v="0"/>
    <x v="1"/>
    <m/>
    <x v="54"/>
  </r>
  <r>
    <n v="1171"/>
    <x v="236"/>
    <x v="236"/>
    <x v="222"/>
    <x v="0"/>
    <x v="9"/>
    <n v="1147"/>
    <x v="1"/>
    <m/>
    <m/>
    <s v="Supplier"/>
    <m/>
    <x v="223"/>
    <s v="SEF Tsann Kuen 20130809.xlsx"/>
    <s v=".xlsx"/>
    <d v="2014-03-26T00:00:00"/>
    <s v="as\afok"/>
    <m/>
    <s v="2013"/>
    <m/>
    <m/>
    <m/>
    <m/>
    <m/>
    <x v="0"/>
    <x v="0"/>
    <x v="0"/>
    <x v="2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1"/>
    <m/>
    <m/>
    <s v="FP"/>
    <s v="CP"/>
    <s v="SP"/>
    <s v="MOULD"/>
    <s v="FP CP SP MOULD Both"/>
    <x v="0"/>
    <x v="1"/>
    <m/>
    <x v="54"/>
  </r>
  <r>
    <n v="1190"/>
    <x v="236"/>
    <x v="236"/>
    <x v="222"/>
    <x v="0"/>
    <x v="9"/>
    <n v="1166"/>
    <x v="2"/>
    <m/>
    <m/>
    <s v="Supplier"/>
    <m/>
    <x v="583"/>
    <s v="Tsann_Kuen_SIF2012 _19Jul12.xls"/>
    <s v=".xls"/>
    <d v="2014-03-26T00:00:00"/>
    <s v="as\afok"/>
    <m/>
    <s v="2012"/>
    <m/>
    <m/>
    <m/>
    <m/>
    <m/>
    <x v="0"/>
    <x v="0"/>
    <x v="0"/>
    <x v="0"/>
    <x v="1"/>
    <x v="149"/>
    <x v="198"/>
    <x v="184"/>
    <x v="166"/>
    <x v="161"/>
    <x v="7"/>
    <x v="10"/>
    <x v="49"/>
    <x v="89"/>
    <x v="23"/>
    <s v="FP panel"/>
    <x v="1"/>
    <x v="1"/>
    <x v="0"/>
    <x v="0"/>
    <m/>
    <m/>
    <m/>
    <n v="1"/>
    <m/>
    <m/>
    <s v="FP"/>
    <s v="CP"/>
    <s v="SP"/>
    <s v="MOULD"/>
    <s v="FP CP SP MOULD Both"/>
    <x v="1"/>
    <x v="1"/>
    <m/>
    <x v="54"/>
  </r>
  <r>
    <n v="1174"/>
    <x v="237"/>
    <x v="237"/>
    <x v="222"/>
    <x v="0"/>
    <x v="9"/>
    <n v="1150"/>
    <x v="2"/>
    <m/>
    <m/>
    <s v="Supplier"/>
    <m/>
    <x v="645"/>
    <s v="Tsann_Kuen (Indonesia)_SIF2013.xls"/>
    <s v=".xls"/>
    <d v="2014-03-26T00:00:00"/>
    <s v="as\afok"/>
    <m/>
    <s v="2013"/>
    <m/>
    <m/>
    <m/>
    <m/>
    <m/>
    <x v="0"/>
    <x v="0"/>
    <x v="0"/>
    <x v="0"/>
    <x v="2"/>
    <x v="63"/>
    <x v="127"/>
    <x v="185"/>
    <x v="111"/>
    <x v="0"/>
    <x v="6"/>
    <x v="11"/>
    <x v="29"/>
    <x v="6"/>
    <x v="0"/>
    <s v="FP panel"/>
    <x v="1"/>
    <x v="1"/>
    <x v="0"/>
    <x v="0"/>
    <m/>
    <m/>
    <m/>
    <n v="1"/>
    <m/>
    <m/>
    <s v="FP"/>
    <m/>
    <s v="SP"/>
    <m/>
    <s v="FP SP Both"/>
    <x v="1"/>
    <x v="1"/>
    <m/>
    <x v="30"/>
  </r>
  <r>
    <n v="1175"/>
    <x v="236"/>
    <x v="236"/>
    <x v="222"/>
    <x v="0"/>
    <x v="9"/>
    <n v="1151"/>
    <x v="2"/>
    <n v="1"/>
    <m/>
    <s v="Supplier"/>
    <m/>
    <x v="411"/>
    <s v="Tsann_Kuen_SIF2013.xls"/>
    <s v=".xls"/>
    <d v="2014-03-26T00:00:00"/>
    <s v="as\afok"/>
    <m/>
    <s v="2013"/>
    <m/>
    <m/>
    <m/>
    <m/>
    <m/>
    <x v="0"/>
    <x v="0"/>
    <x v="0"/>
    <x v="0"/>
    <x v="2"/>
    <x v="150"/>
    <x v="199"/>
    <x v="186"/>
    <x v="167"/>
    <x v="162"/>
    <x v="6"/>
    <x v="11"/>
    <x v="9"/>
    <x v="10"/>
    <x v="81"/>
    <s v="FP panel"/>
    <x v="1"/>
    <x v="1"/>
    <x v="0"/>
    <x v="0"/>
    <m/>
    <m/>
    <m/>
    <n v="1"/>
    <m/>
    <m/>
    <s v="FP"/>
    <s v="CP"/>
    <s v="SP"/>
    <s v="MOULD"/>
    <s v="FP CP SP MOULD Both"/>
    <x v="1"/>
    <x v="1"/>
    <m/>
    <x v="54"/>
  </r>
  <r>
    <n v="1187"/>
    <x v="236"/>
    <x v="236"/>
    <x v="222"/>
    <x v="0"/>
    <x v="9"/>
    <n v="1163"/>
    <x v="3"/>
    <m/>
    <m/>
    <s v="Supplier"/>
    <m/>
    <x v="119"/>
    <s v="Tsann Kuen_SPR_20121207.pptx"/>
    <s v=".pptx"/>
    <d v="2014-03-26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1"/>
    <x v="0"/>
    <x v="0"/>
    <m/>
    <m/>
    <m/>
    <n v="1"/>
    <m/>
    <m/>
    <s v="FP"/>
    <s v="CP"/>
    <s v="SP"/>
    <s v="MOULD"/>
    <s v="FP CP SP MOULD Both"/>
    <x v="0"/>
    <x v="1"/>
    <m/>
    <x v="54"/>
  </r>
  <r>
    <n v="961"/>
    <x v="238"/>
    <x v="238"/>
    <x v="223"/>
    <x v="4"/>
    <x v="6"/>
    <n v="939"/>
    <x v="7"/>
    <m/>
    <m/>
    <s v="Supplier"/>
    <m/>
    <x v="837"/>
    <s v="Tsun_Ngai_Env_Declaration_01Jun2010.xls"/>
    <s v=".xls"/>
    <d v="2014-03-24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m/>
    <m/>
    <s v="MOULD"/>
    <s v="MOULD "/>
    <x v="0"/>
    <x v="1"/>
    <m/>
    <x v="3"/>
  </r>
  <r>
    <n v="960"/>
    <x v="238"/>
    <x v="238"/>
    <x v="223"/>
    <x v="4"/>
    <x v="6"/>
    <n v="938"/>
    <x v="8"/>
    <m/>
    <m/>
    <s v="Supplier"/>
    <m/>
    <x v="19"/>
    <s v="TsunNgai_Responsible_Purchasing_Charter_07Aug12.pdf"/>
    <s v=".pdf"/>
    <d v="2014-03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m/>
    <m/>
    <s v="MOULD"/>
    <s v="MOULD "/>
    <x v="0"/>
    <x v="1"/>
    <m/>
    <x v="3"/>
  </r>
  <r>
    <n v="959"/>
    <x v="238"/>
    <x v="238"/>
    <x v="223"/>
    <x v="4"/>
    <x v="6"/>
    <n v="937"/>
    <x v="1"/>
    <m/>
    <m/>
    <s v="Supplier"/>
    <m/>
    <x v="318"/>
    <s v="Tsun_Ngai_SEF_2012_R1.xlsx"/>
    <s v=".xlsx"/>
    <d v="2014-03-24T00:00:00"/>
    <s v="as\afok"/>
    <m/>
    <s v="2012"/>
    <m/>
    <m/>
    <m/>
    <m/>
    <m/>
    <x v="0"/>
    <x v="0"/>
    <x v="0"/>
    <x v="9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m/>
    <m/>
    <s v="MOULD"/>
    <s v="MOULD "/>
    <x v="0"/>
    <x v="1"/>
    <m/>
    <x v="3"/>
  </r>
  <r>
    <n v="962"/>
    <x v="238"/>
    <x v="238"/>
    <x v="223"/>
    <x v="4"/>
    <x v="6"/>
    <n v="940"/>
    <x v="2"/>
    <m/>
    <m/>
    <s v="Supplier"/>
    <m/>
    <x v="574"/>
    <s v="Tsun Ngai_SIF2013.xlsx"/>
    <s v=".xlsx"/>
    <d v="2014-03-24T00:00:00"/>
    <s v="as\afok"/>
    <m/>
    <s v="2013"/>
    <m/>
    <m/>
    <m/>
    <m/>
    <m/>
    <x v="0"/>
    <x v="0"/>
    <x v="0"/>
    <x v="0"/>
    <x v="2"/>
    <x v="98"/>
    <x v="200"/>
    <x v="187"/>
    <x v="168"/>
    <x v="163"/>
    <x v="10"/>
    <x v="19"/>
    <x v="101"/>
    <x v="9"/>
    <x v="81"/>
    <m/>
    <x v="0"/>
    <x v="0"/>
    <x v="0"/>
    <x v="0"/>
    <m/>
    <m/>
    <m/>
    <n v="0"/>
    <m/>
    <n v="1"/>
    <m/>
    <m/>
    <m/>
    <s v="MOULD"/>
    <s v="MOULD "/>
    <x v="2"/>
    <x v="1"/>
    <m/>
    <x v="3"/>
  </r>
  <r>
    <n v="958"/>
    <x v="238"/>
    <x v="238"/>
    <x v="223"/>
    <x v="4"/>
    <x v="6"/>
    <n v="936"/>
    <x v="3"/>
    <m/>
    <m/>
    <s v="Supplier"/>
    <m/>
    <x v="145"/>
    <s v="SPR_Tsun_Ngai_May2012.ppt"/>
    <s v=".ppt"/>
    <d v="2014-03-24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m/>
    <m/>
    <s v="MOULD"/>
    <s v="MOULD "/>
    <x v="0"/>
    <x v="1"/>
    <m/>
    <x v="3"/>
  </r>
  <r>
    <n v="1195"/>
    <x v="239"/>
    <x v="239"/>
    <x v="224"/>
    <x v="0"/>
    <x v="9"/>
    <n v="1171"/>
    <x v="9"/>
    <m/>
    <m/>
    <s v="Supplier"/>
    <m/>
    <x v="264"/>
    <s v="TYS_LOC_10Aug12.pdf"/>
    <s v=".pdf"/>
    <d v="2014-03-2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m/>
    <s v="MOULD"/>
    <s v="FP MOULD "/>
    <x v="0"/>
    <x v="1"/>
    <m/>
    <x v="0"/>
  </r>
  <r>
    <n v="1194"/>
    <x v="239"/>
    <x v="239"/>
    <x v="224"/>
    <x v="0"/>
    <x v="9"/>
    <n v="1170"/>
    <x v="8"/>
    <m/>
    <m/>
    <s v="Supplier"/>
    <m/>
    <x v="315"/>
    <s v="TYS_Responsible Purchasing Charter_13Sep12.pdf"/>
    <s v=".pdf"/>
    <d v="2014-03-2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m/>
    <s v="MOULD"/>
    <s v="FP MOULD "/>
    <x v="0"/>
    <x v="1"/>
    <m/>
    <x v="0"/>
  </r>
  <r>
    <n v="1192"/>
    <x v="239"/>
    <x v="239"/>
    <x v="224"/>
    <x v="0"/>
    <x v="9"/>
    <n v="1168"/>
    <x v="2"/>
    <m/>
    <m/>
    <s v="Supplier"/>
    <m/>
    <x v="205"/>
    <s v="TYS SIF2012.XLSX"/>
    <s v=".xlsx"/>
    <d v="2014-03-26T00:00:00"/>
    <s v="as\afok"/>
    <m/>
    <s v="2012"/>
    <m/>
    <m/>
    <m/>
    <m/>
    <m/>
    <x v="0"/>
    <x v="0"/>
    <x v="0"/>
    <x v="0"/>
    <x v="1"/>
    <x v="151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m/>
    <s v="MOULD"/>
    <s v="FP MOULD "/>
    <x v="3"/>
    <x v="1"/>
    <m/>
    <x v="0"/>
  </r>
  <r>
    <n v="1193"/>
    <x v="239"/>
    <x v="239"/>
    <x v="224"/>
    <x v="0"/>
    <x v="9"/>
    <n v="1169"/>
    <x v="2"/>
    <n v="1"/>
    <m/>
    <s v="Supplier"/>
    <m/>
    <x v="715"/>
    <s v="TYS FHA6E502_EN - SIF2014.XLSX"/>
    <s v=".xlsx"/>
    <d v="2014-03-26T00:00:00"/>
    <s v="as\afok"/>
    <m/>
    <s v="2014"/>
    <m/>
    <m/>
    <m/>
    <m/>
    <m/>
    <x v="0"/>
    <x v="0"/>
    <x v="0"/>
    <x v="0"/>
    <x v="3"/>
    <x v="106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m/>
    <s v="MOULD"/>
    <s v="FP MOULD "/>
    <x v="3"/>
    <x v="1"/>
    <m/>
    <x v="0"/>
  </r>
  <r>
    <n v="1196"/>
    <x v="239"/>
    <x v="239"/>
    <x v="224"/>
    <x v="0"/>
    <x v="9"/>
    <n v="1172"/>
    <x v="2"/>
    <m/>
    <m/>
    <s v="Supplier"/>
    <m/>
    <x v="606"/>
    <s v="TYS_SIF 2013.xls"/>
    <s v=".xls"/>
    <d v="2014-03-26T00:00:00"/>
    <s v="as\afok"/>
    <m/>
    <s v="2013"/>
    <m/>
    <m/>
    <m/>
    <m/>
    <m/>
    <x v="0"/>
    <x v="0"/>
    <x v="0"/>
    <x v="0"/>
    <x v="2"/>
    <x v="24"/>
    <x v="107"/>
    <x v="0"/>
    <x v="0"/>
    <x v="0"/>
    <x v="0"/>
    <x v="0"/>
    <x v="0"/>
    <x v="0"/>
    <x v="0"/>
    <m/>
    <x v="0"/>
    <x v="0"/>
    <x v="0"/>
    <x v="0"/>
    <m/>
    <m/>
    <m/>
    <n v="0"/>
    <m/>
    <n v="1"/>
    <s v="FP"/>
    <m/>
    <m/>
    <s v="MOULD"/>
    <s v="FP MOULD "/>
    <x v="3"/>
    <x v="1"/>
    <m/>
    <x v="0"/>
  </r>
  <r>
    <n v="12"/>
    <x v="240"/>
    <x v="240"/>
    <x v="225"/>
    <x v="3"/>
    <x v="19"/>
    <n v="9"/>
    <x v="4"/>
    <m/>
    <m/>
    <s v="Supplier"/>
    <d v="2015-12-31T00:00:00"/>
    <x v="354"/>
    <s v="USP_General Agreement_FHA00016 ind.11_20120723.pdf"/>
    <s v=".pdf"/>
    <d v="2014-03-04T00:00:00"/>
    <s v="as\afok"/>
    <m/>
    <s v="FHA00016 ind.11"/>
    <s v="37D9 - Within 90 days Due net on posting date 37D9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n v="1"/>
    <m/>
    <m/>
    <n v="0"/>
    <m/>
    <m/>
    <s v="FP"/>
    <s v="CP"/>
    <s v="SP"/>
    <s v="MOULD"/>
    <s v="FP CP SP MOULD Both"/>
    <x v="0"/>
    <x v="1"/>
    <m/>
    <x v="7"/>
  </r>
  <r>
    <n v="576"/>
    <x v="240"/>
    <x v="240"/>
    <x v="225"/>
    <x v="3"/>
    <x v="19"/>
    <n v="559"/>
    <x v="10"/>
    <m/>
    <m/>
    <s v="Supplier"/>
    <m/>
    <x v="354"/>
    <s v="USP_General Agreement_FHA00016 ind.11_20120723.pdf"/>
    <s v=".pdf"/>
    <d v="2014-03-1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n v="1"/>
    <s v="FP"/>
    <s v="CP"/>
    <s v="SP"/>
    <s v="MOULD"/>
    <s v="FP CP SP MOULD Both"/>
    <x v="0"/>
    <x v="1"/>
    <m/>
    <x v="7"/>
  </r>
  <r>
    <n v="274"/>
    <x v="240"/>
    <x v="240"/>
    <x v="225"/>
    <x v="3"/>
    <x v="19"/>
    <n v="262"/>
    <x v="11"/>
    <m/>
    <m/>
    <s v="Product / Project"/>
    <m/>
    <x v="354"/>
    <s v="USP_IP_Espresso steam solo_2012-07-23.pdf"/>
    <s v=".pdf"/>
    <d v="2014-03-13T00:00:00"/>
    <s v="as\afok"/>
    <s v="_x000d__x000a_"/>
    <m/>
    <m/>
    <m/>
    <m/>
    <m/>
    <s v="Espresso steam solo"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m/>
    <s v="FP"/>
    <s v="CP"/>
    <s v="SP"/>
    <s v="MOULD"/>
    <s v="FP CP SP MOULD Both"/>
    <x v="0"/>
    <x v="1"/>
    <m/>
    <x v="7"/>
  </r>
  <r>
    <n v="268"/>
    <x v="240"/>
    <x v="240"/>
    <x v="225"/>
    <x v="3"/>
    <x v="19"/>
    <n v="256"/>
    <x v="11"/>
    <m/>
    <m/>
    <s v="Supplier"/>
    <m/>
    <x v="406"/>
    <s v="USP exclusivity agreement-25Jan2013.xlsx"/>
    <s v=".xlsx"/>
    <d v="2014-03-1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m/>
    <s v="FP"/>
    <s v="CP"/>
    <s v="SP"/>
    <s v="MOULD"/>
    <s v="FP CP SP MOULD Both"/>
    <x v="0"/>
    <x v="1"/>
    <m/>
    <x v="7"/>
  </r>
  <r>
    <n v="273"/>
    <x v="240"/>
    <x v="240"/>
    <x v="225"/>
    <x v="3"/>
    <x v="19"/>
    <n v="261"/>
    <x v="11"/>
    <m/>
    <m/>
    <s v="Product / Project"/>
    <m/>
    <x v="93"/>
    <s v="USP_EA_Espresso steam combi_2012-08-09.pdf"/>
    <s v=".pdf"/>
    <d v="2014-03-13T00:00:00"/>
    <s v="as\afok"/>
    <s v="_x000d__x000a_"/>
    <m/>
    <m/>
    <m/>
    <m/>
    <m/>
    <s v="Espresso steam combi"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m/>
    <s v="FP"/>
    <s v="CP"/>
    <s v="SP"/>
    <s v="MOULD"/>
    <s v="FP CP SP MOULD Both"/>
    <x v="0"/>
    <x v="1"/>
    <m/>
    <x v="7"/>
  </r>
  <r>
    <n v="280"/>
    <x v="240"/>
    <x v="240"/>
    <x v="225"/>
    <x v="3"/>
    <x v="19"/>
    <n v="268"/>
    <x v="0"/>
    <m/>
    <m/>
    <s v="Supplier"/>
    <m/>
    <x v="31"/>
    <s v="USP - food contact - NK2_FRD00069.pdf"/>
    <s v=".pdf"/>
    <d v="2014-03-13T00:00:00"/>
    <s v="as\afok"/>
    <m/>
    <s v="FRD00069 ind.05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m/>
    <s v="FP"/>
    <s v="CP"/>
    <s v="SP"/>
    <s v="MOULD"/>
    <s v="FP CP SP MOULD Both"/>
    <x v="0"/>
    <x v="1"/>
    <m/>
    <x v="7"/>
  </r>
  <r>
    <n v="271"/>
    <x v="240"/>
    <x v="240"/>
    <x v="225"/>
    <x v="3"/>
    <x v="19"/>
    <n v="259"/>
    <x v="12"/>
    <m/>
    <m/>
    <s v="Product / Project"/>
    <m/>
    <x v="93"/>
    <s v="USP_EA_Espresso steam combi_2012-08-09.pdf"/>
    <s v=".pdf"/>
    <d v="2014-03-13T00:00:00"/>
    <s v="as\afok"/>
    <s v="_x000d__x000a_"/>
    <m/>
    <m/>
    <m/>
    <m/>
    <m/>
    <s v="Espresso steam combi"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m/>
    <s v="FP"/>
    <s v="CP"/>
    <s v="SP"/>
    <s v="MOULD"/>
    <s v="FP CP SP MOULD Both"/>
    <x v="0"/>
    <x v="1"/>
    <m/>
    <x v="7"/>
  </r>
  <r>
    <n v="270"/>
    <x v="240"/>
    <x v="240"/>
    <x v="225"/>
    <x v="3"/>
    <x v="19"/>
    <n v="258"/>
    <x v="12"/>
    <m/>
    <m/>
    <s v="Product / Project"/>
    <m/>
    <x v="838"/>
    <s v="USP_IP Agreement_SW and WM_20110506.pdf"/>
    <s v=".pdf"/>
    <d v="2014-03-13T00:00:00"/>
    <s v="as\afok"/>
    <s v="_x000d__x000a_"/>
    <m/>
    <m/>
    <m/>
    <m/>
    <m/>
    <s v="SW and WM"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m/>
    <s v="FP"/>
    <s v="CP"/>
    <s v="SP"/>
    <s v="MOULD"/>
    <s v="FP CP SP MOULD Both"/>
    <x v="0"/>
    <x v="1"/>
    <m/>
    <x v="7"/>
  </r>
  <r>
    <n v="272"/>
    <x v="240"/>
    <x v="240"/>
    <x v="225"/>
    <x v="3"/>
    <x v="19"/>
    <n v="260"/>
    <x v="12"/>
    <m/>
    <m/>
    <s v="Product / Project"/>
    <m/>
    <x v="354"/>
    <s v="USP_IP_Espresso steam solo_2012-07-23.pdf"/>
    <s v=".pdf"/>
    <d v="2014-03-13T00:00:00"/>
    <s v="as\afok"/>
    <s v="_x000d__x000a_"/>
    <m/>
    <m/>
    <m/>
    <m/>
    <m/>
    <s v="Espresso steam solo"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m/>
    <s v="FP"/>
    <s v="CP"/>
    <s v="SP"/>
    <s v="MOULD"/>
    <s v="FP CP SP MOULD Both"/>
    <x v="0"/>
    <x v="1"/>
    <m/>
    <x v="7"/>
  </r>
  <r>
    <n v="269"/>
    <x v="240"/>
    <x v="240"/>
    <x v="225"/>
    <x v="3"/>
    <x v="19"/>
    <n v="257"/>
    <x v="14"/>
    <m/>
    <m/>
    <s v="Supplier"/>
    <d v="2013-01-03T00:00:00"/>
    <x v="839"/>
    <s v="USP_ISO9001_04Jan2010.JPG"/>
    <s v=".jpg"/>
    <d v="2014-03-1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m/>
    <s v="FP"/>
    <s v="CP"/>
    <s v="SP"/>
    <s v="MOULD"/>
    <s v="FP CP SP MOULD Both"/>
    <x v="0"/>
    <x v="1"/>
    <m/>
    <x v="7"/>
  </r>
  <r>
    <n v="275"/>
    <x v="240"/>
    <x v="240"/>
    <x v="225"/>
    <x v="3"/>
    <x v="19"/>
    <n v="263"/>
    <x v="8"/>
    <m/>
    <m/>
    <s v="Supplier"/>
    <m/>
    <x v="189"/>
    <s v="USP - Responsible Purchasing Charter.pdf"/>
    <s v=".pdf"/>
    <d v="2014-03-1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m/>
    <s v="FP"/>
    <s v="CP"/>
    <s v="SP"/>
    <s v="MOULD"/>
    <s v="FP CP SP MOULD Both"/>
    <x v="0"/>
    <x v="1"/>
    <m/>
    <x v="7"/>
  </r>
  <r>
    <n v="277"/>
    <x v="240"/>
    <x v="240"/>
    <x v="225"/>
    <x v="3"/>
    <x v="19"/>
    <n v="265"/>
    <x v="1"/>
    <m/>
    <m/>
    <s v="Supplier"/>
    <m/>
    <x v="71"/>
    <s v="USP_SEF_Dec 2012.xlsx"/>
    <s v=".xlsx"/>
    <d v="2014-03-13T00:00:00"/>
    <s v="as\afok"/>
    <m/>
    <s v="2012"/>
    <m/>
    <m/>
    <m/>
    <m/>
    <m/>
    <x v="0"/>
    <x v="0"/>
    <x v="0"/>
    <x v="25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m/>
    <s v="FP"/>
    <s v="CP"/>
    <s v="SP"/>
    <s v="MOULD"/>
    <s v="FP CP SP MOULD Both"/>
    <x v="0"/>
    <x v="1"/>
    <m/>
    <x v="7"/>
  </r>
  <r>
    <n v="276"/>
    <x v="240"/>
    <x v="240"/>
    <x v="225"/>
    <x v="3"/>
    <x v="19"/>
    <n v="264"/>
    <x v="1"/>
    <m/>
    <m/>
    <s v="Supplier"/>
    <m/>
    <x v="72"/>
    <s v="USP SEF 2012.xlsx"/>
    <s v=".xlsx"/>
    <d v="2014-03-13T00:00:00"/>
    <s v="as\afok"/>
    <m/>
    <s v="2012"/>
    <m/>
    <m/>
    <m/>
    <m/>
    <m/>
    <x v="0"/>
    <x v="0"/>
    <x v="0"/>
    <x v="9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0"/>
    <m/>
    <m/>
    <s v="FP"/>
    <s v="CP"/>
    <s v="SP"/>
    <s v="MOULD"/>
    <s v="FP CP SP MOULD Both"/>
    <x v="0"/>
    <x v="1"/>
    <m/>
    <x v="7"/>
  </r>
  <r>
    <n v="278"/>
    <x v="240"/>
    <x v="240"/>
    <x v="225"/>
    <x v="3"/>
    <x v="19"/>
    <n v="266"/>
    <x v="2"/>
    <n v="1"/>
    <m/>
    <s v="Supplier"/>
    <m/>
    <x v="321"/>
    <s v="USP_SIF_2013.xls"/>
    <s v=".xls"/>
    <d v="2014-03-13T00:00:00"/>
    <s v="as\afok"/>
    <m/>
    <s v="2013"/>
    <m/>
    <m/>
    <m/>
    <m/>
    <m/>
    <x v="0"/>
    <x v="0"/>
    <x v="0"/>
    <x v="0"/>
    <x v="2"/>
    <x v="152"/>
    <x v="201"/>
    <x v="188"/>
    <x v="169"/>
    <x v="164"/>
    <x v="21"/>
    <x v="6"/>
    <x v="28"/>
    <x v="4"/>
    <x v="1"/>
    <s v="FP panel"/>
    <x v="1"/>
    <x v="3"/>
    <x v="0"/>
    <x v="0"/>
    <m/>
    <m/>
    <m/>
    <n v="0"/>
    <m/>
    <m/>
    <s v="FP"/>
    <s v="CP"/>
    <s v="SP"/>
    <s v="MOULD"/>
    <s v="FP CP SP MOULD Both"/>
    <x v="1"/>
    <x v="1"/>
    <m/>
    <x v="7"/>
  </r>
  <r>
    <n v="279"/>
    <x v="240"/>
    <x v="240"/>
    <x v="225"/>
    <x v="3"/>
    <x v="19"/>
    <n v="267"/>
    <x v="2"/>
    <m/>
    <m/>
    <s v="Supplier"/>
    <m/>
    <x v="38"/>
    <s v="USP_SIF 2012_1Mar12.xls"/>
    <s v=".xls"/>
    <d v="2014-03-13T00:00:00"/>
    <s v="as\afok"/>
    <m/>
    <s v="2012"/>
    <m/>
    <m/>
    <m/>
    <m/>
    <m/>
    <x v="0"/>
    <x v="0"/>
    <x v="0"/>
    <x v="0"/>
    <x v="1"/>
    <x v="0"/>
    <x v="202"/>
    <x v="188"/>
    <x v="169"/>
    <x v="164"/>
    <x v="0"/>
    <x v="6"/>
    <x v="28"/>
    <x v="4"/>
    <x v="1"/>
    <s v="FP panel"/>
    <x v="1"/>
    <x v="3"/>
    <x v="0"/>
    <x v="0"/>
    <m/>
    <m/>
    <m/>
    <n v="0"/>
    <m/>
    <m/>
    <s v="FP"/>
    <s v="CP"/>
    <s v="SP"/>
    <s v="MOULD"/>
    <s v="FP CP SP MOULD Both"/>
    <x v="1"/>
    <x v="1"/>
    <m/>
    <x v="7"/>
  </r>
  <r>
    <n v="2374"/>
    <x v="241"/>
    <x v="241"/>
    <x v="226"/>
    <x v="1"/>
    <x v="5"/>
    <n v="2315"/>
    <x v="4"/>
    <m/>
    <m/>
    <s v="Supplier"/>
    <m/>
    <x v="840"/>
    <s v="United Rubber_General Agreement_V7.pdf"/>
    <s v=".pdf"/>
    <d v="2014-04-17T00:00:00"/>
    <s v="as\afok"/>
    <m/>
    <s v="V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1"/>
    <m/>
    <m/>
    <m/>
    <s v="CP"/>
    <m/>
    <m/>
    <s v="CP "/>
    <x v="0"/>
    <x v="1"/>
    <m/>
    <x v="57"/>
  </r>
  <r>
    <n v="2377"/>
    <x v="241"/>
    <x v="241"/>
    <x v="226"/>
    <x v="1"/>
    <x v="5"/>
    <n v="2318"/>
    <x v="5"/>
    <m/>
    <m/>
    <s v="Supplier"/>
    <m/>
    <x v="206"/>
    <s v="United Rubber_General Agreement_V7.pdf"/>
    <s v=".pdf"/>
    <d v="2014-04-17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n v="1"/>
    <m/>
    <n v="1"/>
    <m/>
    <m/>
    <m/>
    <s v="CP"/>
    <m/>
    <m/>
    <s v="CP "/>
    <x v="0"/>
    <x v="1"/>
    <m/>
    <x v="57"/>
  </r>
  <r>
    <n v="2376"/>
    <x v="241"/>
    <x v="241"/>
    <x v="226"/>
    <x v="1"/>
    <x v="5"/>
    <n v="2317"/>
    <x v="6"/>
    <m/>
    <m/>
    <s v="Supplier"/>
    <m/>
    <x v="840"/>
    <s v="United Rubber_General Agreement_V7.pdf"/>
    <s v=".pdf"/>
    <d v="2014-04-17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n v="1"/>
    <n v="1"/>
    <m/>
    <m/>
    <m/>
    <s v="CP"/>
    <m/>
    <m/>
    <s v="CP "/>
    <x v="0"/>
    <x v="1"/>
    <m/>
    <x v="57"/>
  </r>
  <r>
    <n v="2378"/>
    <x v="241"/>
    <x v="241"/>
    <x v="226"/>
    <x v="1"/>
    <x v="5"/>
    <n v="2319"/>
    <x v="10"/>
    <m/>
    <m/>
    <s v="Supplier"/>
    <m/>
    <x v="48"/>
    <s v="United Rubber_General Agreement_V7.pdf"/>
    <s v=".pdf"/>
    <d v="2014-04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57"/>
  </r>
  <r>
    <n v="2375"/>
    <x v="241"/>
    <x v="241"/>
    <x v="226"/>
    <x v="1"/>
    <x v="5"/>
    <n v="2316"/>
    <x v="7"/>
    <m/>
    <m/>
    <s v="Supplier"/>
    <m/>
    <x v="840"/>
    <s v="United Rubber_General Agreement_V7.pdf"/>
    <s v=".pdf"/>
    <d v="2014-04-17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57"/>
  </r>
  <r>
    <n v="2369"/>
    <x v="241"/>
    <x v="241"/>
    <x v="226"/>
    <x v="1"/>
    <x v="5"/>
    <n v="2310"/>
    <x v="14"/>
    <m/>
    <m/>
    <s v="Supplier"/>
    <d v="2012-10-20T00:00:00"/>
    <x v="577"/>
    <s v="United Rubber_ISO9001_21Oct2009.jpg"/>
    <s v=".jpg"/>
    <d v="2014-04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57"/>
  </r>
  <r>
    <n v="2380"/>
    <x v="241"/>
    <x v="241"/>
    <x v="226"/>
    <x v="1"/>
    <x v="5"/>
    <n v="2321"/>
    <x v="9"/>
    <m/>
    <m/>
    <s v="Supplier"/>
    <m/>
    <x v="841"/>
    <s v="Letter of Confidentiality - United Rubber_7Sep2011.pdf"/>
    <s v=".pdf"/>
    <d v="2014-04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n v="1"/>
    <m/>
    <m/>
    <s v="CP"/>
    <m/>
    <m/>
    <s v="CP "/>
    <x v="0"/>
    <x v="1"/>
    <m/>
    <x v="57"/>
  </r>
  <r>
    <n v="2370"/>
    <x v="241"/>
    <x v="241"/>
    <x v="226"/>
    <x v="1"/>
    <x v="5"/>
    <n v="2311"/>
    <x v="16"/>
    <m/>
    <m/>
    <s v="Supplier"/>
    <d v="2012-10-20T00:00:00"/>
    <x v="577"/>
    <s v="United Rubber_ISOTS16949_21Oct2009.jpg"/>
    <s v=".jpg"/>
    <d v="2014-04-17T00:00:00"/>
    <s v="as\afok"/>
    <s v="ISOTS16949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57"/>
  </r>
  <r>
    <n v="2368"/>
    <x v="241"/>
    <x v="241"/>
    <x v="226"/>
    <x v="1"/>
    <x v="5"/>
    <n v="2309"/>
    <x v="8"/>
    <m/>
    <m/>
    <s v="Supplier"/>
    <m/>
    <x v="176"/>
    <s v="United_rubber_Responsible_Purchasing_Charter_03Aug12.pdf"/>
    <s v=".pdf"/>
    <d v="2014-04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57"/>
  </r>
  <r>
    <n v="2371"/>
    <x v="241"/>
    <x v="241"/>
    <x v="226"/>
    <x v="1"/>
    <x v="5"/>
    <n v="2312"/>
    <x v="1"/>
    <m/>
    <m/>
    <s v="Supplier"/>
    <m/>
    <x v="511"/>
    <s v="United Rubber_SEF_2012-2.xlsx"/>
    <s v=".xlsx"/>
    <d v="2014-04-17T00:00:00"/>
    <s v="as\afok"/>
    <m/>
    <s v="2012"/>
    <m/>
    <m/>
    <m/>
    <m/>
    <m/>
    <x v="0"/>
    <x v="0"/>
    <x v="0"/>
    <x v="14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57"/>
  </r>
  <r>
    <n v="2373"/>
    <x v="241"/>
    <x v="241"/>
    <x v="226"/>
    <x v="1"/>
    <x v="5"/>
    <n v="2314"/>
    <x v="1"/>
    <m/>
    <m/>
    <s v="Supplier"/>
    <m/>
    <x v="205"/>
    <s v="SEF - Uniited Rubber_2012.xlsx"/>
    <s v=".xlsx"/>
    <d v="2014-04-17T00:00:00"/>
    <s v="as\afok"/>
    <m/>
    <s v="2012"/>
    <m/>
    <m/>
    <m/>
    <m/>
    <m/>
    <x v="0"/>
    <x v="0"/>
    <x v="0"/>
    <x v="17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57"/>
  </r>
  <r>
    <n v="2367"/>
    <x v="241"/>
    <x v="241"/>
    <x v="226"/>
    <x v="1"/>
    <x v="5"/>
    <n v="2308"/>
    <x v="2"/>
    <m/>
    <m/>
    <s v="Supplier"/>
    <m/>
    <x v="12"/>
    <s v="United_Rubber_SIF 2013.xlsx"/>
    <s v=".xlsx"/>
    <d v="2014-04-17T00:00:00"/>
    <s v="as\afok"/>
    <m/>
    <s v="2013"/>
    <m/>
    <m/>
    <m/>
    <m/>
    <m/>
    <x v="0"/>
    <x v="0"/>
    <x v="0"/>
    <x v="0"/>
    <x v="2"/>
    <x v="153"/>
    <x v="3"/>
    <x v="3"/>
    <x v="3"/>
    <x v="165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2"/>
    <x v="1"/>
    <m/>
    <x v="57"/>
  </r>
  <r>
    <n v="2366"/>
    <x v="241"/>
    <x v="241"/>
    <x v="226"/>
    <x v="1"/>
    <x v="5"/>
    <n v="2307"/>
    <x v="2"/>
    <n v="1"/>
    <m/>
    <s v="Supplier"/>
    <m/>
    <x v="45"/>
    <s v="United_Rubber_SIF_2014.xlsx"/>
    <s v=".xlsx"/>
    <d v="2014-04-17T00:00:00"/>
    <s v="as\afok"/>
    <m/>
    <s v="2014"/>
    <m/>
    <m/>
    <m/>
    <m/>
    <m/>
    <x v="0"/>
    <x v="0"/>
    <x v="0"/>
    <x v="0"/>
    <x v="3"/>
    <x v="153"/>
    <x v="3"/>
    <x v="3"/>
    <x v="3"/>
    <x v="165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2"/>
    <x v="1"/>
    <m/>
    <x v="57"/>
  </r>
  <r>
    <n v="2379"/>
    <x v="241"/>
    <x v="241"/>
    <x v="226"/>
    <x v="1"/>
    <x v="5"/>
    <n v="2320"/>
    <x v="2"/>
    <m/>
    <m/>
    <s v="Supplier"/>
    <m/>
    <x v="20"/>
    <s v="United Rubber_SIF2012_22Mar12.xlsx"/>
    <s v=".xlsx"/>
    <d v="2014-04-17T00:00:00"/>
    <s v="as\afok"/>
    <m/>
    <s v="2012"/>
    <m/>
    <m/>
    <m/>
    <m/>
    <m/>
    <x v="0"/>
    <x v="0"/>
    <x v="0"/>
    <x v="0"/>
    <x v="1"/>
    <x v="153"/>
    <x v="203"/>
    <x v="3"/>
    <x v="3"/>
    <x v="125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2"/>
    <x v="1"/>
    <m/>
    <x v="57"/>
  </r>
  <r>
    <n v="2372"/>
    <x v="241"/>
    <x v="241"/>
    <x v="226"/>
    <x v="1"/>
    <x v="5"/>
    <n v="2313"/>
    <x v="3"/>
    <m/>
    <m/>
    <s v="Supplier"/>
    <m/>
    <x v="75"/>
    <s v="United Rubber 2012 SPR.pptx"/>
    <s v=".pptx"/>
    <d v="2014-04-17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1"/>
    <m/>
    <m/>
    <m/>
    <s v="CP"/>
    <m/>
    <m/>
    <s v="CP "/>
    <x v="0"/>
    <x v="1"/>
    <m/>
    <x v="57"/>
  </r>
  <r>
    <n v="1114"/>
    <x v="242"/>
    <x v="242"/>
    <x v="227"/>
    <x v="1"/>
    <x v="11"/>
    <n v="1090"/>
    <x v="8"/>
    <m/>
    <m/>
    <s v="Supplier"/>
    <m/>
    <x v="666"/>
    <s v="Uniwell_Responsible Purchasing Charter_20mar2013.pdf"/>
    <s v=".pdf"/>
    <d v="2014-03-25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1115"/>
    <x v="242"/>
    <x v="242"/>
    <x v="227"/>
    <x v="1"/>
    <x v="11"/>
    <n v="1091"/>
    <x v="2"/>
    <m/>
    <m/>
    <s v="Supplier"/>
    <m/>
    <x v="666"/>
    <s v="Uniwell_SIF 2013.XLSX"/>
    <s v=".xlsx"/>
    <d v="2014-03-25T00:00:00"/>
    <s v="as\afok"/>
    <m/>
    <s v="2013"/>
    <m/>
    <m/>
    <m/>
    <m/>
    <m/>
    <x v="0"/>
    <x v="0"/>
    <x v="0"/>
    <x v="0"/>
    <x v="2"/>
    <x v="45"/>
    <x v="80"/>
    <x v="106"/>
    <x v="21"/>
    <x v="166"/>
    <x v="0"/>
    <x v="0"/>
    <x v="0"/>
    <x v="0"/>
    <x v="0"/>
    <m/>
    <x v="0"/>
    <x v="0"/>
    <x v="0"/>
    <x v="0"/>
    <m/>
    <m/>
    <m/>
    <n v="0"/>
    <m/>
    <n v="1"/>
    <m/>
    <s v="CP"/>
    <m/>
    <m/>
    <s v="CP "/>
    <x v="2"/>
    <x v="1"/>
    <m/>
    <x v="8"/>
  </r>
  <r>
    <n v="923"/>
    <x v="243"/>
    <x v="243"/>
    <x v="228"/>
    <x v="1"/>
    <x v="1"/>
    <n v="901"/>
    <x v="5"/>
    <m/>
    <m/>
    <s v="Supplier"/>
    <m/>
    <x v="842"/>
    <s v="V_motor_Quality Policy_20121116.pdf"/>
    <s v=".pdf"/>
    <d v="2014-03-24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0"/>
    <m/>
    <m/>
    <m/>
    <s v="CP"/>
    <m/>
    <m/>
    <s v="CP "/>
    <x v="0"/>
    <x v="1"/>
    <m/>
    <x v="6"/>
  </r>
  <r>
    <n v="925"/>
    <x v="243"/>
    <x v="243"/>
    <x v="228"/>
    <x v="1"/>
    <x v="1"/>
    <n v="903"/>
    <x v="7"/>
    <m/>
    <m/>
    <s v="Supplier"/>
    <m/>
    <x v="208"/>
    <s v="V_Motor_Env_Declaration_07Jun2010.pdf"/>
    <s v=".pdf"/>
    <d v="2014-03-24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6"/>
  </r>
  <r>
    <n v="924"/>
    <x v="243"/>
    <x v="243"/>
    <x v="228"/>
    <x v="1"/>
    <x v="1"/>
    <n v="902"/>
    <x v="8"/>
    <m/>
    <m/>
    <s v="Supplier"/>
    <m/>
    <x v="649"/>
    <s v="V_motor_Responsible Purchasing Charter_06sept2012.PDF"/>
    <s v=".pdf"/>
    <d v="2014-03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6"/>
  </r>
  <r>
    <n v="926"/>
    <x v="243"/>
    <x v="243"/>
    <x v="228"/>
    <x v="1"/>
    <x v="1"/>
    <n v="904"/>
    <x v="1"/>
    <m/>
    <m/>
    <s v="Supplier"/>
    <m/>
    <x v="10"/>
    <s v="V Motor_SEF_2012.xlsx"/>
    <s v=".xlsx"/>
    <d v="2014-03-24T00:00:00"/>
    <s v="as\afok"/>
    <m/>
    <s v="2012"/>
    <m/>
    <m/>
    <m/>
    <m/>
    <m/>
    <x v="0"/>
    <x v="0"/>
    <x v="0"/>
    <x v="13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s v="CP"/>
    <m/>
    <m/>
    <s v="CP "/>
    <x v="0"/>
    <x v="1"/>
    <m/>
    <x v="6"/>
  </r>
  <r>
    <n v="920"/>
    <x v="243"/>
    <x v="243"/>
    <x v="228"/>
    <x v="1"/>
    <x v="1"/>
    <n v="898"/>
    <x v="1"/>
    <m/>
    <m/>
    <s v="Supplier"/>
    <m/>
    <x v="379"/>
    <s v="VM SEF 2013-Manufacturer-20130601-89.xlsx"/>
    <s v=".xlsx"/>
    <d v="2014-03-21T00:00:00"/>
    <s v="as\afok"/>
    <m/>
    <s v="2013"/>
    <m/>
    <m/>
    <m/>
    <m/>
    <m/>
    <x v="0"/>
    <x v="0"/>
    <x v="0"/>
    <x v="39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6"/>
  </r>
  <r>
    <n v="922"/>
    <x v="243"/>
    <x v="243"/>
    <x v="228"/>
    <x v="1"/>
    <x v="1"/>
    <n v="900"/>
    <x v="2"/>
    <n v="1"/>
    <m/>
    <s v="Supplier"/>
    <m/>
    <x v="666"/>
    <s v="V motor_SIF 2013.xls"/>
    <s v=".xls"/>
    <d v="2014-03-24T00:00:00"/>
    <s v="as\afok"/>
    <m/>
    <s v="2013"/>
    <m/>
    <m/>
    <m/>
    <m/>
    <m/>
    <x v="0"/>
    <x v="0"/>
    <x v="0"/>
    <x v="0"/>
    <x v="2"/>
    <x v="78"/>
    <x v="189"/>
    <x v="189"/>
    <x v="170"/>
    <x v="167"/>
    <x v="8"/>
    <x v="56"/>
    <x v="51"/>
    <x v="29"/>
    <x v="48"/>
    <m/>
    <x v="0"/>
    <x v="0"/>
    <x v="0"/>
    <x v="0"/>
    <m/>
    <m/>
    <m/>
    <n v="0"/>
    <m/>
    <m/>
    <m/>
    <s v="CP"/>
    <m/>
    <m/>
    <s v="CP "/>
    <x v="2"/>
    <x v="1"/>
    <m/>
    <x v="6"/>
  </r>
  <r>
    <n v="921"/>
    <x v="243"/>
    <x v="243"/>
    <x v="228"/>
    <x v="1"/>
    <x v="1"/>
    <n v="899"/>
    <x v="17"/>
    <m/>
    <m/>
    <s v="Supplier"/>
    <m/>
    <x v="302"/>
    <s v="V_Motor_Social Audit_warning letter_Jul2013.pdf"/>
    <s v=".pdf"/>
    <d v="2014-03-24T00:00:00"/>
    <s v="as\afok"/>
    <s v="Social Audit_warning letter"/>
    <m/>
    <m/>
    <m/>
    <m/>
    <m/>
    <m/>
    <x v="1"/>
    <x v="1"/>
    <x v="2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6"/>
  </r>
  <r>
    <n v="2119"/>
    <x v="244"/>
    <x v="244"/>
    <x v="229"/>
    <x v="4"/>
    <x v="14"/>
    <n v="2062"/>
    <x v="4"/>
    <m/>
    <m/>
    <s v="Supplier"/>
    <m/>
    <x v="843"/>
    <s v="Vigor_Purchasing_Agreement_11Jun2010.pdf"/>
    <s v=".pdf"/>
    <d v="2014-04-14T00:00:00"/>
    <s v="as\afok"/>
    <m/>
    <s v="V5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n v="1"/>
    <m/>
    <m/>
    <n v="1"/>
    <m/>
    <m/>
    <m/>
    <s v="CP"/>
    <m/>
    <m/>
    <s v="CP "/>
    <x v="0"/>
    <x v="1"/>
    <m/>
    <x v="58"/>
  </r>
  <r>
    <n v="2114"/>
    <x v="244"/>
    <x v="244"/>
    <x v="229"/>
    <x v="4"/>
    <x v="14"/>
    <n v="2057"/>
    <x v="4"/>
    <m/>
    <m/>
    <s v="Supplier"/>
    <m/>
    <x v="844"/>
    <s v="Vigor_SupplyAgreement_Dec2013.pdf"/>
    <s v=".pdf"/>
    <d v="2014-04-14T00:00:00"/>
    <s v="as\afok"/>
    <m/>
    <s v="V8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n v="1"/>
    <m/>
    <m/>
    <n v="1"/>
    <m/>
    <m/>
    <m/>
    <s v="CP"/>
    <m/>
    <m/>
    <s v="CP "/>
    <x v="0"/>
    <x v="1"/>
    <m/>
    <x v="58"/>
  </r>
  <r>
    <n v="2120"/>
    <x v="244"/>
    <x v="244"/>
    <x v="229"/>
    <x v="4"/>
    <x v="14"/>
    <n v="2063"/>
    <x v="5"/>
    <m/>
    <m/>
    <s v="Supplier"/>
    <m/>
    <x v="845"/>
    <s v="Vigor_Purchasing_Agreement_11Jun2010.pdf"/>
    <s v=".pdf"/>
    <d v="2014-04-14T00:00:00"/>
    <s v="as\afok"/>
    <m/>
    <s v="FHA 00 014 ind.07"/>
    <m/>
    <m/>
    <m/>
    <n v="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n v="1"/>
    <m/>
    <n v="1"/>
    <m/>
    <m/>
    <m/>
    <s v="CP"/>
    <m/>
    <m/>
    <s v="CP "/>
    <x v="0"/>
    <x v="1"/>
    <m/>
    <x v="58"/>
  </r>
  <r>
    <n v="2115"/>
    <x v="244"/>
    <x v="244"/>
    <x v="229"/>
    <x v="4"/>
    <x v="14"/>
    <n v="2058"/>
    <x v="6"/>
    <m/>
    <m/>
    <s v="Supplier"/>
    <m/>
    <x v="503"/>
    <s v="supply_chain_appendix_REVISED_Vigor_21Aug2012.pdf"/>
    <s v=".pdf"/>
    <d v="2014-04-14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m/>
    <n v="1"/>
    <n v="1"/>
    <m/>
    <m/>
    <m/>
    <s v="CP"/>
    <m/>
    <m/>
    <s v="CP "/>
    <x v="0"/>
    <x v="1"/>
    <m/>
    <x v="58"/>
  </r>
  <r>
    <n v="2118"/>
    <x v="244"/>
    <x v="244"/>
    <x v="229"/>
    <x v="4"/>
    <x v="14"/>
    <n v="2061"/>
    <x v="7"/>
    <m/>
    <m/>
    <s v="Supplier"/>
    <m/>
    <x v="86"/>
    <s v="Vigor_Env_declaration_23Mar2010.pdf"/>
    <s v=".pdf"/>
    <d v="2014-04-14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m/>
    <m/>
    <n v="1"/>
    <m/>
    <m/>
    <m/>
    <s v="CP"/>
    <m/>
    <m/>
    <s v="CP "/>
    <x v="0"/>
    <x v="1"/>
    <m/>
    <x v="58"/>
  </r>
  <r>
    <n v="2121"/>
    <x v="244"/>
    <x v="244"/>
    <x v="229"/>
    <x v="4"/>
    <x v="14"/>
    <n v="2064"/>
    <x v="9"/>
    <m/>
    <m/>
    <s v="Product / Project"/>
    <m/>
    <x v="199"/>
    <s v="LOC_Vigor(Nara_Project).pdf"/>
    <s v=".pdf"/>
    <d v="2014-04-14T00:00:00"/>
    <s v="as\afok"/>
    <m/>
    <m/>
    <m/>
    <m/>
    <m/>
    <m/>
    <s v="Nara"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m/>
    <m/>
    <n v="1"/>
    <m/>
    <m/>
    <m/>
    <s v="CP"/>
    <m/>
    <m/>
    <s v="CP "/>
    <x v="0"/>
    <x v="1"/>
    <m/>
    <x v="58"/>
  </r>
  <r>
    <n v="2123"/>
    <x v="244"/>
    <x v="244"/>
    <x v="229"/>
    <x v="4"/>
    <x v="14"/>
    <n v="2066"/>
    <x v="9"/>
    <m/>
    <m/>
    <s v="Product / Project"/>
    <m/>
    <x v="846"/>
    <s v="LOC_Vigor_(Tokyo,Motor+Gear_Project).pdf"/>
    <s v=".pdf"/>
    <d v="2014-04-14T00:00:00"/>
    <s v="as\afok"/>
    <m/>
    <m/>
    <m/>
    <m/>
    <m/>
    <m/>
    <s v="Tokyo,Motor+Gear"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m/>
    <m/>
    <n v="1"/>
    <m/>
    <m/>
    <m/>
    <s v="CP"/>
    <m/>
    <m/>
    <s v="CP "/>
    <x v="0"/>
    <x v="1"/>
    <m/>
    <x v="58"/>
  </r>
  <r>
    <n v="2122"/>
    <x v="244"/>
    <x v="244"/>
    <x v="229"/>
    <x v="4"/>
    <x v="14"/>
    <n v="2065"/>
    <x v="9"/>
    <m/>
    <m/>
    <s v="Product / Project"/>
    <m/>
    <x v="32"/>
    <s v="LOC_Vigor_Rome_Project.pdf"/>
    <s v=".pdf"/>
    <d v="2014-04-14T00:00:00"/>
    <s v="as\afok"/>
    <m/>
    <m/>
    <m/>
    <m/>
    <m/>
    <m/>
    <s v="Rome"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m/>
    <m/>
    <n v="1"/>
    <m/>
    <m/>
    <m/>
    <s v="CP"/>
    <m/>
    <m/>
    <s v="CP "/>
    <x v="0"/>
    <x v="1"/>
    <m/>
    <x v="58"/>
  </r>
  <r>
    <n v="2117"/>
    <x v="244"/>
    <x v="244"/>
    <x v="229"/>
    <x v="4"/>
    <x v="14"/>
    <n v="2060"/>
    <x v="8"/>
    <m/>
    <m/>
    <s v="Supplier"/>
    <m/>
    <x v="8"/>
    <s v="Vigor_Responsible_Purchasing_Charter_08Aug12.pdf"/>
    <s v=".pdf"/>
    <d v="2014-04-1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m/>
    <m/>
    <n v="1"/>
    <m/>
    <m/>
    <m/>
    <s v="CP"/>
    <m/>
    <m/>
    <s v="CP "/>
    <x v="0"/>
    <x v="1"/>
    <m/>
    <x v="58"/>
  </r>
  <r>
    <n v="2124"/>
    <x v="244"/>
    <x v="244"/>
    <x v="229"/>
    <x v="4"/>
    <x v="14"/>
    <n v="2067"/>
    <x v="1"/>
    <m/>
    <m/>
    <s v="Supplier"/>
    <m/>
    <x v="265"/>
    <s v="Vigor_SEF_Dec2011_R2.xlsx"/>
    <s v=".xlsx"/>
    <d v="2014-04-14T00:00:00"/>
    <s v="as\afok"/>
    <m/>
    <s v="2011"/>
    <m/>
    <m/>
    <m/>
    <m/>
    <m/>
    <x v="0"/>
    <x v="0"/>
    <x v="0"/>
    <x v="23"/>
    <x v="0"/>
    <x v="0"/>
    <x v="0"/>
    <x v="0"/>
    <x v="0"/>
    <x v="0"/>
    <x v="0"/>
    <x v="0"/>
    <x v="0"/>
    <x v="0"/>
    <x v="0"/>
    <s v="CP Panel"/>
    <x v="0"/>
    <x v="0"/>
    <x v="1"/>
    <x v="7"/>
    <m/>
    <m/>
    <m/>
    <n v="1"/>
    <m/>
    <m/>
    <m/>
    <s v="CP"/>
    <m/>
    <m/>
    <s v="CP "/>
    <x v="0"/>
    <x v="1"/>
    <m/>
    <x v="58"/>
  </r>
  <r>
    <n v="2116"/>
    <x v="244"/>
    <x v="244"/>
    <x v="229"/>
    <x v="4"/>
    <x v="14"/>
    <n v="2059"/>
    <x v="2"/>
    <m/>
    <m/>
    <s v="Supplier"/>
    <m/>
    <x v="465"/>
    <s v="Vigor_SIF2013.xls"/>
    <s v=".xls"/>
    <d v="2014-04-14T00:00:00"/>
    <s v="as\afok"/>
    <m/>
    <s v="2013"/>
    <m/>
    <m/>
    <m/>
    <m/>
    <m/>
    <x v="0"/>
    <x v="0"/>
    <x v="0"/>
    <x v="0"/>
    <x v="2"/>
    <x v="63"/>
    <x v="124"/>
    <x v="85"/>
    <x v="124"/>
    <x v="94"/>
    <x v="15"/>
    <x v="24"/>
    <x v="22"/>
    <x v="6"/>
    <x v="82"/>
    <s v="CP Panel"/>
    <x v="0"/>
    <x v="0"/>
    <x v="1"/>
    <x v="7"/>
    <m/>
    <m/>
    <m/>
    <n v="1"/>
    <m/>
    <m/>
    <m/>
    <s v="CP"/>
    <m/>
    <m/>
    <s v="CP "/>
    <x v="2"/>
    <x v="1"/>
    <m/>
    <x v="58"/>
  </r>
  <r>
    <n v="2125"/>
    <x v="244"/>
    <x v="244"/>
    <x v="229"/>
    <x v="4"/>
    <x v="14"/>
    <n v="2068"/>
    <x v="3"/>
    <m/>
    <m/>
    <s v="Supplier"/>
    <m/>
    <x v="90"/>
    <s v="SPR_Vigor_Jun2011_R1.pptx"/>
    <s v=".pptx"/>
    <d v="2014-04-14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7"/>
    <m/>
    <m/>
    <m/>
    <n v="1"/>
    <n v="1"/>
    <m/>
    <m/>
    <s v="CP"/>
    <m/>
    <m/>
    <s v="CP "/>
    <x v="0"/>
    <x v="1"/>
    <m/>
    <x v="58"/>
  </r>
  <r>
    <n v="2692"/>
    <x v="245"/>
    <x v="245"/>
    <x v="230"/>
    <x v="0"/>
    <x v="0"/>
    <n v="2535"/>
    <x v="2"/>
    <n v="1"/>
    <m/>
    <s v="Supplier"/>
    <m/>
    <x v="505"/>
    <s v="Volume_Tableware_SIF 2013.xls"/>
    <s v=".xls"/>
    <d v="2014-04-24T00:00:00"/>
    <s v="as\afok"/>
    <m/>
    <s v="2013"/>
    <m/>
    <m/>
    <m/>
    <m/>
    <m/>
    <x v="0"/>
    <x v="0"/>
    <x v="0"/>
    <x v="0"/>
    <x v="2"/>
    <x v="154"/>
    <x v="203"/>
    <x v="190"/>
    <x v="62"/>
    <x v="168"/>
    <x v="22"/>
    <x v="71"/>
    <x v="86"/>
    <x v="15"/>
    <x v="83"/>
    <m/>
    <x v="0"/>
    <x v="0"/>
    <x v="0"/>
    <x v="0"/>
    <m/>
    <m/>
    <m/>
    <n v="0"/>
    <m/>
    <m/>
    <s v="FP"/>
    <m/>
    <m/>
    <m/>
    <s v="FP "/>
    <x v="1"/>
    <x v="1"/>
    <m/>
    <x v="0"/>
  </r>
  <r>
    <n v="2693"/>
    <x v="245"/>
    <x v="245"/>
    <x v="230"/>
    <x v="0"/>
    <x v="0"/>
    <n v="2536"/>
    <x v="2"/>
    <m/>
    <m/>
    <s v="Supplier"/>
    <m/>
    <x v="559"/>
    <s v="Volume_Tableware_SIF2012_29Feb12.xls"/>
    <s v=".xls"/>
    <d v="2014-04-24T00:00:00"/>
    <s v="as\afok"/>
    <m/>
    <s v="2012"/>
    <m/>
    <m/>
    <m/>
    <m/>
    <m/>
    <x v="0"/>
    <x v="0"/>
    <x v="0"/>
    <x v="0"/>
    <x v="1"/>
    <x v="153"/>
    <x v="204"/>
    <x v="191"/>
    <x v="171"/>
    <x v="169"/>
    <x v="52"/>
    <x v="94"/>
    <x v="17"/>
    <x v="90"/>
    <x v="61"/>
    <m/>
    <x v="0"/>
    <x v="0"/>
    <x v="0"/>
    <x v="0"/>
    <m/>
    <m/>
    <m/>
    <n v="0"/>
    <m/>
    <n v="1"/>
    <s v="FP"/>
    <m/>
    <m/>
    <m/>
    <s v="FP "/>
    <x v="1"/>
    <x v="1"/>
    <m/>
    <x v="0"/>
  </r>
  <r>
    <n v="2849"/>
    <x v="246"/>
    <x v="246"/>
    <x v="231"/>
    <x v="1"/>
    <x v="13"/>
    <n v="5"/>
    <x v="4"/>
    <m/>
    <m/>
    <s v="Supplier"/>
    <d v="2015-12-31T00:00:00"/>
    <x v="261"/>
    <s v="VS_General Agreement(FP-KI)_V7.pdf"/>
    <s v=".pdf"/>
    <d v="2014-03-03T00:00:00"/>
    <s v="as\afok"/>
    <s v="FP"/>
    <s v="FHA00016 ind.11 "/>
    <s v="37D6 - Within 60 days Due net on posting date 37D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n v="1"/>
    <m/>
    <m/>
    <n v="0"/>
    <m/>
    <m/>
    <s v="FP"/>
    <s v="CP"/>
    <s v="SP"/>
    <s v="MOULD"/>
    <s v="FP CP SP MOULD Both"/>
    <x v="0"/>
    <x v="1"/>
    <m/>
    <x v="59"/>
  </r>
  <r>
    <n v="2857"/>
    <x v="246"/>
    <x v="246"/>
    <x v="231"/>
    <x v="1"/>
    <x v="13"/>
    <n v="4"/>
    <x v="4"/>
    <m/>
    <m/>
    <s v="Supplier"/>
    <d v="2015-12-31T00:00:00"/>
    <x v="261"/>
    <s v="VS_General Agreement(FP)_V7.pdf"/>
    <s v=".pdf"/>
    <d v="2014-03-03T00:00:00"/>
    <s v="as\afok"/>
    <s v="CP"/>
    <s v="FHA00016 ind.11 "/>
    <s v="37D6 - Within 60 days Due net on posting date 37D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n v="1"/>
    <m/>
    <m/>
    <n v="0"/>
    <m/>
    <m/>
    <s v="FP"/>
    <s v="CP"/>
    <s v="SP"/>
    <s v="MOULD"/>
    <s v="FP CP SP MOULD Both"/>
    <x v="0"/>
    <x v="1"/>
    <m/>
    <x v="59"/>
  </r>
  <r>
    <n v="2862"/>
    <x v="247"/>
    <x v="247"/>
    <x v="231"/>
    <x v="1"/>
    <x v="13"/>
    <n v="3"/>
    <x v="4"/>
    <m/>
    <m/>
    <s v="Supplier"/>
    <d v="2015-12-31T00:00:00"/>
    <x v="847"/>
    <s v="VS_General Agreement(CP)_V7.pdf"/>
    <s v=".pdf"/>
    <d v="2014-03-03T00:00:00"/>
    <s v="as\afok"/>
    <m/>
    <s v="V7"/>
    <s v="37D6 - Within 60 days Due net on posting date 37D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n v="1"/>
    <m/>
    <m/>
    <n v="0"/>
    <m/>
    <m/>
    <s v="FP"/>
    <s v="CP"/>
    <s v="SP"/>
    <m/>
    <s v="FP CP SP Both"/>
    <x v="0"/>
    <x v="1"/>
    <m/>
    <x v="60"/>
  </r>
  <r>
    <n v="2861"/>
    <x v="246"/>
    <x v="246"/>
    <x v="231"/>
    <x v="1"/>
    <x v="13"/>
    <n v="3"/>
    <x v="4"/>
    <m/>
    <m/>
    <s v="Supplier"/>
    <d v="2015-12-31T00:00:00"/>
    <x v="847"/>
    <s v="VS_General Agreement(CP)_V7.pdf"/>
    <s v=".pdf"/>
    <d v="2014-03-03T00:00:00"/>
    <s v="as\afok"/>
    <m/>
    <s v="V7"/>
    <s v="37D6 - Within 60 days Due net on posting date 37D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n v="1"/>
    <m/>
    <m/>
    <n v="0"/>
    <m/>
    <m/>
    <s v="FP"/>
    <s v="CP"/>
    <s v="SP"/>
    <s v="MOULD"/>
    <s v="FP CP SP MOULD Both"/>
    <x v="0"/>
    <x v="1"/>
    <m/>
    <x v="59"/>
  </r>
  <r>
    <n v="2850"/>
    <x v="247"/>
    <x v="247"/>
    <x v="231"/>
    <x v="1"/>
    <x v="13"/>
    <n v="5"/>
    <x v="4"/>
    <m/>
    <m/>
    <s v="Supplier"/>
    <d v="2015-12-31T00:00:00"/>
    <x v="261"/>
    <s v="VS_General Agreement(FP-KI)_V7.pdf"/>
    <s v=".pdf"/>
    <d v="2014-03-03T00:00:00"/>
    <s v="as\afok"/>
    <s v="FP"/>
    <s v="FHA00016 ind.11 "/>
    <s v="37D6 - Within 60 days Due net on posting date 37D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n v="1"/>
    <m/>
    <m/>
    <n v="0"/>
    <m/>
    <m/>
    <s v="FP"/>
    <s v="CP"/>
    <s v="SP"/>
    <m/>
    <s v="FP CP SP Both"/>
    <x v="0"/>
    <x v="1"/>
    <m/>
    <x v="60"/>
  </r>
  <r>
    <n v="2858"/>
    <x v="247"/>
    <x v="247"/>
    <x v="231"/>
    <x v="1"/>
    <x v="13"/>
    <n v="4"/>
    <x v="4"/>
    <m/>
    <m/>
    <s v="Supplier"/>
    <d v="2015-12-31T00:00:00"/>
    <x v="261"/>
    <s v="VS_General Agreement(FP)_V7.pdf"/>
    <s v=".pdf"/>
    <d v="2014-03-03T00:00:00"/>
    <s v="as\afok"/>
    <s v="CP"/>
    <s v="FHA00016 ind.11 "/>
    <s v="37D6 - Within 60 days Due net on posting date 37D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n v="1"/>
    <m/>
    <m/>
    <n v="0"/>
    <m/>
    <m/>
    <s v="FP"/>
    <s v="CP"/>
    <s v="SP"/>
    <m/>
    <s v="FP CP SP Both"/>
    <x v="0"/>
    <x v="1"/>
    <m/>
    <x v="60"/>
  </r>
  <r>
    <n v="2845"/>
    <x v="246"/>
    <x v="246"/>
    <x v="231"/>
    <x v="1"/>
    <x v="13"/>
    <n v="563"/>
    <x v="10"/>
    <m/>
    <m/>
    <s v="Supplier"/>
    <m/>
    <x v="261"/>
    <s v="VS_General Agreement(CP)_V7.pdf"/>
    <s v=".pdf"/>
    <d v="2014-03-1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s v="FP"/>
    <s v="CP"/>
    <s v="SP"/>
    <s v="MOULD"/>
    <s v="FP CP SP MOULD Both"/>
    <x v="0"/>
    <x v="1"/>
    <m/>
    <x v="59"/>
  </r>
  <r>
    <n v="2846"/>
    <x v="247"/>
    <x v="247"/>
    <x v="231"/>
    <x v="1"/>
    <x v="13"/>
    <n v="563"/>
    <x v="10"/>
    <m/>
    <m/>
    <s v="Supplier"/>
    <m/>
    <x v="261"/>
    <s v="VS_General Agreement(CP)_V7.pdf"/>
    <s v=".pdf"/>
    <d v="2014-03-1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s v="FP"/>
    <s v="CP"/>
    <s v="SP"/>
    <m/>
    <s v="FP CP SP Both"/>
    <x v="0"/>
    <x v="1"/>
    <m/>
    <x v="60"/>
  </r>
  <r>
    <n v="2860"/>
    <x v="247"/>
    <x v="247"/>
    <x v="231"/>
    <x v="1"/>
    <x v="13"/>
    <n v="650"/>
    <x v="9"/>
    <m/>
    <m/>
    <s v="Product / Project"/>
    <m/>
    <x v="574"/>
    <s v="VS_Front panel subset_LOC.pdf"/>
    <s v=".pdf"/>
    <d v="2014-03-19T00:00:00"/>
    <s v="as\afok"/>
    <m/>
    <m/>
    <m/>
    <m/>
    <m/>
    <m/>
    <s v="Front panel subset"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s v="FP"/>
    <s v="CP"/>
    <s v="SP"/>
    <m/>
    <s v="FP CP SP Both"/>
    <x v="0"/>
    <x v="1"/>
    <m/>
    <x v="60"/>
  </r>
  <r>
    <n v="2859"/>
    <x v="246"/>
    <x v="246"/>
    <x v="231"/>
    <x v="1"/>
    <x v="13"/>
    <n v="650"/>
    <x v="9"/>
    <m/>
    <m/>
    <s v="Product / Project"/>
    <m/>
    <x v="574"/>
    <s v="VS_Front panel subset_LOC.pdf"/>
    <s v=".pdf"/>
    <d v="2014-03-19T00:00:00"/>
    <s v="as\afok"/>
    <m/>
    <m/>
    <m/>
    <m/>
    <m/>
    <m/>
    <s v="Front panel subset"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s v="FP"/>
    <s v="CP"/>
    <s v="SP"/>
    <s v="MOULD"/>
    <s v="FP CP SP MOULD Both"/>
    <x v="0"/>
    <x v="1"/>
    <m/>
    <x v="59"/>
  </r>
  <r>
    <n v="2864"/>
    <x v="247"/>
    <x v="247"/>
    <x v="231"/>
    <x v="1"/>
    <x v="13"/>
    <n v="649"/>
    <x v="16"/>
    <m/>
    <m/>
    <s v="Supplier"/>
    <m/>
    <x v="848"/>
    <s v="VS_Conformity declaration_23jul2013.pdf"/>
    <s v=".pdf"/>
    <d v="2014-03-19T00:00:00"/>
    <s v="as\afok"/>
    <s v="Conformity declaration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n v="1"/>
    <s v="FP"/>
    <s v="CP"/>
    <s v="SP"/>
    <m/>
    <s v="FP CP SP Both"/>
    <x v="0"/>
    <x v="1"/>
    <m/>
    <x v="60"/>
  </r>
  <r>
    <n v="2863"/>
    <x v="246"/>
    <x v="246"/>
    <x v="231"/>
    <x v="1"/>
    <x v="13"/>
    <n v="649"/>
    <x v="16"/>
    <m/>
    <m/>
    <s v="Supplier"/>
    <m/>
    <x v="848"/>
    <s v="VS_Conformity declaration_23jul2013.pdf"/>
    <s v=".pdf"/>
    <d v="2014-03-19T00:00:00"/>
    <s v="as\afok"/>
    <s v="Conformity declaration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s v="FP"/>
    <s v="CP"/>
    <s v="SP"/>
    <s v="MOULD"/>
    <s v="FP CP SP MOULD Both"/>
    <x v="0"/>
    <x v="1"/>
    <m/>
    <x v="59"/>
  </r>
  <r>
    <n v="2854"/>
    <x v="247"/>
    <x v="247"/>
    <x v="231"/>
    <x v="1"/>
    <x v="13"/>
    <n v="646"/>
    <x v="8"/>
    <m/>
    <m/>
    <s v="Supplier"/>
    <m/>
    <x v="77"/>
    <s v="VS_Responsible_Purchasing_Charter_03Aug12.pdf"/>
    <s v=".pdf"/>
    <d v="2014-03-1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s v="FP"/>
    <s v="CP"/>
    <s v="SP"/>
    <m/>
    <s v="FP CP SP Both"/>
    <x v="0"/>
    <x v="1"/>
    <m/>
    <x v="60"/>
  </r>
  <r>
    <n v="2853"/>
    <x v="246"/>
    <x v="246"/>
    <x v="231"/>
    <x v="1"/>
    <x v="13"/>
    <n v="646"/>
    <x v="8"/>
    <m/>
    <m/>
    <s v="Supplier"/>
    <m/>
    <x v="77"/>
    <s v="VS_Responsible_Purchasing_Charter_03Aug12.pdf"/>
    <s v=".pdf"/>
    <d v="2014-03-1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s v="FP"/>
    <s v="CP"/>
    <s v="SP"/>
    <s v="MOULD"/>
    <s v="FP CP SP MOULD Both"/>
    <x v="0"/>
    <x v="1"/>
    <m/>
    <x v="59"/>
  </r>
  <r>
    <n v="2847"/>
    <x v="246"/>
    <x v="246"/>
    <x v="231"/>
    <x v="1"/>
    <x v="13"/>
    <n v="644"/>
    <x v="1"/>
    <m/>
    <m/>
    <s v="Supplier"/>
    <m/>
    <x v="130"/>
    <s v="VS_SEF 2012 Nov.xlsx"/>
    <s v=".xlsx"/>
    <d v="2014-03-19T00:00:00"/>
    <s v="as\afok"/>
    <m/>
    <s v="2012"/>
    <m/>
    <m/>
    <m/>
    <m/>
    <m/>
    <x v="0"/>
    <x v="0"/>
    <x v="0"/>
    <x v="5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s v="FP"/>
    <s v="CP"/>
    <s v="SP"/>
    <s v="MOULD"/>
    <s v="FP CP SP MOULD Both"/>
    <x v="0"/>
    <x v="1"/>
    <m/>
    <x v="59"/>
  </r>
  <r>
    <n v="2855"/>
    <x v="246"/>
    <x v="246"/>
    <x v="231"/>
    <x v="1"/>
    <x v="13"/>
    <n v="648"/>
    <x v="1"/>
    <m/>
    <m/>
    <s v="Supplier"/>
    <m/>
    <x v="138"/>
    <s v="VSA_SEF_May2013.xlsx"/>
    <s v=".xlsx"/>
    <d v="2014-03-19T00:00:00"/>
    <s v="as\afok"/>
    <m/>
    <s v="2013"/>
    <m/>
    <m/>
    <m/>
    <m/>
    <m/>
    <x v="0"/>
    <x v="0"/>
    <x v="0"/>
    <x v="19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s v="FP"/>
    <s v="CP"/>
    <s v="SP"/>
    <s v="MOULD"/>
    <s v="FP CP SP MOULD Both"/>
    <x v="0"/>
    <x v="1"/>
    <m/>
    <x v="59"/>
  </r>
  <r>
    <n v="2856"/>
    <x v="247"/>
    <x v="247"/>
    <x v="231"/>
    <x v="1"/>
    <x v="13"/>
    <n v="648"/>
    <x v="1"/>
    <m/>
    <m/>
    <s v="Supplier"/>
    <m/>
    <x v="138"/>
    <s v="VSA_SEF_May2013.xlsx"/>
    <s v=".xlsx"/>
    <d v="2014-03-19T00:00:00"/>
    <s v="as\afok"/>
    <m/>
    <s v="2013"/>
    <m/>
    <m/>
    <m/>
    <m/>
    <m/>
    <x v="0"/>
    <x v="0"/>
    <x v="0"/>
    <x v="19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s v="FP"/>
    <s v="CP"/>
    <s v="SP"/>
    <m/>
    <s v="FP CP SP Both"/>
    <x v="0"/>
    <x v="1"/>
    <m/>
    <x v="60"/>
  </r>
  <r>
    <n v="2848"/>
    <x v="247"/>
    <x v="247"/>
    <x v="231"/>
    <x v="1"/>
    <x v="13"/>
    <n v="644"/>
    <x v="1"/>
    <m/>
    <m/>
    <s v="Supplier"/>
    <m/>
    <x v="130"/>
    <s v="VS_SEF 2012 Nov.xlsx"/>
    <s v=".xlsx"/>
    <d v="2014-03-19T00:00:00"/>
    <s v="as\afok"/>
    <m/>
    <s v="2012"/>
    <m/>
    <m/>
    <m/>
    <m/>
    <m/>
    <x v="0"/>
    <x v="0"/>
    <x v="0"/>
    <x v="5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s v="FP"/>
    <s v="CP"/>
    <s v="SP"/>
    <m/>
    <s v="FP CP SP Both"/>
    <x v="0"/>
    <x v="1"/>
    <m/>
    <x v="60"/>
  </r>
  <r>
    <n v="2843"/>
    <x v="246"/>
    <x v="246"/>
    <x v="231"/>
    <x v="1"/>
    <x v="13"/>
    <n v="647"/>
    <x v="2"/>
    <m/>
    <m/>
    <s v="Supplier"/>
    <m/>
    <x v="666"/>
    <s v="VSA_SIF 2013.xls"/>
    <s v=".xls"/>
    <d v="2014-03-19T00:00:00"/>
    <s v="as\afok"/>
    <m/>
    <s v="2013"/>
    <m/>
    <m/>
    <m/>
    <m/>
    <m/>
    <x v="0"/>
    <x v="0"/>
    <x v="0"/>
    <x v="0"/>
    <x v="2"/>
    <x v="128"/>
    <x v="205"/>
    <x v="192"/>
    <x v="172"/>
    <x v="170"/>
    <x v="4"/>
    <x v="6"/>
    <x v="49"/>
    <x v="26"/>
    <x v="8"/>
    <s v="CP Panel"/>
    <x v="0"/>
    <x v="0"/>
    <x v="1"/>
    <x v="1"/>
    <m/>
    <m/>
    <m/>
    <n v="0"/>
    <m/>
    <m/>
    <s v="FP"/>
    <s v="CP"/>
    <s v="SP"/>
    <s v="MOULD"/>
    <s v="FP CP SP MOULD Both"/>
    <x v="1"/>
    <x v="1"/>
    <m/>
    <x v="59"/>
  </r>
  <r>
    <n v="2851"/>
    <x v="246"/>
    <x v="246"/>
    <x v="231"/>
    <x v="1"/>
    <x v="13"/>
    <n v="643"/>
    <x v="2"/>
    <m/>
    <m/>
    <s v="Supplier"/>
    <m/>
    <x v="165"/>
    <s v="VS_SIF2012_2Mar12.xls"/>
    <s v=".xls"/>
    <d v="2014-03-19T00:00:00"/>
    <s v="as\afok"/>
    <m/>
    <s v="2012"/>
    <m/>
    <m/>
    <m/>
    <m/>
    <m/>
    <x v="0"/>
    <x v="0"/>
    <x v="0"/>
    <x v="0"/>
    <x v="1"/>
    <x v="0"/>
    <x v="0"/>
    <x v="193"/>
    <x v="173"/>
    <x v="171"/>
    <x v="0"/>
    <x v="0"/>
    <x v="0"/>
    <x v="0"/>
    <x v="0"/>
    <s v="CP Panel"/>
    <x v="0"/>
    <x v="0"/>
    <x v="1"/>
    <x v="1"/>
    <m/>
    <m/>
    <m/>
    <n v="0"/>
    <m/>
    <m/>
    <s v="FP"/>
    <s v="CP"/>
    <s v="SP"/>
    <s v="MOULD"/>
    <s v="FP CP SP MOULD Both"/>
    <x v="1"/>
    <x v="1"/>
    <m/>
    <x v="59"/>
  </r>
  <r>
    <n v="2844"/>
    <x v="247"/>
    <x v="247"/>
    <x v="231"/>
    <x v="1"/>
    <x v="13"/>
    <n v="647"/>
    <x v="2"/>
    <n v="1"/>
    <m/>
    <s v="Supplier"/>
    <m/>
    <x v="666"/>
    <s v="VSA_SIF 2013.xls"/>
    <s v=".xls"/>
    <d v="2014-03-19T00:00:00"/>
    <s v="as\afok"/>
    <m/>
    <s v="2013"/>
    <m/>
    <m/>
    <m/>
    <m/>
    <m/>
    <x v="0"/>
    <x v="0"/>
    <x v="0"/>
    <x v="0"/>
    <x v="2"/>
    <x v="128"/>
    <x v="205"/>
    <x v="192"/>
    <x v="172"/>
    <x v="170"/>
    <x v="4"/>
    <x v="6"/>
    <x v="49"/>
    <x v="26"/>
    <x v="8"/>
    <s v="CP Panel"/>
    <x v="0"/>
    <x v="0"/>
    <x v="1"/>
    <x v="1"/>
    <m/>
    <m/>
    <m/>
    <n v="0"/>
    <m/>
    <m/>
    <s v="FP"/>
    <s v="CP"/>
    <s v="SP"/>
    <m/>
    <s v="FP CP SP Both"/>
    <x v="1"/>
    <x v="1"/>
    <m/>
    <x v="60"/>
  </r>
  <r>
    <n v="2852"/>
    <x v="247"/>
    <x v="247"/>
    <x v="231"/>
    <x v="1"/>
    <x v="13"/>
    <n v="643"/>
    <x v="2"/>
    <m/>
    <m/>
    <s v="Supplier"/>
    <m/>
    <x v="165"/>
    <s v="VS_SIF2012_2Mar12.xls"/>
    <s v=".xls"/>
    <d v="2014-03-19T00:00:00"/>
    <s v="as\afok"/>
    <m/>
    <s v="2012"/>
    <m/>
    <m/>
    <m/>
    <m/>
    <m/>
    <x v="0"/>
    <x v="0"/>
    <x v="0"/>
    <x v="0"/>
    <x v="1"/>
    <x v="0"/>
    <x v="0"/>
    <x v="193"/>
    <x v="173"/>
    <x v="171"/>
    <x v="0"/>
    <x v="0"/>
    <x v="0"/>
    <x v="0"/>
    <x v="0"/>
    <s v="CP Panel"/>
    <x v="0"/>
    <x v="0"/>
    <x v="1"/>
    <x v="1"/>
    <m/>
    <m/>
    <m/>
    <n v="0"/>
    <m/>
    <m/>
    <s v="FP"/>
    <s v="CP"/>
    <s v="SP"/>
    <m/>
    <s v="FP CP SP Both"/>
    <x v="1"/>
    <x v="1"/>
    <m/>
    <x v="60"/>
  </r>
  <r>
    <n v="662"/>
    <x v="246"/>
    <x v="246"/>
    <x v="231"/>
    <x v="1"/>
    <x v="13"/>
    <n v="645"/>
    <x v="3"/>
    <m/>
    <m/>
    <s v="Supplier"/>
    <m/>
    <x v="75"/>
    <s v="VS_SPR_Oct2012.pptx"/>
    <s v=".pptx"/>
    <d v="2014-03-19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s v="FP"/>
    <s v="CP"/>
    <s v="SP"/>
    <s v="MOULD"/>
    <s v="FP CP SP MOULD Both"/>
    <x v="0"/>
    <x v="1"/>
    <m/>
    <x v="59"/>
  </r>
  <r>
    <n v="1923"/>
    <x v="248"/>
    <x v="248"/>
    <x v="232"/>
    <x v="4"/>
    <x v="17"/>
    <n v="1876"/>
    <x v="4"/>
    <m/>
    <m/>
    <s v="Supplier"/>
    <m/>
    <x v="153"/>
    <s v="Upwill_agreement_Revised_Sep2012.pdf"/>
    <s v=".pdf"/>
    <d v="2014-04-10T00:00:00"/>
    <s v="as\afok"/>
    <m/>
    <s v="V7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n v="1"/>
    <m/>
    <m/>
    <n v="1"/>
    <m/>
    <m/>
    <m/>
    <s v="CP"/>
    <m/>
    <m/>
    <s v="CP "/>
    <x v="0"/>
    <x v="1"/>
    <m/>
    <x v="6"/>
  </r>
  <r>
    <n v="1918"/>
    <x v="248"/>
    <x v="248"/>
    <x v="232"/>
    <x v="4"/>
    <x v="17"/>
    <n v="1871"/>
    <x v="4"/>
    <m/>
    <m/>
    <s v="Supplier"/>
    <m/>
    <x v="695"/>
    <s v="Upwill_agreement_APR2012.pdf"/>
    <s v=".pdf"/>
    <d v="2014-04-10T00:00:00"/>
    <s v="as\afok"/>
    <m/>
    <s v="V7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n v="1"/>
    <m/>
    <m/>
    <n v="1"/>
    <m/>
    <m/>
    <m/>
    <s v="CP"/>
    <m/>
    <m/>
    <s v="CP "/>
    <x v="0"/>
    <x v="1"/>
    <m/>
    <x v="6"/>
  </r>
  <r>
    <n v="1924"/>
    <x v="249"/>
    <x v="249"/>
    <x v="232"/>
    <x v="4"/>
    <x v="17"/>
    <n v="1877"/>
    <x v="4"/>
    <m/>
    <m/>
    <s v="Supplier"/>
    <m/>
    <x v="695"/>
    <s v="WaiShing_agreement_APR2012.pdf"/>
    <s v=".pdf"/>
    <d v="2014-04-10T00:00:00"/>
    <s v="as\afok"/>
    <m/>
    <s v="V7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n v="1"/>
    <m/>
    <m/>
    <n v="1"/>
    <m/>
    <m/>
    <m/>
    <s v="CP"/>
    <m/>
    <m/>
    <s v="CP "/>
    <x v="0"/>
    <x v="1"/>
    <m/>
    <x v="8"/>
  </r>
  <r>
    <n v="1931"/>
    <x v="249"/>
    <x v="249"/>
    <x v="232"/>
    <x v="4"/>
    <x v="17"/>
    <n v="1882"/>
    <x v="4"/>
    <m/>
    <m/>
    <s v="Supplier"/>
    <m/>
    <x v="153"/>
    <s v="WaiShing_agreement_Revised_Sep2012.pdf"/>
    <s v=".pdf"/>
    <d v="2014-04-10T00:00:00"/>
    <s v="as\afok"/>
    <m/>
    <s v="V7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n v="1"/>
    <m/>
    <m/>
    <n v="1"/>
    <m/>
    <m/>
    <m/>
    <s v="CP"/>
    <m/>
    <m/>
    <s v="CP "/>
    <x v="0"/>
    <x v="1"/>
    <m/>
    <x v="8"/>
  </r>
  <r>
    <n v="1926"/>
    <x v="249"/>
    <x v="249"/>
    <x v="232"/>
    <x v="4"/>
    <x v="17"/>
    <n v="1879"/>
    <x v="5"/>
    <m/>
    <m/>
    <s v="Supplier"/>
    <m/>
    <x v="529"/>
    <s v="WaiShing_agreement_APR2012.pdf"/>
    <s v=".pdf"/>
    <d v="2014-04-10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n v="1"/>
    <m/>
    <n v="1"/>
    <m/>
    <m/>
    <m/>
    <s v="CP"/>
    <m/>
    <m/>
    <s v="CP "/>
    <x v="0"/>
    <x v="1"/>
    <m/>
    <x v="8"/>
  </r>
  <r>
    <n v="1920"/>
    <x v="248"/>
    <x v="248"/>
    <x v="232"/>
    <x v="4"/>
    <x v="17"/>
    <n v="1873"/>
    <x v="5"/>
    <m/>
    <m/>
    <s v="Supplier"/>
    <m/>
    <x v="529"/>
    <s v="Upwill_agreement_APR2012.pdf"/>
    <s v=".pdf"/>
    <d v="2014-04-10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n v="1"/>
    <m/>
    <n v="1"/>
    <m/>
    <m/>
    <m/>
    <s v="CP"/>
    <m/>
    <m/>
    <s v="CP "/>
    <x v="0"/>
    <x v="1"/>
    <m/>
    <x v="6"/>
  </r>
  <r>
    <n v="1927"/>
    <x v="249"/>
    <x v="249"/>
    <x v="232"/>
    <x v="4"/>
    <x v="17"/>
    <n v="1880"/>
    <x v="6"/>
    <m/>
    <m/>
    <s v="Supplier"/>
    <m/>
    <x v="695"/>
    <s v="WaiShing_agreement_APR2012.pdf"/>
    <s v=".pdf"/>
    <d v="2014-04-10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n v="1"/>
    <n v="1"/>
    <m/>
    <m/>
    <m/>
    <s v="CP"/>
    <m/>
    <m/>
    <s v="CP "/>
    <x v="0"/>
    <x v="1"/>
    <m/>
    <x v="8"/>
  </r>
  <r>
    <n v="1921"/>
    <x v="248"/>
    <x v="248"/>
    <x v="232"/>
    <x v="4"/>
    <x v="17"/>
    <n v="1874"/>
    <x v="6"/>
    <m/>
    <m/>
    <s v="Supplier"/>
    <m/>
    <x v="849"/>
    <s v="WaiShing_agreement_APR2012.pdf"/>
    <s v=".pdf"/>
    <d v="2014-04-10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n v="1"/>
    <n v="1"/>
    <m/>
    <m/>
    <m/>
    <s v="CP"/>
    <m/>
    <m/>
    <s v="CP "/>
    <x v="0"/>
    <x v="1"/>
    <m/>
    <x v="6"/>
  </r>
  <r>
    <n v="1922"/>
    <x v="248"/>
    <x v="248"/>
    <x v="232"/>
    <x v="4"/>
    <x v="17"/>
    <n v="1875"/>
    <x v="10"/>
    <m/>
    <m/>
    <s v="Supplier"/>
    <m/>
    <x v="695"/>
    <s v="Upwill_agreement_APR2012.pdf"/>
    <s v=".pdf"/>
    <d v="2014-04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6"/>
  </r>
  <r>
    <n v="1928"/>
    <x v="249"/>
    <x v="249"/>
    <x v="232"/>
    <x v="4"/>
    <x v="17"/>
    <n v="1881"/>
    <x v="10"/>
    <m/>
    <m/>
    <s v="Supplier"/>
    <m/>
    <x v="757"/>
    <s v="WaiShing_agreement_APR2012.pdf"/>
    <s v=".pdf"/>
    <d v="2014-04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8"/>
  </r>
  <r>
    <n v="1930"/>
    <x v="248"/>
    <x v="248"/>
    <x v="232"/>
    <x v="4"/>
    <x v="17"/>
    <n v="1872"/>
    <x v="7"/>
    <m/>
    <m/>
    <s v="Supplier"/>
    <m/>
    <x v="849"/>
    <s v="Upwill_agreement_APR2012.pdf"/>
    <s v=".pdf"/>
    <d v="2014-04-10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6"/>
  </r>
  <r>
    <n v="1925"/>
    <x v="249"/>
    <x v="249"/>
    <x v="232"/>
    <x v="4"/>
    <x v="17"/>
    <n v="1878"/>
    <x v="7"/>
    <m/>
    <m/>
    <s v="Supplier"/>
    <m/>
    <x v="695"/>
    <s v="WaiShing_agreement_APR2012.pdf"/>
    <s v=".pdf"/>
    <d v="2014-04-10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8"/>
  </r>
  <r>
    <n v="1929"/>
    <x v="249"/>
    <x v="249"/>
    <x v="232"/>
    <x v="4"/>
    <x v="17"/>
    <n v="1872"/>
    <x v="7"/>
    <m/>
    <m/>
    <s v="Supplier"/>
    <m/>
    <x v="849"/>
    <s v="Upwill_agreement_APR2012.pdf"/>
    <s v=".pdf"/>
    <d v="2014-04-10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8"/>
  </r>
  <r>
    <n v="1913"/>
    <x v="249"/>
    <x v="249"/>
    <x v="232"/>
    <x v="4"/>
    <x v="17"/>
    <n v="1868"/>
    <x v="8"/>
    <m/>
    <m/>
    <s v="Supplier"/>
    <m/>
    <x v="77"/>
    <s v="WAI_SHING_Responsible_Purchasing_Charter_03Aug12.PDF"/>
    <s v=".pdf"/>
    <d v="2014-04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8"/>
  </r>
  <r>
    <n v="1912"/>
    <x v="248"/>
    <x v="248"/>
    <x v="232"/>
    <x v="4"/>
    <x v="17"/>
    <n v="1867"/>
    <x v="8"/>
    <m/>
    <m/>
    <s v="Supplier"/>
    <m/>
    <x v="264"/>
    <s v="UPWILL_Responsible_Purchasing_Charter_03Aug12.PDF"/>
    <s v=".pdf"/>
    <d v="2014-04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6"/>
  </r>
  <r>
    <n v="1915"/>
    <x v="248"/>
    <x v="248"/>
    <x v="232"/>
    <x v="4"/>
    <x v="17"/>
    <n v="1869"/>
    <x v="1"/>
    <m/>
    <m/>
    <s v="Supplier"/>
    <m/>
    <x v="288"/>
    <s v="SEF-Wai Shing-28AUG12-77.xlsx"/>
    <s v=".xlsx"/>
    <d v="2014-04-10T00:00:00"/>
    <s v="as\afok"/>
    <m/>
    <s v="2012"/>
    <m/>
    <m/>
    <m/>
    <m/>
    <m/>
    <x v="0"/>
    <x v="0"/>
    <x v="0"/>
    <x v="19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6"/>
  </r>
  <r>
    <n v="1910"/>
    <x v="249"/>
    <x v="249"/>
    <x v="232"/>
    <x v="4"/>
    <x v="17"/>
    <n v="1866"/>
    <x v="1"/>
    <m/>
    <m/>
    <s v="Supplier"/>
    <m/>
    <x v="586"/>
    <s v="SEF-Wai Shing-20121126-77.xlsx"/>
    <s v=".xlsx"/>
    <d v="2014-04-10T00:00:00"/>
    <s v="as\afok"/>
    <m/>
    <s v="2012"/>
    <m/>
    <m/>
    <m/>
    <m/>
    <m/>
    <x v="0"/>
    <x v="0"/>
    <x v="0"/>
    <x v="19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8"/>
  </r>
  <r>
    <n v="1914"/>
    <x v="249"/>
    <x v="249"/>
    <x v="232"/>
    <x v="4"/>
    <x v="17"/>
    <n v="1869"/>
    <x v="1"/>
    <m/>
    <m/>
    <s v="Supplier"/>
    <m/>
    <x v="288"/>
    <s v="SEF-Wai Shing-28AUG12-77.xlsx"/>
    <s v=".xlsx"/>
    <d v="2014-04-10T00:00:00"/>
    <s v="as\afok"/>
    <m/>
    <s v="2012"/>
    <m/>
    <m/>
    <m/>
    <m/>
    <m/>
    <x v="0"/>
    <x v="0"/>
    <x v="0"/>
    <x v="19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8"/>
  </r>
  <r>
    <n v="1911"/>
    <x v="248"/>
    <x v="248"/>
    <x v="232"/>
    <x v="4"/>
    <x v="17"/>
    <n v="1866"/>
    <x v="1"/>
    <m/>
    <m/>
    <s v="Supplier"/>
    <m/>
    <x v="586"/>
    <s v="SEF-Wai Shing-20121126-77.xlsx"/>
    <s v=".xlsx"/>
    <d v="2014-04-10T00:00:00"/>
    <s v="as\afok"/>
    <m/>
    <s v="2012"/>
    <m/>
    <m/>
    <m/>
    <m/>
    <m/>
    <x v="0"/>
    <x v="0"/>
    <x v="0"/>
    <x v="19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6"/>
  </r>
  <r>
    <n v="1909"/>
    <x v="249"/>
    <x v="249"/>
    <x v="232"/>
    <x v="4"/>
    <x v="17"/>
    <n v="1865"/>
    <x v="2"/>
    <m/>
    <m/>
    <s v="Supplier"/>
    <m/>
    <x v="383"/>
    <s v="Wai Shing_SIF 2013.xls"/>
    <s v=".xls"/>
    <d v="2014-04-10T00:00:00"/>
    <s v="as\afok"/>
    <m/>
    <s v="2013"/>
    <m/>
    <m/>
    <m/>
    <m/>
    <m/>
    <x v="0"/>
    <x v="0"/>
    <x v="0"/>
    <x v="0"/>
    <x v="2"/>
    <x v="0"/>
    <x v="206"/>
    <x v="194"/>
    <x v="174"/>
    <x v="172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2"/>
    <x v="1"/>
    <m/>
    <x v="8"/>
  </r>
  <r>
    <n v="1932"/>
    <x v="249"/>
    <x v="249"/>
    <x v="232"/>
    <x v="4"/>
    <x v="17"/>
    <n v="1883"/>
    <x v="2"/>
    <n v="1"/>
    <m/>
    <s v="Supplier"/>
    <m/>
    <x v="202"/>
    <s v="Wai_Shing_SIF2012_.xls"/>
    <s v=".xls"/>
    <d v="2014-04-10T00:00:00"/>
    <s v="as\afok"/>
    <m/>
    <s v="2012"/>
    <m/>
    <m/>
    <m/>
    <m/>
    <m/>
    <x v="0"/>
    <x v="0"/>
    <x v="0"/>
    <x v="0"/>
    <x v="1"/>
    <x v="0"/>
    <x v="206"/>
    <x v="194"/>
    <x v="175"/>
    <x v="173"/>
    <x v="0"/>
    <x v="0"/>
    <x v="0"/>
    <x v="0"/>
    <x v="0"/>
    <s v="CP Panel"/>
    <x v="0"/>
    <x v="0"/>
    <x v="1"/>
    <x v="1"/>
    <m/>
    <m/>
    <m/>
    <n v="1"/>
    <n v="1"/>
    <m/>
    <m/>
    <s v="CP"/>
    <m/>
    <m/>
    <s v="CP "/>
    <x v="2"/>
    <x v="1"/>
    <m/>
    <x v="8"/>
  </r>
  <r>
    <n v="1917"/>
    <x v="248"/>
    <x v="248"/>
    <x v="232"/>
    <x v="4"/>
    <x v="17"/>
    <n v="1870"/>
    <x v="3"/>
    <m/>
    <m/>
    <s v="Supplier"/>
    <m/>
    <x v="389"/>
    <s v="_SPR-Wai Shing-20111222.pptx"/>
    <s v=".pptx"/>
    <d v="2014-04-10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6"/>
  </r>
  <r>
    <n v="1916"/>
    <x v="249"/>
    <x v="249"/>
    <x v="232"/>
    <x v="4"/>
    <x v="17"/>
    <n v="1870"/>
    <x v="3"/>
    <m/>
    <m/>
    <s v="Supplier"/>
    <m/>
    <x v="389"/>
    <s v="_SPR-Wai Shing-20111222.pptx"/>
    <s v=".pptx"/>
    <d v="2014-04-10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m/>
    <m/>
    <s v="CP "/>
    <x v="0"/>
    <x v="1"/>
    <m/>
    <x v="8"/>
  </r>
  <r>
    <n v="1701"/>
    <x v="250"/>
    <x v="250"/>
    <x v="233"/>
    <x v="5"/>
    <x v="7"/>
    <n v="1655"/>
    <x v="4"/>
    <m/>
    <m/>
    <s v="Supplier"/>
    <m/>
    <x v="126"/>
    <s v="WANGUAN_SUPPLY AGREEMENT_16Aug2012.pdf"/>
    <s v=".pdf"/>
    <d v="2014-04-07T00:00:00"/>
    <s v="as\afok"/>
    <m/>
    <s v="V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m/>
    <m/>
    <m/>
    <m/>
    <s v=""/>
    <x v="0"/>
    <x v="1"/>
    <m/>
    <x v="3"/>
  </r>
  <r>
    <n v="1690"/>
    <x v="250"/>
    <x v="250"/>
    <x v="233"/>
    <x v="5"/>
    <x v="7"/>
    <n v="1649"/>
    <x v="4"/>
    <m/>
    <m/>
    <s v="Supplier"/>
    <m/>
    <x v="850"/>
    <s v="WANGUAN_SUPPLY AGREEMENT_16Aug2012.pdf"/>
    <s v=".pdf"/>
    <d v="2014-04-07T00:00:00"/>
    <s v="as\afok"/>
    <m/>
    <s v="2014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m/>
    <m/>
    <m/>
    <m/>
    <s v=""/>
    <x v="0"/>
    <x v="1"/>
    <m/>
    <x v="3"/>
  </r>
  <r>
    <n v="1694"/>
    <x v="250"/>
    <x v="250"/>
    <x v="233"/>
    <x v="5"/>
    <x v="7"/>
    <n v="1653"/>
    <x v="5"/>
    <m/>
    <m/>
    <s v="Supplier"/>
    <m/>
    <x v="299"/>
    <s v="WANGUAN_Quality Appendix_16Aug2012.pdf"/>
    <s v=".pdf"/>
    <d v="2014-04-07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m/>
    <m/>
    <m/>
    <m/>
    <s v=""/>
    <x v="0"/>
    <x v="1"/>
    <m/>
    <x v="3"/>
  </r>
  <r>
    <n v="1691"/>
    <x v="250"/>
    <x v="250"/>
    <x v="233"/>
    <x v="5"/>
    <x v="7"/>
    <n v="1650"/>
    <x v="5"/>
    <m/>
    <m/>
    <s v="Supplier"/>
    <m/>
    <x v="618"/>
    <s v="WANGUAN_Quality Appendix_16Aug2012.pdf"/>
    <s v=".pdf"/>
    <d v="2014-04-07T00:00:00"/>
    <s v="as\afok"/>
    <m/>
    <s v="2013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m/>
    <m/>
    <m/>
    <m/>
    <s v=""/>
    <x v="0"/>
    <x v="1"/>
    <m/>
    <x v="3"/>
  </r>
  <r>
    <n v="1692"/>
    <x v="250"/>
    <x v="250"/>
    <x v="233"/>
    <x v="5"/>
    <x v="7"/>
    <n v="1651"/>
    <x v="6"/>
    <m/>
    <m/>
    <s v="Supplier"/>
    <m/>
    <x v="267"/>
    <s v="WANGUAN_Supply Chain(leadtime update)_22Jul2013.pdf"/>
    <s v=".pdf"/>
    <d v="2014-04-07T00:00:00"/>
    <s v="as\afok"/>
    <m/>
    <m/>
    <m/>
    <n v="3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m/>
    <m/>
    <m/>
    <m/>
    <s v=""/>
    <x v="0"/>
    <x v="1"/>
    <m/>
    <x v="3"/>
  </r>
  <r>
    <n v="1693"/>
    <x v="250"/>
    <x v="250"/>
    <x v="233"/>
    <x v="5"/>
    <x v="7"/>
    <n v="1652"/>
    <x v="6"/>
    <m/>
    <m/>
    <s v="Supplier"/>
    <m/>
    <x v="126"/>
    <s v="WANGUAN_Supply Chain Appendix_16Aug2012.pdf"/>
    <s v=".pdf"/>
    <d v="2014-04-07T00:00:00"/>
    <s v="as\afok"/>
    <m/>
    <m/>
    <m/>
    <n v="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m/>
    <m/>
    <m/>
    <m/>
    <s v=""/>
    <x v="0"/>
    <x v="1"/>
    <m/>
    <x v="3"/>
  </r>
  <r>
    <n v="1699"/>
    <x v="250"/>
    <x v="250"/>
    <x v="233"/>
    <x v="5"/>
    <x v="7"/>
    <n v="1657"/>
    <x v="10"/>
    <m/>
    <m/>
    <s v="Supplier"/>
    <m/>
    <x v="35"/>
    <s v="WANGUAN_SUPPLY AGREEMENT_16Aug2012.pdf"/>
    <s v=".pdf"/>
    <d v="2014-04-0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m/>
    <m/>
    <m/>
    <s v=""/>
    <x v="0"/>
    <x v="1"/>
    <m/>
    <x v="3"/>
  </r>
  <r>
    <n v="1695"/>
    <x v="250"/>
    <x v="250"/>
    <x v="233"/>
    <x v="5"/>
    <x v="7"/>
    <n v="1654"/>
    <x v="7"/>
    <m/>
    <m/>
    <s v="Supplier"/>
    <m/>
    <x v="126"/>
    <s v="WANGUAN_Env Declaration_16Aug2012.pdf"/>
    <s v=".pdf"/>
    <d v="2014-04-07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m/>
    <m/>
    <m/>
    <s v=""/>
    <x v="0"/>
    <x v="1"/>
    <m/>
    <x v="3"/>
  </r>
  <r>
    <n v="1698"/>
    <x v="250"/>
    <x v="250"/>
    <x v="233"/>
    <x v="5"/>
    <x v="7"/>
    <n v="1656"/>
    <x v="7"/>
    <m/>
    <m/>
    <s v="Supplier"/>
    <m/>
    <x v="126"/>
    <s v="WANGUAN_SUPPLY AGREEMENT_16Aug2012.pdf"/>
    <s v=".pdf"/>
    <d v="2014-04-07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m/>
    <m/>
    <m/>
    <s v=""/>
    <x v="0"/>
    <x v="1"/>
    <m/>
    <x v="3"/>
  </r>
  <r>
    <n v="1702"/>
    <x v="250"/>
    <x v="250"/>
    <x v="233"/>
    <x v="5"/>
    <x v="7"/>
    <n v="1659"/>
    <x v="3"/>
    <m/>
    <m/>
    <s v="Supplier"/>
    <m/>
    <x v="217"/>
    <s v="SPR_Wanguan(Hengye)_20120724.pptx"/>
    <s v=".pptx"/>
    <d v="2014-04-07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n v="1"/>
    <m/>
    <m/>
    <m/>
    <m/>
    <m/>
    <s v=""/>
    <x v="0"/>
    <x v="1"/>
    <m/>
    <x v="3"/>
  </r>
  <r>
    <n v="1755"/>
    <x v="251"/>
    <x v="251"/>
    <x v="234"/>
    <x v="5"/>
    <x v="7"/>
    <n v="1712"/>
    <x v="7"/>
    <m/>
    <m/>
    <s v="Supplier"/>
    <m/>
    <x v="108"/>
    <s v="Wan_Sheng_Env_Declaration_15Jun2010.pdf"/>
    <s v=".pdf"/>
    <d v="2014-04-08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s v="CP"/>
    <m/>
    <m/>
    <s v="FP CP Both"/>
    <x v="0"/>
    <x v="1"/>
    <m/>
    <x v="12"/>
  </r>
  <r>
    <n v="1756"/>
    <x v="251"/>
    <x v="251"/>
    <x v="234"/>
    <x v="5"/>
    <x v="7"/>
    <n v="1713"/>
    <x v="8"/>
    <m/>
    <m/>
    <s v="Supplier"/>
    <m/>
    <x v="247"/>
    <s v="Wansheng_Responsible Purchaser Charter_13Aug2012.pdf"/>
    <s v=".pdf"/>
    <d v="2014-04-08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s v="CP"/>
    <m/>
    <m/>
    <s v="FP CP Both"/>
    <x v="0"/>
    <x v="1"/>
    <m/>
    <x v="12"/>
  </r>
  <r>
    <n v="1757"/>
    <x v="251"/>
    <x v="251"/>
    <x v="234"/>
    <x v="5"/>
    <x v="7"/>
    <n v="1714"/>
    <x v="1"/>
    <m/>
    <m/>
    <s v="Supplier"/>
    <m/>
    <x v="420"/>
    <s v="Wansheng_SEF_201206.xlsx"/>
    <s v=".xlsx"/>
    <d v="2014-04-08T00:00:00"/>
    <s v="as\afok"/>
    <m/>
    <s v="2012"/>
    <m/>
    <m/>
    <m/>
    <m/>
    <m/>
    <x v="0"/>
    <x v="0"/>
    <x v="0"/>
    <x v="13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s v="CP"/>
    <m/>
    <m/>
    <s v="FP CP Both"/>
    <x v="0"/>
    <x v="1"/>
    <m/>
    <x v="12"/>
  </r>
  <r>
    <n v="2411"/>
    <x v="251"/>
    <x v="251"/>
    <x v="234"/>
    <x v="5"/>
    <x v="7"/>
    <n v="2352"/>
    <x v="2"/>
    <m/>
    <m/>
    <s v="Supplier"/>
    <m/>
    <x v="851"/>
    <s v="WANSHENG_SIF_20140409.xls"/>
    <s v=".xls"/>
    <d v="2014-04-17T00:00:00"/>
    <s v="as\afok"/>
    <m/>
    <s v="2014"/>
    <m/>
    <m/>
    <m/>
    <m/>
    <m/>
    <x v="0"/>
    <x v="0"/>
    <x v="0"/>
    <x v="0"/>
    <x v="3"/>
    <x v="48"/>
    <x v="104"/>
    <x v="14"/>
    <x v="90"/>
    <x v="174"/>
    <x v="9"/>
    <x v="15"/>
    <x v="6"/>
    <x v="31"/>
    <x v="29"/>
    <m/>
    <x v="0"/>
    <x v="0"/>
    <x v="0"/>
    <x v="0"/>
    <m/>
    <m/>
    <m/>
    <n v="0"/>
    <m/>
    <n v="1"/>
    <s v="FP"/>
    <s v="CP"/>
    <m/>
    <m/>
    <s v="FP CP Both"/>
    <x v="1"/>
    <x v="1"/>
    <m/>
    <x v="12"/>
  </r>
  <r>
    <n v="2127"/>
    <x v="252"/>
    <x v="252"/>
    <x v="235"/>
    <x v="4"/>
    <x v="14"/>
    <n v="2070"/>
    <x v="7"/>
    <m/>
    <m/>
    <s v="Supplier"/>
    <m/>
    <x v="86"/>
    <s v="Wang_CHUN_Env_Declaration_23Mar2010.xls"/>
    <s v=".xls"/>
    <d v="2014-04-14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2126"/>
    <x v="252"/>
    <x v="252"/>
    <x v="235"/>
    <x v="4"/>
    <x v="14"/>
    <n v="2069"/>
    <x v="8"/>
    <m/>
    <m/>
    <s v="Supplier"/>
    <m/>
    <x v="185"/>
    <s v="Wang_Chun_Responsible_Purchasing_Charter_27Feb13.pdf"/>
    <s v=".pdf"/>
    <d v="2014-04-1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2128"/>
    <x v="252"/>
    <x v="252"/>
    <x v="235"/>
    <x v="4"/>
    <x v="14"/>
    <n v="2071"/>
    <x v="2"/>
    <m/>
    <m/>
    <s v="Supplier"/>
    <m/>
    <x v="220"/>
    <s v="Wang Chun_SIF2012_17Apr12.xlsx"/>
    <s v=".xlsx"/>
    <d v="2014-04-14T00:00:00"/>
    <s v="as\afok"/>
    <m/>
    <s v="2012"/>
    <m/>
    <m/>
    <m/>
    <m/>
    <m/>
    <x v="0"/>
    <x v="0"/>
    <x v="0"/>
    <x v="0"/>
    <x v="1"/>
    <x v="70"/>
    <x v="107"/>
    <x v="72"/>
    <x v="64"/>
    <x v="61"/>
    <x v="15"/>
    <x v="24"/>
    <x v="6"/>
    <x v="31"/>
    <x v="29"/>
    <m/>
    <x v="0"/>
    <x v="0"/>
    <x v="0"/>
    <x v="0"/>
    <m/>
    <m/>
    <m/>
    <n v="0"/>
    <m/>
    <n v="1"/>
    <m/>
    <s v="CP"/>
    <m/>
    <m/>
    <s v="CP "/>
    <x v="2"/>
    <x v="1"/>
    <m/>
    <x v="8"/>
  </r>
  <r>
    <n v="2259"/>
    <x v="253"/>
    <x v="253"/>
    <x v="236"/>
    <x v="4"/>
    <x v="8"/>
    <n v="2200"/>
    <x v="8"/>
    <m/>
    <m/>
    <s v="Supplier"/>
    <m/>
    <x v="78"/>
    <s v="ZHEJIANG_XINGPENG_IMPORT_AND_EXPORT_Purchasing_Charter_10Oct12.pdf"/>
    <s v=".pdf"/>
    <d v="2014-04-1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m/>
    <m/>
    <s v="CP"/>
    <m/>
    <m/>
    <s v="CP "/>
    <x v="0"/>
    <x v="0"/>
    <m/>
    <x v="0"/>
  </r>
  <r>
    <n v="2260"/>
    <x v="253"/>
    <x v="253"/>
    <x v="236"/>
    <x v="4"/>
    <x v="8"/>
    <n v="2201"/>
    <x v="8"/>
    <m/>
    <m/>
    <s v="Supplier"/>
    <m/>
    <x v="77"/>
    <s v="Wuhan_Weihua_Responsible_Purchasing_Charter_03Aug12.pdf"/>
    <s v=".pdf"/>
    <d v="2014-04-1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m/>
    <m/>
    <s v="CP"/>
    <m/>
    <m/>
    <s v="CP "/>
    <x v="0"/>
    <x v="0"/>
    <m/>
    <x v="0"/>
  </r>
  <r>
    <n v="2261"/>
    <x v="253"/>
    <x v="253"/>
    <x v="236"/>
    <x v="4"/>
    <x v="8"/>
    <n v="2202"/>
    <x v="2"/>
    <n v="1"/>
    <m/>
    <s v="Supplier"/>
    <m/>
    <x v="852"/>
    <s v="Wuhan Weihua_SIF2012 29Jun2012.xlsx"/>
    <s v=".xlsx"/>
    <d v="2014-04-16T00:00:00"/>
    <s v="as\afok"/>
    <m/>
    <s v="2012"/>
    <m/>
    <m/>
    <m/>
    <m/>
    <m/>
    <x v="0"/>
    <x v="0"/>
    <x v="0"/>
    <x v="0"/>
    <x v="1"/>
    <x v="4"/>
    <x v="35"/>
    <x v="30"/>
    <x v="5"/>
    <x v="4"/>
    <x v="0"/>
    <x v="0"/>
    <x v="0"/>
    <x v="0"/>
    <x v="0"/>
    <m/>
    <x v="0"/>
    <x v="0"/>
    <x v="0"/>
    <x v="0"/>
    <m/>
    <m/>
    <m/>
    <m/>
    <m/>
    <m/>
    <m/>
    <s v="CP"/>
    <m/>
    <m/>
    <s v="CP "/>
    <x v="2"/>
    <x v="0"/>
    <m/>
    <x v="0"/>
  </r>
  <r>
    <n v="1300"/>
    <x v="254"/>
    <x v="254"/>
    <x v="237"/>
    <x v="2"/>
    <x v="2"/>
    <n v="1270"/>
    <x v="4"/>
    <m/>
    <m/>
    <s v="Supplier"/>
    <m/>
    <x v="529"/>
    <s v="Westa_General Agreement_7Feb12.pdf"/>
    <s v=".pdf"/>
    <d v="2014-03-28T00:00:00"/>
    <s v="as\afok"/>
    <m/>
    <s v="FHA 00 016 ind.11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m/>
    <s v="SP"/>
    <m/>
    <s v="FP SP "/>
    <x v="0"/>
    <x v="1"/>
    <m/>
    <x v="11"/>
  </r>
  <r>
    <n v="1303"/>
    <x v="254"/>
    <x v="254"/>
    <x v="237"/>
    <x v="2"/>
    <x v="2"/>
    <n v="1273"/>
    <x v="5"/>
    <m/>
    <m/>
    <s v="Supplier"/>
    <m/>
    <x v="336"/>
    <s v="Westa_General Agreement_7Feb12.pdf"/>
    <s v=".pdf"/>
    <d v="2014-03-28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m/>
    <s v="SP"/>
    <m/>
    <s v="FP SP "/>
    <x v="0"/>
    <x v="1"/>
    <m/>
    <x v="11"/>
  </r>
  <r>
    <n v="1302"/>
    <x v="254"/>
    <x v="254"/>
    <x v="237"/>
    <x v="2"/>
    <x v="2"/>
    <n v="1272"/>
    <x v="6"/>
    <m/>
    <m/>
    <s v="Supplier"/>
    <m/>
    <x v="853"/>
    <s v="Westa_General Agreement_7Feb12.pdf"/>
    <s v=".pdf"/>
    <d v="2014-03-28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m/>
    <s v="SP"/>
    <m/>
    <s v="FP SP "/>
    <x v="0"/>
    <x v="1"/>
    <m/>
    <x v="11"/>
  </r>
  <r>
    <n v="1304"/>
    <x v="254"/>
    <x v="254"/>
    <x v="237"/>
    <x v="2"/>
    <x v="2"/>
    <n v="1274"/>
    <x v="10"/>
    <m/>
    <m/>
    <s v="Supplier"/>
    <m/>
    <x v="854"/>
    <s v="Westa_General Agreement_7Feb12.pdf"/>
    <s v=".pdf"/>
    <d v="2014-03-2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n v="1"/>
    <m/>
    <s v="FP"/>
    <m/>
    <s v="SP"/>
    <m/>
    <s v="FP SP "/>
    <x v="0"/>
    <x v="1"/>
    <m/>
    <x v="11"/>
  </r>
  <r>
    <n v="1301"/>
    <x v="254"/>
    <x v="254"/>
    <x v="237"/>
    <x v="2"/>
    <x v="2"/>
    <n v="1271"/>
    <x v="7"/>
    <m/>
    <m/>
    <s v="Supplier"/>
    <m/>
    <x v="529"/>
    <s v="Westa_General Agreement_7Feb12.pdf"/>
    <s v=".pdf"/>
    <d v="2014-03-28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11"/>
  </r>
  <r>
    <n v="1296"/>
    <x v="254"/>
    <x v="254"/>
    <x v="237"/>
    <x v="2"/>
    <x v="2"/>
    <n v="1266"/>
    <x v="11"/>
    <m/>
    <m/>
    <s v="Supplier"/>
    <m/>
    <x v="805"/>
    <s v="Westa Exclusivity Summary 2012-01-18.xlsx"/>
    <s v=".xlsx"/>
    <d v="2014-03-28T00:00:00"/>
    <s v="as\afok"/>
    <s v="Exclusivity Summary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11"/>
  </r>
  <r>
    <n v="1298"/>
    <x v="254"/>
    <x v="254"/>
    <x v="237"/>
    <x v="2"/>
    <x v="2"/>
    <n v="1268"/>
    <x v="11"/>
    <m/>
    <m/>
    <s v="Product / Project"/>
    <m/>
    <x v="855"/>
    <s v="Westa_Oven_EA_7Feb12.pdf"/>
    <s v=".pdf"/>
    <d v="2014-03-28T00:00:00"/>
    <s v="as\afok"/>
    <m/>
    <s v="FRD 6E 030 ind.00"/>
    <m/>
    <m/>
    <m/>
    <m/>
    <s v="Oven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11"/>
  </r>
  <r>
    <n v="1299"/>
    <x v="254"/>
    <x v="254"/>
    <x v="237"/>
    <x v="2"/>
    <x v="2"/>
    <n v="1269"/>
    <x v="12"/>
    <m/>
    <m/>
    <s v="Product / Project"/>
    <m/>
    <x v="165"/>
    <s v="Westa_Oven_IP_20Feb12.pdf"/>
    <s v=".pdf"/>
    <d v="2014-03-28T00:00:00"/>
    <s v="as\afok"/>
    <m/>
    <m/>
    <m/>
    <m/>
    <m/>
    <m/>
    <s v="Oven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11"/>
  </r>
  <r>
    <n v="1297"/>
    <x v="254"/>
    <x v="254"/>
    <x v="237"/>
    <x v="2"/>
    <x v="2"/>
    <n v="1267"/>
    <x v="8"/>
    <m/>
    <m/>
    <s v="Supplier"/>
    <m/>
    <x v="35"/>
    <s v="Westa - Responsible Purchasing Charter.pdf"/>
    <s v=".pdf"/>
    <d v="2014-03-2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m/>
    <s v="FP SP "/>
    <x v="0"/>
    <x v="1"/>
    <m/>
    <x v="11"/>
  </r>
  <r>
    <n v="1295"/>
    <x v="254"/>
    <x v="254"/>
    <x v="237"/>
    <x v="2"/>
    <x v="2"/>
    <n v="1265"/>
    <x v="2"/>
    <m/>
    <m/>
    <s v="Supplier"/>
    <m/>
    <x v="27"/>
    <s v="Westa - SIF 2013.xls"/>
    <s v=".xls"/>
    <d v="2014-03-28T00:00:00"/>
    <s v="as\afok"/>
    <m/>
    <s v="2013"/>
    <m/>
    <m/>
    <m/>
    <m/>
    <m/>
    <x v="0"/>
    <x v="0"/>
    <x v="0"/>
    <x v="0"/>
    <x v="2"/>
    <x v="48"/>
    <x v="104"/>
    <x v="195"/>
    <x v="176"/>
    <x v="175"/>
    <x v="9"/>
    <x v="15"/>
    <x v="22"/>
    <x v="6"/>
    <x v="9"/>
    <m/>
    <x v="0"/>
    <x v="0"/>
    <x v="0"/>
    <x v="0"/>
    <m/>
    <m/>
    <m/>
    <n v="1"/>
    <m/>
    <m/>
    <s v="FP"/>
    <m/>
    <s v="SP"/>
    <m/>
    <s v="FP SP "/>
    <x v="3"/>
    <x v="1"/>
    <m/>
    <x v="11"/>
  </r>
  <r>
    <n v="2823"/>
    <x v="255"/>
    <x v="255"/>
    <x v="238"/>
    <x v="3"/>
    <x v="19"/>
    <n v="6"/>
    <x v="4"/>
    <m/>
    <m/>
    <s v="Supplier"/>
    <d v="2014-12-31T00:00:00"/>
    <x v="856"/>
    <s v="WIK_GENERAL CONTRACT FHA00016ind9_20090511.pdf"/>
    <s v=".pdf"/>
    <d v="2014-03-03T00:00:00"/>
    <s v="as\afok"/>
    <m/>
    <s v="FHA00016 ind.09 "/>
    <s v="37E3 - 30 days end of month due net on posting date 37E3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n v="1"/>
    <m/>
    <m/>
    <n v="0"/>
    <m/>
    <m/>
    <s v="FP"/>
    <s v="CP"/>
    <s v="SP"/>
    <s v="MOULD"/>
    <s v="FP CP SP MOULD Both"/>
    <x v="0"/>
    <x v="1"/>
    <n v="1"/>
    <x v="47"/>
  </r>
  <r>
    <n v="2824"/>
    <x v="256"/>
    <x v="256"/>
    <x v="238"/>
    <x v="3"/>
    <x v="19"/>
    <n v="6"/>
    <x v="4"/>
    <m/>
    <m/>
    <s v="Supplier"/>
    <d v="2014-12-31T00:00:00"/>
    <x v="856"/>
    <s v="WIK_GENERAL CONTRACT FHA00016ind9_20090511.pdf"/>
    <s v=".pdf"/>
    <d v="2014-03-03T00:00:00"/>
    <s v="as\afok"/>
    <m/>
    <s v="FHA00016 ind.09 "/>
    <s v="37E3 - 30 days end of month due net on posting date 37E3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n v="1"/>
    <m/>
    <m/>
    <n v="0"/>
    <m/>
    <n v="1"/>
    <s v="FP"/>
    <m/>
    <m/>
    <m/>
    <s v="FP Both"/>
    <x v="0"/>
    <x v="1"/>
    <n v="1"/>
    <x v="17"/>
  </r>
  <r>
    <n v="2820"/>
    <x v="256"/>
    <x v="256"/>
    <x v="238"/>
    <x v="3"/>
    <x v="19"/>
    <n v="247"/>
    <x v="0"/>
    <m/>
    <m/>
    <s v="Supplier"/>
    <m/>
    <x v="857"/>
    <s v="WIK_Foodstuffs_9743.12(KP3010)_2010812.pdf"/>
    <s v=".pdf"/>
    <d v="2014-03-13T00:00:00"/>
    <s v="as\afok"/>
    <s v="9743.12(KP3010)_x000d__x000a_"/>
    <s v="FRD00069 ind.04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m/>
    <m/>
    <s v="FP Both"/>
    <x v="0"/>
    <x v="1"/>
    <n v="1"/>
    <x v="17"/>
  </r>
  <r>
    <n v="2819"/>
    <x v="255"/>
    <x v="255"/>
    <x v="238"/>
    <x v="3"/>
    <x v="19"/>
    <n v="247"/>
    <x v="0"/>
    <m/>
    <m/>
    <s v="Supplier"/>
    <m/>
    <x v="857"/>
    <s v="WIK_Foodstuffs_9743.12(KP3010)_2010812.pdf"/>
    <s v=".pdf"/>
    <d v="2014-03-13T00:00:00"/>
    <s v="as\afok"/>
    <s v="9743.12(KP3010)_x000d__x000a_"/>
    <s v="FRD00069 ind.04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47"/>
  </r>
  <r>
    <n v="2816"/>
    <x v="256"/>
    <x v="256"/>
    <x v="238"/>
    <x v="3"/>
    <x v="19"/>
    <n v="248"/>
    <x v="0"/>
    <m/>
    <m/>
    <s v="Supplier"/>
    <m/>
    <x v="857"/>
    <s v="WIK_Foodstuffs_9744.12(KP1006,1002,1009)_20100812.pdf"/>
    <s v=".pdf"/>
    <d v="2014-03-13T00:00:00"/>
    <s v="as\afok"/>
    <s v="9744.12(KP1006,1002,1009)_x000d__x000a_"/>
    <s v="FRD00069 ind.04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m/>
    <m/>
    <s v="FP Both"/>
    <x v="0"/>
    <x v="1"/>
    <n v="1"/>
    <x v="17"/>
  </r>
  <r>
    <n v="2815"/>
    <x v="255"/>
    <x v="255"/>
    <x v="238"/>
    <x v="3"/>
    <x v="19"/>
    <n v="248"/>
    <x v="0"/>
    <m/>
    <m/>
    <s v="Supplier"/>
    <m/>
    <x v="857"/>
    <s v="WIK_Foodstuffs_9744.12(KP1006,1002,1009)_20100812.pdf"/>
    <s v=".pdf"/>
    <d v="2014-03-13T00:00:00"/>
    <s v="as\afok"/>
    <s v="9744.12(KP1006,1002,1009)_x000d__x000a_"/>
    <s v="FRD00069 ind.04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47"/>
  </r>
  <r>
    <n v="2806"/>
    <x v="256"/>
    <x v="256"/>
    <x v="238"/>
    <x v="3"/>
    <x v="19"/>
    <n v="243"/>
    <x v="13"/>
    <m/>
    <m/>
    <s v="Supplier"/>
    <d v="2011-06-30T00:00:00"/>
    <x v="858"/>
    <s v="WIK_ISO14001_expired 20110613.pdf"/>
    <s v=".pdf"/>
    <d v="2014-03-1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m/>
    <m/>
    <s v="FP Both"/>
    <x v="0"/>
    <x v="1"/>
    <n v="1"/>
    <x v="17"/>
  </r>
  <r>
    <n v="2805"/>
    <x v="255"/>
    <x v="255"/>
    <x v="238"/>
    <x v="3"/>
    <x v="19"/>
    <n v="243"/>
    <x v="13"/>
    <m/>
    <m/>
    <s v="Supplier"/>
    <d v="2011-06-30T00:00:00"/>
    <x v="858"/>
    <s v="WIK_ISO14001_expired 20110613.pdf"/>
    <s v=".pdf"/>
    <d v="2014-03-1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47"/>
  </r>
  <r>
    <n v="2817"/>
    <x v="255"/>
    <x v="255"/>
    <x v="238"/>
    <x v="3"/>
    <x v="19"/>
    <n v="246"/>
    <x v="9"/>
    <m/>
    <m/>
    <s v="Product / Project"/>
    <m/>
    <x v="462"/>
    <s v="WIK_LOC_Air brush 1200W_12Dec11.pdf"/>
    <s v=".pdf"/>
    <d v="2014-03-13T00:00:00"/>
    <s v="as\afok"/>
    <s v="_x000d__x000a_"/>
    <m/>
    <m/>
    <m/>
    <m/>
    <m/>
    <s v="Air brush 1200W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47"/>
  </r>
  <r>
    <n v="2812"/>
    <x v="256"/>
    <x v="256"/>
    <x v="238"/>
    <x v="3"/>
    <x v="19"/>
    <n v="244"/>
    <x v="9"/>
    <m/>
    <m/>
    <s v="Product / Project"/>
    <m/>
    <x v="415"/>
    <s v="WIK_LOC_New Rotary Brush 100W (0577)_20110923.pdf"/>
    <s v=".pdf"/>
    <d v="2014-03-13T00:00:00"/>
    <s v="as\afok"/>
    <s v="_x000d__x000a_"/>
    <m/>
    <m/>
    <m/>
    <m/>
    <m/>
    <s v="New Rotary Brush 100W (0577)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m/>
    <m/>
    <s v="FP Both"/>
    <x v="0"/>
    <x v="1"/>
    <n v="1"/>
    <x v="17"/>
  </r>
  <r>
    <n v="2821"/>
    <x v="255"/>
    <x v="255"/>
    <x v="238"/>
    <x v="3"/>
    <x v="19"/>
    <n v="245"/>
    <x v="9"/>
    <m/>
    <m/>
    <s v="Product / Project"/>
    <m/>
    <x v="725"/>
    <s v="WIK_LOC_Respectissim Lissand Curl_28Oct11.pdf"/>
    <s v=".pdf"/>
    <d v="2014-03-13T00:00:00"/>
    <s v="as\afok"/>
    <s v="_x000d__x000a_"/>
    <m/>
    <m/>
    <m/>
    <m/>
    <m/>
    <s v="Respectissim Lissand Curl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47"/>
  </r>
  <r>
    <n v="2822"/>
    <x v="256"/>
    <x v="256"/>
    <x v="238"/>
    <x v="3"/>
    <x v="19"/>
    <n v="245"/>
    <x v="9"/>
    <m/>
    <m/>
    <s v="Product / Project"/>
    <m/>
    <x v="725"/>
    <s v="WIK_LOC_Respectissim Lissand Curl_28Oct11.pdf"/>
    <s v=".pdf"/>
    <d v="2014-03-13T00:00:00"/>
    <s v="as\afok"/>
    <s v="_x000d__x000a_"/>
    <m/>
    <m/>
    <m/>
    <m/>
    <m/>
    <s v="Respectissim Lissand Curl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m/>
    <m/>
    <s v="FP Both"/>
    <x v="0"/>
    <x v="1"/>
    <n v="1"/>
    <x v="17"/>
  </r>
  <r>
    <n v="2818"/>
    <x v="256"/>
    <x v="256"/>
    <x v="238"/>
    <x v="3"/>
    <x v="19"/>
    <n v="246"/>
    <x v="9"/>
    <m/>
    <m/>
    <s v="Product / Project"/>
    <m/>
    <x v="462"/>
    <s v="WIK_LOC_Air brush 1200W_12Dec11.pdf"/>
    <s v=".pdf"/>
    <d v="2014-03-13T00:00:00"/>
    <s v="as\afok"/>
    <s v="_x000d__x000a_"/>
    <m/>
    <m/>
    <m/>
    <m/>
    <m/>
    <s v="Air brush 1200W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m/>
    <m/>
    <s v="FP Both"/>
    <x v="0"/>
    <x v="1"/>
    <n v="1"/>
    <x v="17"/>
  </r>
  <r>
    <n v="2811"/>
    <x v="255"/>
    <x v="255"/>
    <x v="238"/>
    <x v="3"/>
    <x v="19"/>
    <n v="244"/>
    <x v="9"/>
    <m/>
    <m/>
    <s v="Product / Project"/>
    <m/>
    <x v="415"/>
    <s v="WIK_LOC_New Rotary Brush 100W (0577)_20110923.pdf"/>
    <s v=".pdf"/>
    <d v="2014-03-13T00:00:00"/>
    <s v="as\afok"/>
    <s v="_x000d__x000a_"/>
    <m/>
    <m/>
    <m/>
    <m/>
    <m/>
    <s v="New Rotary Brush 100W (0577)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47"/>
  </r>
  <r>
    <n v="2814"/>
    <x v="256"/>
    <x v="256"/>
    <x v="238"/>
    <x v="3"/>
    <x v="19"/>
    <n v="249"/>
    <x v="8"/>
    <m/>
    <m/>
    <s v="Supplier"/>
    <m/>
    <x v="116"/>
    <s v="WIK - Responsible Purchasing Charter.pdf"/>
    <s v=".pdf"/>
    <d v="2014-03-1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m/>
    <m/>
    <s v="FP Both"/>
    <x v="0"/>
    <x v="1"/>
    <n v="1"/>
    <x v="17"/>
  </r>
  <r>
    <n v="2813"/>
    <x v="255"/>
    <x v="255"/>
    <x v="238"/>
    <x v="3"/>
    <x v="19"/>
    <n v="249"/>
    <x v="8"/>
    <m/>
    <m/>
    <s v="Supplier"/>
    <m/>
    <x v="116"/>
    <s v="WIK - Responsible Purchasing Charter.pdf"/>
    <s v=".pdf"/>
    <d v="2014-03-1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47"/>
  </r>
  <r>
    <n v="2802"/>
    <x v="256"/>
    <x v="256"/>
    <x v="238"/>
    <x v="3"/>
    <x v="19"/>
    <n v="252"/>
    <x v="1"/>
    <m/>
    <m/>
    <s v="Supplier"/>
    <m/>
    <x v="141"/>
    <s v="WIK_SEF_20130530 (PC).xlsx"/>
    <s v=".xlsx"/>
    <d v="2014-03-13T00:00:00"/>
    <s v="as\afok"/>
    <s v="PC"/>
    <s v="2013"/>
    <m/>
    <m/>
    <m/>
    <m/>
    <m/>
    <x v="0"/>
    <x v="0"/>
    <x v="0"/>
    <x v="9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m/>
    <m/>
    <s v="FP Both"/>
    <x v="0"/>
    <x v="1"/>
    <n v="1"/>
    <x v="17"/>
  </r>
  <r>
    <n v="2807"/>
    <x v="255"/>
    <x v="255"/>
    <x v="238"/>
    <x v="3"/>
    <x v="19"/>
    <n v="250"/>
    <x v="1"/>
    <m/>
    <m/>
    <s v="Supplier"/>
    <m/>
    <x v="728"/>
    <s v="WIK_SEF_201212.xlsx"/>
    <s v=".xlsx"/>
    <d v="2014-03-13T00:00:00"/>
    <s v="as\afok"/>
    <m/>
    <s v="2012"/>
    <m/>
    <m/>
    <m/>
    <m/>
    <m/>
    <x v="0"/>
    <x v="0"/>
    <x v="0"/>
    <x v="27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47"/>
  </r>
  <r>
    <n v="2797"/>
    <x v="255"/>
    <x v="255"/>
    <x v="238"/>
    <x v="3"/>
    <x v="19"/>
    <n v="251"/>
    <x v="1"/>
    <m/>
    <m/>
    <s v="Supplier"/>
    <m/>
    <x v="671"/>
    <s v="WIK_SEF_20130530 (Bev).xlsx"/>
    <s v=".xlsx"/>
    <d v="2014-03-13T00:00:00"/>
    <s v="as\afok"/>
    <s v="BEVERAGE_x000d__x000a_"/>
    <s v="2013"/>
    <m/>
    <m/>
    <m/>
    <m/>
    <m/>
    <x v="0"/>
    <x v="0"/>
    <x v="0"/>
    <x v="23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47"/>
  </r>
  <r>
    <n v="2801"/>
    <x v="255"/>
    <x v="255"/>
    <x v="238"/>
    <x v="3"/>
    <x v="19"/>
    <n v="252"/>
    <x v="1"/>
    <m/>
    <m/>
    <s v="Supplier"/>
    <m/>
    <x v="141"/>
    <s v="WIK_SEF_20130530 (PC).xlsx"/>
    <s v=".xlsx"/>
    <d v="2014-03-13T00:00:00"/>
    <s v="as\afok"/>
    <s v="PC"/>
    <s v="2013"/>
    <m/>
    <m/>
    <m/>
    <m/>
    <m/>
    <x v="0"/>
    <x v="0"/>
    <x v="0"/>
    <x v="9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0"/>
    <x v="1"/>
    <n v="1"/>
    <x v="47"/>
  </r>
  <r>
    <n v="2808"/>
    <x v="256"/>
    <x v="256"/>
    <x v="238"/>
    <x v="3"/>
    <x v="19"/>
    <n v="250"/>
    <x v="1"/>
    <m/>
    <m/>
    <s v="Supplier"/>
    <m/>
    <x v="728"/>
    <s v="WIK_SEF_201212.xlsx"/>
    <s v=".xlsx"/>
    <d v="2014-03-13T00:00:00"/>
    <s v="as\afok"/>
    <m/>
    <s v="2012"/>
    <m/>
    <m/>
    <m/>
    <m/>
    <m/>
    <x v="0"/>
    <x v="0"/>
    <x v="0"/>
    <x v="27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m/>
    <m/>
    <s v="FP Both"/>
    <x v="0"/>
    <x v="1"/>
    <n v="1"/>
    <x v="17"/>
  </r>
  <r>
    <n v="2798"/>
    <x v="256"/>
    <x v="256"/>
    <x v="238"/>
    <x v="3"/>
    <x v="19"/>
    <n v="251"/>
    <x v="1"/>
    <m/>
    <m/>
    <s v="Supplier"/>
    <m/>
    <x v="671"/>
    <s v="WIK_SEF_20130530 (Bev).xlsx"/>
    <s v=".xlsx"/>
    <d v="2014-03-13T00:00:00"/>
    <s v="as\afok"/>
    <s v="BEVERAGE_x000d__x000a_"/>
    <s v="2013"/>
    <m/>
    <m/>
    <m/>
    <m/>
    <m/>
    <x v="0"/>
    <x v="0"/>
    <x v="0"/>
    <x v="23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m/>
    <m/>
    <s v="FP Both"/>
    <x v="0"/>
    <x v="1"/>
    <n v="1"/>
    <x v="17"/>
  </r>
  <r>
    <n v="2804"/>
    <x v="256"/>
    <x v="256"/>
    <x v="238"/>
    <x v="3"/>
    <x v="19"/>
    <n v="255"/>
    <x v="2"/>
    <m/>
    <m/>
    <s v="Supplier"/>
    <m/>
    <x v="559"/>
    <s v="WIK_SIF 2012_29Feb12.xls"/>
    <s v=".xls"/>
    <d v="2014-03-13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m/>
    <m/>
    <s v="FP Both"/>
    <x v="1"/>
    <x v="1"/>
    <n v="1"/>
    <x v="17"/>
  </r>
  <r>
    <n v="2810"/>
    <x v="256"/>
    <x v="256"/>
    <x v="238"/>
    <x v="3"/>
    <x v="19"/>
    <n v="254"/>
    <x v="2"/>
    <n v="1"/>
    <m/>
    <s v="Supplier"/>
    <m/>
    <x v="180"/>
    <s v="SIF 2013_WIK BATAM 14May13.xls"/>
    <s v=".xls"/>
    <d v="2014-03-13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m/>
    <m/>
    <s v="FP Both"/>
    <x v="1"/>
    <x v="1"/>
    <n v="1"/>
    <x v="17"/>
  </r>
  <r>
    <n v="2800"/>
    <x v="256"/>
    <x v="256"/>
    <x v="238"/>
    <x v="3"/>
    <x v="19"/>
    <n v="253"/>
    <x v="2"/>
    <m/>
    <m/>
    <s v="Supplier"/>
    <m/>
    <x v="117"/>
    <s v="SIF 2013 - WIK.xls"/>
    <s v=".xls"/>
    <d v="2014-03-13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m/>
    <m/>
    <m/>
    <s v="FP Both"/>
    <x v="1"/>
    <x v="1"/>
    <n v="1"/>
    <x v="17"/>
  </r>
  <r>
    <n v="2803"/>
    <x v="255"/>
    <x v="255"/>
    <x v="238"/>
    <x v="3"/>
    <x v="19"/>
    <n v="255"/>
    <x v="2"/>
    <m/>
    <m/>
    <s v="Supplier"/>
    <m/>
    <x v="559"/>
    <s v="WIK_SIF 2012_29Feb12.xls"/>
    <s v=".xls"/>
    <d v="2014-03-13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1"/>
    <x v="1"/>
    <n v="1"/>
    <x v="47"/>
  </r>
  <r>
    <n v="2809"/>
    <x v="255"/>
    <x v="255"/>
    <x v="238"/>
    <x v="3"/>
    <x v="19"/>
    <n v="254"/>
    <x v="2"/>
    <n v="1"/>
    <m/>
    <s v="Supplier"/>
    <m/>
    <x v="180"/>
    <s v="SIF 2013_WIK BATAM 14May13.xls"/>
    <s v=".xls"/>
    <d v="2014-03-13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1"/>
    <x v="1"/>
    <n v="1"/>
    <x v="47"/>
  </r>
  <r>
    <n v="2799"/>
    <x v="255"/>
    <x v="255"/>
    <x v="238"/>
    <x v="3"/>
    <x v="19"/>
    <n v="253"/>
    <x v="2"/>
    <m/>
    <m/>
    <s v="Supplier"/>
    <m/>
    <x v="117"/>
    <s v="SIF 2013 - WIK.xls"/>
    <s v=".xls"/>
    <d v="2014-03-13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2"/>
    <x v="0"/>
    <x v="0"/>
    <m/>
    <m/>
    <m/>
    <n v="0"/>
    <m/>
    <m/>
    <s v="FP"/>
    <s v="CP"/>
    <s v="SP"/>
    <s v="MOULD"/>
    <s v="FP CP SP MOULD Both"/>
    <x v="1"/>
    <x v="1"/>
    <n v="1"/>
    <x v="47"/>
  </r>
  <r>
    <n v="1938"/>
    <x v="257"/>
    <x v="257"/>
    <x v="239"/>
    <x v="4"/>
    <x v="17"/>
    <n v="1889"/>
    <x v="4"/>
    <m/>
    <m/>
    <s v="Supplier"/>
    <m/>
    <x v="495"/>
    <s v="Wing_Keung_agreement_MAY2012.pdf"/>
    <s v=".pdf"/>
    <d v="2014-04-10T00:00:00"/>
    <s v="as\afok"/>
    <m/>
    <s v="V7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n v="1"/>
    <m/>
    <m/>
    <n v="1"/>
    <m/>
    <m/>
    <s v="FP"/>
    <s v="CP"/>
    <m/>
    <s v="MOULD"/>
    <s v="FP CP MOULD Both"/>
    <x v="0"/>
    <x v="1"/>
    <m/>
    <x v="54"/>
  </r>
  <r>
    <n v="1934"/>
    <x v="257"/>
    <x v="257"/>
    <x v="239"/>
    <x v="4"/>
    <x v="17"/>
    <n v="1885"/>
    <x v="4"/>
    <m/>
    <m/>
    <s v="Supplier"/>
    <m/>
    <x v="859"/>
    <s v="Wing_Keung_Purchase_Agreement_2008.pdf"/>
    <s v=".pdf"/>
    <d v="2014-04-10T00:00:00"/>
    <s v="as\afok"/>
    <m/>
    <s v="V5"/>
    <s v="37D6 - Within 60 days Due net on posting date 37D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n v="1"/>
    <m/>
    <m/>
    <n v="1"/>
    <m/>
    <m/>
    <s v="FP"/>
    <s v="CP"/>
    <m/>
    <s v="MOULD"/>
    <s v="FP CP MOULD Both"/>
    <x v="0"/>
    <x v="1"/>
    <m/>
    <x v="54"/>
  </r>
  <r>
    <n v="1940"/>
    <x v="257"/>
    <x v="257"/>
    <x v="239"/>
    <x v="4"/>
    <x v="17"/>
    <n v="1891"/>
    <x v="5"/>
    <m/>
    <m/>
    <s v="Supplier"/>
    <m/>
    <x v="307"/>
    <s v="Wing_Keung_agreement_MAY2012.pdf"/>
    <s v=".pdf"/>
    <d v="2014-04-10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n v="1"/>
    <m/>
    <n v="1"/>
    <m/>
    <m/>
    <s v="FP"/>
    <s v="CP"/>
    <m/>
    <s v="MOULD"/>
    <s v="FP CP MOULD Both"/>
    <x v="0"/>
    <x v="1"/>
    <m/>
    <x v="54"/>
  </r>
  <r>
    <n v="1935"/>
    <x v="257"/>
    <x v="257"/>
    <x v="239"/>
    <x v="4"/>
    <x v="17"/>
    <n v="1886"/>
    <x v="5"/>
    <m/>
    <m/>
    <s v="Supplier"/>
    <m/>
    <x v="860"/>
    <s v="Wing_Keung_Purchase_Agreement_2008.pdf"/>
    <s v=".pdf"/>
    <d v="2014-04-10T00:00:00"/>
    <s v="as\afok"/>
    <m/>
    <s v="FHA 00 014 ind.07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n v="1"/>
    <m/>
    <n v="1"/>
    <m/>
    <m/>
    <s v="FP"/>
    <s v="CP"/>
    <m/>
    <s v="MOULD"/>
    <s v="FP CP MOULD Both"/>
    <x v="0"/>
    <x v="1"/>
    <m/>
    <x v="54"/>
  </r>
  <r>
    <n v="1941"/>
    <x v="257"/>
    <x v="257"/>
    <x v="239"/>
    <x v="4"/>
    <x v="17"/>
    <n v="1892"/>
    <x v="6"/>
    <m/>
    <m/>
    <s v="Supplier"/>
    <m/>
    <x v="307"/>
    <s v="Wing_Keung_agreement_MAY2012.pdf"/>
    <s v=".pdf"/>
    <d v="2014-04-10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n v="1"/>
    <n v="1"/>
    <m/>
    <m/>
    <s v="FP"/>
    <s v="CP"/>
    <m/>
    <s v="MOULD"/>
    <s v="FP CP MOULD Both"/>
    <x v="0"/>
    <x v="1"/>
    <m/>
    <x v="54"/>
  </r>
  <r>
    <n v="1949"/>
    <x v="257"/>
    <x v="257"/>
    <x v="239"/>
    <x v="4"/>
    <x v="17"/>
    <n v="1900"/>
    <x v="6"/>
    <m/>
    <m/>
    <s v="Supplier"/>
    <m/>
    <x v="538"/>
    <s v="Wing_Keung_SupplyChain_V10.pdf"/>
    <s v=".pdf"/>
    <d v="2014-04-10T00:00:00"/>
    <s v="as\afok"/>
    <m/>
    <s v="V10"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n v="1"/>
    <n v="1"/>
    <n v="1"/>
    <m/>
    <s v="FP"/>
    <s v="CP"/>
    <m/>
    <s v="MOULD"/>
    <s v="FP CP MOULD Both"/>
    <x v="0"/>
    <x v="1"/>
    <m/>
    <x v="54"/>
  </r>
  <r>
    <n v="1933"/>
    <x v="257"/>
    <x v="257"/>
    <x v="239"/>
    <x v="4"/>
    <x v="17"/>
    <n v="1884"/>
    <x v="7"/>
    <m/>
    <m/>
    <s v="Supplier"/>
    <m/>
    <x v="103"/>
    <s v="WING_KEUNG_Env_Declaration_29Mar2010.xls"/>
    <s v=".xls"/>
    <d v="2014-04-10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s v="FP"/>
    <s v="CP"/>
    <m/>
    <s v="MOULD"/>
    <s v="FP CP MOULD Both"/>
    <x v="0"/>
    <x v="1"/>
    <m/>
    <x v="54"/>
  </r>
  <r>
    <n v="1939"/>
    <x v="257"/>
    <x v="257"/>
    <x v="239"/>
    <x v="4"/>
    <x v="17"/>
    <n v="1890"/>
    <x v="7"/>
    <m/>
    <m/>
    <s v="Supplier"/>
    <m/>
    <x v="317"/>
    <s v="Wing_Keung_agreement_MAY2012.pdf"/>
    <s v=".pdf"/>
    <d v="2014-04-10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s v="FP"/>
    <s v="CP"/>
    <m/>
    <s v="MOULD"/>
    <s v="FP CP MOULD Both"/>
    <x v="0"/>
    <x v="1"/>
    <m/>
    <x v="54"/>
  </r>
  <r>
    <n v="1942"/>
    <x v="257"/>
    <x v="257"/>
    <x v="239"/>
    <x v="4"/>
    <x v="17"/>
    <n v="1893"/>
    <x v="14"/>
    <m/>
    <m/>
    <s v="Supplier"/>
    <d v="2012-05-14T00:00:00"/>
    <x v="861"/>
    <s v="Wing_Keung_ISO 9001_2008.pdf"/>
    <s v=".pdf"/>
    <d v="2014-04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s v="FP"/>
    <s v="CP"/>
    <m/>
    <s v="MOULD"/>
    <s v="FP CP MOULD Both"/>
    <x v="0"/>
    <x v="1"/>
    <m/>
    <x v="54"/>
  </r>
  <r>
    <n v="1943"/>
    <x v="257"/>
    <x v="257"/>
    <x v="239"/>
    <x v="4"/>
    <x v="17"/>
    <n v="1894"/>
    <x v="8"/>
    <m/>
    <m/>
    <s v="Supplier"/>
    <m/>
    <x v="842"/>
    <s v="Wing_Keung_Responsible_Purchasing_Charter_16Nov12.pdf"/>
    <s v=".pdf"/>
    <d v="2014-04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s v="FP"/>
    <s v="CP"/>
    <m/>
    <s v="MOULD"/>
    <s v="FP CP MOULD Both"/>
    <x v="0"/>
    <x v="1"/>
    <m/>
    <x v="54"/>
  </r>
  <r>
    <n v="1944"/>
    <x v="257"/>
    <x v="257"/>
    <x v="239"/>
    <x v="4"/>
    <x v="17"/>
    <n v="1895"/>
    <x v="1"/>
    <m/>
    <m/>
    <s v="Supplier"/>
    <m/>
    <x v="586"/>
    <s v="SEF-Wing Keung-20121126-85.XLSX"/>
    <s v=".xlsx"/>
    <d v="2014-04-10T00:00:00"/>
    <s v="as\afok"/>
    <m/>
    <s v="2012"/>
    <m/>
    <m/>
    <m/>
    <m/>
    <m/>
    <x v="0"/>
    <x v="0"/>
    <x v="0"/>
    <x v="14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s v="FP"/>
    <s v="CP"/>
    <m/>
    <s v="MOULD"/>
    <s v="FP CP MOULD Both"/>
    <x v="0"/>
    <x v="1"/>
    <m/>
    <x v="54"/>
  </r>
  <r>
    <n v="1947"/>
    <x v="257"/>
    <x v="257"/>
    <x v="239"/>
    <x v="4"/>
    <x v="17"/>
    <n v="1898"/>
    <x v="1"/>
    <m/>
    <m/>
    <s v="Supplier"/>
    <m/>
    <x v="271"/>
    <s v="SEF-Wing Keung-20130513-80.xlsx"/>
    <s v=".xlsx"/>
    <d v="2014-04-10T00:00:00"/>
    <s v="as\afok"/>
    <m/>
    <s v="2013"/>
    <m/>
    <m/>
    <m/>
    <m/>
    <m/>
    <x v="0"/>
    <x v="0"/>
    <x v="0"/>
    <x v="15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s v="FP"/>
    <s v="CP"/>
    <m/>
    <s v="MOULD"/>
    <s v="FP CP MOULD Both"/>
    <x v="0"/>
    <x v="1"/>
    <m/>
    <x v="54"/>
  </r>
  <r>
    <n v="1937"/>
    <x v="257"/>
    <x v="257"/>
    <x v="239"/>
    <x v="4"/>
    <x v="17"/>
    <n v="1888"/>
    <x v="1"/>
    <m/>
    <m/>
    <s v="Supplier"/>
    <m/>
    <x v="288"/>
    <s v="SEF-Wing Keung-28AUG12-85.XLSX"/>
    <s v=".xlsx"/>
    <d v="2014-04-10T00:00:00"/>
    <s v="as\afok"/>
    <m/>
    <s v="2012"/>
    <m/>
    <m/>
    <m/>
    <m/>
    <m/>
    <x v="0"/>
    <x v="0"/>
    <x v="0"/>
    <x v="14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s v="FP"/>
    <s v="CP"/>
    <m/>
    <s v="MOULD"/>
    <s v="FP CP MOULD Both"/>
    <x v="0"/>
    <x v="1"/>
    <m/>
    <x v="54"/>
  </r>
  <r>
    <n v="1936"/>
    <x v="257"/>
    <x v="257"/>
    <x v="239"/>
    <x v="4"/>
    <x v="17"/>
    <n v="1887"/>
    <x v="2"/>
    <m/>
    <m/>
    <s v="Supplier"/>
    <m/>
    <x v="31"/>
    <s v="Wing Keung_SIF2012_18Apr12.xlsx"/>
    <s v=".xlsx"/>
    <d v="2014-04-10T00:00:00"/>
    <s v="as\afok"/>
    <m/>
    <s v="2012"/>
    <m/>
    <m/>
    <m/>
    <m/>
    <m/>
    <x v="0"/>
    <x v="0"/>
    <x v="0"/>
    <x v="0"/>
    <x v="1"/>
    <x v="155"/>
    <x v="207"/>
    <x v="106"/>
    <x v="177"/>
    <x v="176"/>
    <x v="0"/>
    <x v="87"/>
    <x v="10"/>
    <x v="49"/>
    <x v="7"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54"/>
  </r>
  <r>
    <n v="1946"/>
    <x v="257"/>
    <x v="257"/>
    <x v="239"/>
    <x v="4"/>
    <x v="17"/>
    <n v="1897"/>
    <x v="2"/>
    <n v="1"/>
    <m/>
    <s v="Supplier"/>
    <m/>
    <x v="169"/>
    <s v="Wing Keung_SIF2013.xlsx"/>
    <s v=".xlsx"/>
    <d v="2014-04-10T00:00:00"/>
    <s v="as\afok"/>
    <m/>
    <s v="2013"/>
    <m/>
    <m/>
    <m/>
    <m/>
    <m/>
    <x v="0"/>
    <x v="0"/>
    <x v="0"/>
    <x v="0"/>
    <x v="2"/>
    <x v="25"/>
    <x v="208"/>
    <x v="196"/>
    <x v="97"/>
    <x v="177"/>
    <x v="0"/>
    <x v="108"/>
    <x v="102"/>
    <x v="7"/>
    <x v="48"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54"/>
  </r>
  <r>
    <n v="1945"/>
    <x v="257"/>
    <x v="257"/>
    <x v="239"/>
    <x v="4"/>
    <x v="17"/>
    <n v="1896"/>
    <x v="3"/>
    <m/>
    <m/>
    <s v="Supplier"/>
    <m/>
    <x v="131"/>
    <s v="_SPR-Wing Keung-2012M10-1.pptx"/>
    <s v=".pptx"/>
    <d v="2014-04-10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s v="FP"/>
    <s v="CP"/>
    <m/>
    <s v="MOULD"/>
    <s v="FP CP MOULD Both"/>
    <x v="0"/>
    <x v="1"/>
    <m/>
    <x v="54"/>
  </r>
  <r>
    <n v="1948"/>
    <x v="257"/>
    <x v="257"/>
    <x v="239"/>
    <x v="4"/>
    <x v="17"/>
    <n v="1899"/>
    <x v="3"/>
    <m/>
    <m/>
    <s v="Supplier"/>
    <m/>
    <x v="429"/>
    <s v="_SPR-Wing Keung-20130603.pptx"/>
    <s v=".pptx"/>
    <d v="2014-04-10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s v="FP"/>
    <s v="CP"/>
    <m/>
    <s v="MOULD"/>
    <s v="FP CP MOULD Both"/>
    <x v="0"/>
    <x v="1"/>
    <m/>
    <x v="54"/>
  </r>
  <r>
    <n v="2699"/>
    <x v="258"/>
    <x v="258"/>
    <x v="240"/>
    <x v="0"/>
    <x v="0"/>
    <n v="2542"/>
    <x v="4"/>
    <m/>
    <m/>
    <s v="Supplier"/>
    <m/>
    <x v="862"/>
    <s v="Winnington_General Agreement_5Dec2011.pdf"/>
    <s v=".pdf"/>
    <d v="2014-04-24T00:00:00"/>
    <s v="as\afok"/>
    <m/>
    <s v="FHA 00 016 ind.10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n v="1"/>
    <m/>
    <m/>
    <n v="1"/>
    <m/>
    <m/>
    <s v="FP"/>
    <s v="CP"/>
    <m/>
    <s v="MOULD"/>
    <s v="FP CP MOULD Both"/>
    <x v="0"/>
    <x v="1"/>
    <m/>
    <x v="15"/>
  </r>
  <r>
    <n v="2706"/>
    <x v="258"/>
    <x v="258"/>
    <x v="240"/>
    <x v="0"/>
    <x v="0"/>
    <n v="2549"/>
    <x v="4"/>
    <m/>
    <m/>
    <s v="Supplier"/>
    <m/>
    <x v="863"/>
    <s v="Winnington FHA000016 ind. 09 20090216.pdf"/>
    <s v=".pdf"/>
    <d v="2014-04-24T00:00:00"/>
    <s v="as\afok"/>
    <m/>
    <s v="FHA 00 016 ind.09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n v="1"/>
    <m/>
    <m/>
    <n v="1"/>
    <n v="1"/>
    <m/>
    <s v="FP"/>
    <s v="CP"/>
    <m/>
    <s v="MOULD"/>
    <s v="FP CP MOULD Both"/>
    <x v="0"/>
    <x v="1"/>
    <m/>
    <x v="15"/>
  </r>
  <r>
    <n v="2702"/>
    <x v="258"/>
    <x v="258"/>
    <x v="240"/>
    <x v="0"/>
    <x v="0"/>
    <n v="2545"/>
    <x v="5"/>
    <m/>
    <m/>
    <s v="Supplier"/>
    <m/>
    <x v="509"/>
    <s v="Winnington_General Agreement_5Dec2011.pdf"/>
    <s v=".pdf"/>
    <d v="2014-04-24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n v="1"/>
    <m/>
    <n v="1"/>
    <m/>
    <m/>
    <s v="FP"/>
    <s v="CP"/>
    <m/>
    <s v="MOULD"/>
    <s v="FP CP MOULD Both"/>
    <x v="0"/>
    <x v="1"/>
    <m/>
    <x v="15"/>
  </r>
  <r>
    <n v="2701"/>
    <x v="258"/>
    <x v="258"/>
    <x v="240"/>
    <x v="0"/>
    <x v="0"/>
    <n v="2544"/>
    <x v="6"/>
    <m/>
    <m/>
    <s v="Supplier"/>
    <m/>
    <x v="864"/>
    <s v="Winnington_General Agreement_5Dec2011.pdf"/>
    <s v=".pdf"/>
    <d v="2014-04-24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n v="1"/>
    <n v="1"/>
    <m/>
    <m/>
    <s v="FP"/>
    <s v="CP"/>
    <m/>
    <s v="MOULD"/>
    <s v="FP CP MOULD Both"/>
    <x v="0"/>
    <x v="1"/>
    <m/>
    <x v="15"/>
  </r>
  <r>
    <n v="2703"/>
    <x v="258"/>
    <x v="258"/>
    <x v="240"/>
    <x v="0"/>
    <x v="0"/>
    <n v="2546"/>
    <x v="10"/>
    <m/>
    <m/>
    <s v="Supplier"/>
    <m/>
    <x v="834"/>
    <s v="Winnington_General Agreement_5Dec2011.pdf"/>
    <s v=".pdf"/>
    <d v="2014-04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s v="CP"/>
    <m/>
    <s v="MOULD"/>
    <s v="FP CP MOULD Both"/>
    <x v="0"/>
    <x v="1"/>
    <m/>
    <x v="15"/>
  </r>
  <r>
    <n v="2700"/>
    <x v="258"/>
    <x v="258"/>
    <x v="240"/>
    <x v="0"/>
    <x v="0"/>
    <n v="2543"/>
    <x v="7"/>
    <m/>
    <m/>
    <s v="Supplier"/>
    <m/>
    <x v="509"/>
    <s v="Winnington_General Agreement_5Dec2011.pdf"/>
    <s v=".pdf"/>
    <d v="2014-04-24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s v="CP"/>
    <m/>
    <s v="MOULD"/>
    <s v="FP CP MOULD Both"/>
    <x v="0"/>
    <x v="1"/>
    <m/>
    <x v="15"/>
  </r>
  <r>
    <n v="2698"/>
    <x v="258"/>
    <x v="258"/>
    <x v="240"/>
    <x v="0"/>
    <x v="0"/>
    <n v="2541"/>
    <x v="15"/>
    <m/>
    <m/>
    <s v="Supplier"/>
    <m/>
    <x v="546"/>
    <s v="Winnington_Non-Disclosure_Statement_2010.pdf"/>
    <s v=".pdf"/>
    <d v="2014-04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s v="CP"/>
    <m/>
    <s v="MOULD"/>
    <s v="FP CP MOULD Both"/>
    <x v="0"/>
    <x v="1"/>
    <m/>
    <x v="15"/>
  </r>
  <r>
    <n v="2695"/>
    <x v="258"/>
    <x v="258"/>
    <x v="240"/>
    <x v="0"/>
    <x v="0"/>
    <n v="2538"/>
    <x v="8"/>
    <m/>
    <m/>
    <s v="Supplier"/>
    <m/>
    <x v="683"/>
    <s v="Purchasing Charter 2013.pdf"/>
    <s v=".pdf"/>
    <d v="2014-04-2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s v="CP"/>
    <m/>
    <s v="MOULD"/>
    <s v="FP CP MOULD Both"/>
    <x v="0"/>
    <x v="1"/>
    <m/>
    <x v="15"/>
  </r>
  <r>
    <n v="2694"/>
    <x v="258"/>
    <x v="258"/>
    <x v="240"/>
    <x v="0"/>
    <x v="0"/>
    <n v="2537"/>
    <x v="1"/>
    <m/>
    <m/>
    <s v="Supplier"/>
    <m/>
    <x v="267"/>
    <s v="SEF - Winnington 2013.xlsx"/>
    <s v=".xlsx"/>
    <d v="2014-04-24T00:00:00"/>
    <s v="as\afok"/>
    <m/>
    <s v="2013"/>
    <m/>
    <m/>
    <m/>
    <m/>
    <m/>
    <x v="0"/>
    <x v="0"/>
    <x v="0"/>
    <x v="23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s v="CP"/>
    <m/>
    <s v="MOULD"/>
    <s v="FP CP MOULD Both"/>
    <x v="0"/>
    <x v="1"/>
    <m/>
    <x v="15"/>
  </r>
  <r>
    <n v="2704"/>
    <x v="258"/>
    <x v="258"/>
    <x v="240"/>
    <x v="0"/>
    <x v="0"/>
    <n v="2547"/>
    <x v="1"/>
    <m/>
    <m/>
    <s v="Supplier"/>
    <m/>
    <x v="354"/>
    <s v="SEF 2012 - Winnington.xlsx"/>
    <s v=".xlsx"/>
    <d v="2014-04-24T00:00:00"/>
    <s v="as\afok"/>
    <m/>
    <s v="2012"/>
    <m/>
    <m/>
    <m/>
    <m/>
    <m/>
    <x v="0"/>
    <x v="0"/>
    <x v="0"/>
    <x v="35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s v="CP"/>
    <m/>
    <s v="MOULD"/>
    <s v="FP CP MOULD Both"/>
    <x v="0"/>
    <x v="1"/>
    <m/>
    <x v="15"/>
  </r>
  <r>
    <n v="2697"/>
    <x v="258"/>
    <x v="258"/>
    <x v="240"/>
    <x v="0"/>
    <x v="0"/>
    <n v="2540"/>
    <x v="2"/>
    <m/>
    <m/>
    <s v="Supplier"/>
    <m/>
    <x v="506"/>
    <s v="Winnington_SIF2012_21Feb12.xls"/>
    <s v=".xls"/>
    <d v="2014-04-24T00:00:00"/>
    <s v="as\afok"/>
    <m/>
    <s v="2012"/>
    <m/>
    <m/>
    <m/>
    <m/>
    <m/>
    <x v="0"/>
    <x v="0"/>
    <x v="0"/>
    <x v="0"/>
    <x v="1"/>
    <x v="139"/>
    <x v="209"/>
    <x v="67"/>
    <x v="84"/>
    <x v="0"/>
    <x v="30"/>
    <x v="33"/>
    <x v="103"/>
    <x v="91"/>
    <x v="0"/>
    <s v="FP panel"/>
    <x v="1"/>
    <x v="3"/>
    <x v="0"/>
    <x v="0"/>
    <m/>
    <m/>
    <m/>
    <n v="1"/>
    <m/>
    <m/>
    <s v="FP"/>
    <s v="CP"/>
    <m/>
    <s v="MOULD"/>
    <s v="FP CP MOULD Both"/>
    <x v="1"/>
    <x v="1"/>
    <m/>
    <x v="15"/>
  </r>
  <r>
    <n v="2696"/>
    <x v="258"/>
    <x v="258"/>
    <x v="240"/>
    <x v="0"/>
    <x v="0"/>
    <n v="2539"/>
    <x v="2"/>
    <m/>
    <m/>
    <s v="Supplier"/>
    <m/>
    <x v="225"/>
    <s v="Winnington_SIF 2013.xls"/>
    <s v=".xls"/>
    <d v="2014-04-24T00:00:00"/>
    <s v="as\afok"/>
    <m/>
    <s v="2013"/>
    <m/>
    <m/>
    <m/>
    <m/>
    <m/>
    <x v="0"/>
    <x v="0"/>
    <x v="0"/>
    <x v="0"/>
    <x v="2"/>
    <x v="86"/>
    <x v="210"/>
    <x v="197"/>
    <x v="32"/>
    <x v="93"/>
    <x v="30"/>
    <x v="33"/>
    <x v="29"/>
    <x v="92"/>
    <x v="84"/>
    <s v="FP panel"/>
    <x v="1"/>
    <x v="3"/>
    <x v="0"/>
    <x v="0"/>
    <m/>
    <m/>
    <m/>
    <n v="1"/>
    <m/>
    <m/>
    <s v="FP"/>
    <s v="CP"/>
    <m/>
    <s v="MOULD"/>
    <s v="FP CP MOULD Both"/>
    <x v="1"/>
    <x v="1"/>
    <m/>
    <x v="15"/>
  </r>
  <r>
    <n v="2705"/>
    <x v="258"/>
    <x v="258"/>
    <x v="240"/>
    <x v="0"/>
    <x v="0"/>
    <n v="2548"/>
    <x v="3"/>
    <m/>
    <m/>
    <s v="Supplier"/>
    <m/>
    <x v="749"/>
    <s v="SPR - Winnington 2012 12-06-19.ppt"/>
    <s v=".ppt"/>
    <d v="2014-04-24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s v="CP"/>
    <m/>
    <s v="MOULD"/>
    <s v="FP CP MOULD Both"/>
    <x v="0"/>
    <x v="1"/>
    <m/>
    <x v="15"/>
  </r>
  <r>
    <n v="2568"/>
    <x v="259"/>
    <x v="259"/>
    <x v="241"/>
    <x v="0"/>
    <x v="9"/>
    <n v="2417"/>
    <x v="4"/>
    <m/>
    <m/>
    <s v="Supplier"/>
    <m/>
    <x v="865"/>
    <s v="Wisefame_Purchase Agreement (ODM)_4May11.pdf"/>
    <s v=".pdf"/>
    <d v="2014-04-23T00:00:00"/>
    <s v="as\afok"/>
    <m/>
    <s v="FHA6E022"/>
    <s v="37E3 - 30 days end of month due net on posting date 37E3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m/>
    <s v="SP"/>
    <s v="MOULD"/>
    <s v="FP SP MOULD "/>
    <x v="0"/>
    <x v="1"/>
    <m/>
    <x v="10"/>
  </r>
  <r>
    <n v="2569"/>
    <x v="259"/>
    <x v="259"/>
    <x v="241"/>
    <x v="0"/>
    <x v="9"/>
    <n v="2418"/>
    <x v="5"/>
    <m/>
    <m/>
    <s v="Supplier"/>
    <m/>
    <x v="865"/>
    <s v="Wisefame_Purchase Agreement (ODM)_4May11.pdf"/>
    <s v=".pdf"/>
    <d v="2014-04-23T00:00:00"/>
    <s v="as\afok"/>
    <m/>
    <s v="FHA 00 014"/>
    <m/>
    <m/>
    <m/>
    <n v="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m/>
    <s v="SP"/>
    <s v="MOULD"/>
    <s v="FP SP MOULD "/>
    <x v="0"/>
    <x v="1"/>
    <m/>
    <x v="10"/>
  </r>
  <r>
    <n v="2570"/>
    <x v="259"/>
    <x v="259"/>
    <x v="241"/>
    <x v="0"/>
    <x v="9"/>
    <n v="2419"/>
    <x v="6"/>
    <m/>
    <m/>
    <s v="Supplier"/>
    <m/>
    <x v="866"/>
    <s v="Wisefame_Purchase Agreement (ODM)_4May11.pdf"/>
    <s v=".pdf"/>
    <d v="2014-04-23T00:00:00"/>
    <s v="as\afok"/>
    <m/>
    <m/>
    <m/>
    <n v="60"/>
    <n v="0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m/>
    <s v="SP"/>
    <s v="MOULD"/>
    <s v="FP SP MOULD "/>
    <x v="0"/>
    <x v="1"/>
    <m/>
    <x v="10"/>
  </r>
  <r>
    <n v="2572"/>
    <x v="259"/>
    <x v="259"/>
    <x v="241"/>
    <x v="0"/>
    <x v="9"/>
    <n v="2421"/>
    <x v="11"/>
    <m/>
    <m/>
    <s v="Supplier"/>
    <m/>
    <x v="867"/>
    <s v="Wisefame_Exclusivity_4May11.pdf"/>
    <s v=".pdf"/>
    <d v="2014-04-23T00:00:00"/>
    <s v="as\afok"/>
    <m/>
    <s v="FRD 6E 030 ind0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10"/>
  </r>
  <r>
    <n v="2571"/>
    <x v="259"/>
    <x v="259"/>
    <x v="241"/>
    <x v="0"/>
    <x v="9"/>
    <n v="2420"/>
    <x v="12"/>
    <m/>
    <m/>
    <s v="Supplier"/>
    <m/>
    <x v="868"/>
    <s v="Wisefame_IP_4May11.pdf"/>
    <s v=".pdf"/>
    <d v="2014-04-2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10"/>
  </r>
  <r>
    <n v="2573"/>
    <x v="259"/>
    <x v="259"/>
    <x v="241"/>
    <x v="0"/>
    <x v="9"/>
    <n v="2422"/>
    <x v="1"/>
    <m/>
    <m/>
    <s v="Supplier"/>
    <m/>
    <x v="47"/>
    <s v="SEF - Wisefame 2012.xlsx"/>
    <s v=".xlsx"/>
    <d v="2014-04-23T00:00:00"/>
    <s v="as\afok"/>
    <m/>
    <s v="2012"/>
    <m/>
    <m/>
    <m/>
    <m/>
    <m/>
    <x v="0"/>
    <x v="0"/>
    <x v="0"/>
    <x v="33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n v="1"/>
    <m/>
    <s v="FP"/>
    <m/>
    <s v="SP"/>
    <s v="MOULD"/>
    <s v="FP SP MOULD "/>
    <x v="0"/>
    <x v="1"/>
    <m/>
    <x v="10"/>
  </r>
  <r>
    <n v="2566"/>
    <x v="259"/>
    <x v="259"/>
    <x v="241"/>
    <x v="0"/>
    <x v="9"/>
    <n v="2415"/>
    <x v="1"/>
    <m/>
    <m/>
    <s v="Supplier"/>
    <m/>
    <x v="223"/>
    <s v="SEF Wisefame 20130809.xlsx"/>
    <s v=".xlsx"/>
    <d v="2014-04-23T00:00:00"/>
    <s v="as\afok"/>
    <m/>
    <s v="2013"/>
    <m/>
    <m/>
    <m/>
    <m/>
    <m/>
    <x v="0"/>
    <x v="0"/>
    <x v="0"/>
    <x v="15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10"/>
  </r>
  <r>
    <n v="2567"/>
    <x v="259"/>
    <x v="259"/>
    <x v="241"/>
    <x v="0"/>
    <x v="9"/>
    <n v="2416"/>
    <x v="2"/>
    <n v="1"/>
    <m/>
    <s v="Supplier"/>
    <m/>
    <x v="225"/>
    <s v="Wisefame _SIF2013.xls"/>
    <s v=".xls"/>
    <d v="2014-04-23T00:00:00"/>
    <s v="as\afok"/>
    <m/>
    <s v="2013"/>
    <m/>
    <m/>
    <m/>
    <m/>
    <m/>
    <x v="0"/>
    <x v="0"/>
    <x v="0"/>
    <x v="0"/>
    <x v="2"/>
    <x v="69"/>
    <x v="127"/>
    <x v="58"/>
    <x v="96"/>
    <x v="89"/>
    <x v="23"/>
    <x v="6"/>
    <x v="103"/>
    <x v="6"/>
    <x v="9"/>
    <m/>
    <x v="0"/>
    <x v="0"/>
    <x v="0"/>
    <x v="0"/>
    <m/>
    <m/>
    <m/>
    <n v="1"/>
    <m/>
    <m/>
    <s v="FP"/>
    <m/>
    <s v="SP"/>
    <s v="MOULD"/>
    <s v="FP SP MOULD "/>
    <x v="3"/>
    <x v="1"/>
    <m/>
    <x v="10"/>
  </r>
  <r>
    <n v="1957"/>
    <x v="260"/>
    <x v="260"/>
    <x v="242"/>
    <x v="4"/>
    <x v="17"/>
    <n v="1908"/>
    <x v="4"/>
    <m/>
    <m/>
    <s v="Supplier"/>
    <m/>
    <x v="248"/>
    <s v="Agreement_WooFung_OCT12.pdf"/>
    <s v=".pdf"/>
    <d v="2014-04-10T00:00:00"/>
    <s v="as\afok"/>
    <m/>
    <s v="V7"/>
    <s v="37E7 - 75 days end of month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n v="1"/>
    <m/>
    <m/>
    <n v="1"/>
    <m/>
    <m/>
    <m/>
    <s v="CP"/>
    <s v="SP"/>
    <s v="MOULD"/>
    <s v="CP SP MOULD "/>
    <x v="0"/>
    <x v="1"/>
    <m/>
    <x v="7"/>
  </r>
  <r>
    <n v="1969"/>
    <x v="260"/>
    <x v="260"/>
    <x v="242"/>
    <x v="4"/>
    <x v="17"/>
    <n v="1920"/>
    <x v="4"/>
    <m/>
    <m/>
    <s v="Supplier"/>
    <m/>
    <x v="869"/>
    <s v="Woo_Fung_Purchase_Agreement_2008.pdf"/>
    <s v=".pdf"/>
    <d v="2014-04-10T00:00:00"/>
    <s v="as\afok"/>
    <m/>
    <s v="V5"/>
    <s v="37D6 - Within 60 days Due net on posting date 37D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n v="1"/>
    <m/>
    <m/>
    <n v="1"/>
    <m/>
    <m/>
    <m/>
    <s v="CP"/>
    <s v="SP"/>
    <s v="MOULD"/>
    <s v="CP SP MOULD "/>
    <x v="0"/>
    <x v="1"/>
    <m/>
    <x v="7"/>
  </r>
  <r>
    <n v="1958"/>
    <x v="260"/>
    <x v="260"/>
    <x v="242"/>
    <x v="4"/>
    <x v="17"/>
    <n v="1909"/>
    <x v="5"/>
    <m/>
    <m/>
    <s v="Supplier"/>
    <m/>
    <x v="870"/>
    <s v="Agreement_WooFung_OCT12.pdf"/>
    <s v=".pdf"/>
    <d v="2014-04-10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n v="1"/>
    <m/>
    <n v="1"/>
    <m/>
    <m/>
    <m/>
    <s v="CP"/>
    <s v="SP"/>
    <s v="MOULD"/>
    <s v="CP SP MOULD "/>
    <x v="0"/>
    <x v="1"/>
    <m/>
    <x v="7"/>
  </r>
  <r>
    <n v="1970"/>
    <x v="260"/>
    <x v="260"/>
    <x v="242"/>
    <x v="4"/>
    <x v="17"/>
    <n v="1921"/>
    <x v="5"/>
    <m/>
    <m/>
    <s v="Supplier"/>
    <m/>
    <x v="869"/>
    <s v="Woo_Fung_Purchase_Agreement_2008.pdf"/>
    <s v=".pdf"/>
    <d v="2014-04-10T00:00:00"/>
    <s v="as\afok"/>
    <m/>
    <s v="FHA 00 014 ind.07"/>
    <m/>
    <m/>
    <m/>
    <n v="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n v="1"/>
    <m/>
    <n v="1"/>
    <n v="1"/>
    <m/>
    <m/>
    <s v="CP"/>
    <s v="SP"/>
    <s v="MOULD"/>
    <s v="CP SP MOULD "/>
    <x v="0"/>
    <x v="1"/>
    <m/>
    <x v="7"/>
  </r>
  <r>
    <n v="1959"/>
    <x v="260"/>
    <x v="260"/>
    <x v="242"/>
    <x v="4"/>
    <x v="17"/>
    <n v="1910"/>
    <x v="6"/>
    <m/>
    <m/>
    <s v="Supplier"/>
    <m/>
    <x v="870"/>
    <s v="Agreement_WooFung_OCT12.pdf"/>
    <s v=".pdf"/>
    <d v="2014-04-10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n v="1"/>
    <n v="1"/>
    <m/>
    <m/>
    <m/>
    <s v="CP"/>
    <s v="SP"/>
    <s v="MOULD"/>
    <s v="CP SP MOULD "/>
    <x v="0"/>
    <x v="1"/>
    <m/>
    <x v="7"/>
  </r>
  <r>
    <n v="1960"/>
    <x v="260"/>
    <x v="260"/>
    <x v="242"/>
    <x v="4"/>
    <x v="17"/>
    <n v="1911"/>
    <x v="10"/>
    <m/>
    <m/>
    <s v="Supplier"/>
    <m/>
    <x v="871"/>
    <s v="Agreement_WooFung_OCT12.pdf"/>
    <s v=".pdf"/>
    <d v="2014-04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s v="SP"/>
    <s v="MOULD"/>
    <s v="CP SP MOULD "/>
    <x v="0"/>
    <x v="1"/>
    <m/>
    <x v="7"/>
  </r>
  <r>
    <n v="1956"/>
    <x v="260"/>
    <x v="260"/>
    <x v="242"/>
    <x v="4"/>
    <x v="17"/>
    <n v="1907"/>
    <x v="7"/>
    <m/>
    <m/>
    <s v="Supplier"/>
    <m/>
    <x v="248"/>
    <s v="Woo_Fung_Environnement_Declaration2011.xlsx"/>
    <s v=".xlsx"/>
    <d v="2014-04-10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s v="SP"/>
    <s v="MOULD"/>
    <s v="CP SP MOULD "/>
    <x v="0"/>
    <x v="1"/>
    <m/>
    <x v="7"/>
  </r>
  <r>
    <n v="1955"/>
    <x v="260"/>
    <x v="260"/>
    <x v="242"/>
    <x v="4"/>
    <x v="17"/>
    <n v="1906"/>
    <x v="14"/>
    <m/>
    <m/>
    <s v="Supplier"/>
    <d v="2012-10-05T00:00:00"/>
    <x v="872"/>
    <s v="Woo Fung_ISO9001_07Sep2010.pdf"/>
    <s v=".pdf"/>
    <d v="2014-04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s v="SP"/>
    <s v="MOULD"/>
    <s v="CP SP MOULD "/>
    <x v="0"/>
    <x v="1"/>
    <m/>
    <x v="7"/>
  </r>
  <r>
    <n v="1964"/>
    <x v="260"/>
    <x v="260"/>
    <x v="242"/>
    <x v="4"/>
    <x v="17"/>
    <n v="1915"/>
    <x v="9"/>
    <m/>
    <m/>
    <s v="Product / Project"/>
    <m/>
    <x v="846"/>
    <s v="LOC_Woo_Fung(Tokyo_Project).pdf"/>
    <s v=".pdf"/>
    <d v="2014-04-10T00:00:00"/>
    <s v="as\afok"/>
    <m/>
    <m/>
    <m/>
    <m/>
    <m/>
    <m/>
    <s v="Tokyo"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s v="SP"/>
    <s v="MOULD"/>
    <s v="CP SP MOULD "/>
    <x v="0"/>
    <x v="1"/>
    <m/>
    <x v="7"/>
  </r>
  <r>
    <n v="1965"/>
    <x v="260"/>
    <x v="260"/>
    <x v="242"/>
    <x v="4"/>
    <x v="17"/>
    <n v="1916"/>
    <x v="9"/>
    <m/>
    <m/>
    <s v="Product / Project"/>
    <m/>
    <x v="846"/>
    <s v="LOC_Woo_fung(Rome_Project).pdf"/>
    <s v=".pdf"/>
    <d v="2014-04-10T00:00:00"/>
    <s v="as\afok"/>
    <m/>
    <m/>
    <m/>
    <m/>
    <m/>
    <m/>
    <s v="Rome"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s v="SP"/>
    <s v="MOULD"/>
    <s v="CP SP MOULD "/>
    <x v="0"/>
    <x v="1"/>
    <m/>
    <x v="7"/>
  </r>
  <r>
    <n v="1966"/>
    <x v="260"/>
    <x v="260"/>
    <x v="242"/>
    <x v="4"/>
    <x v="17"/>
    <n v="1917"/>
    <x v="9"/>
    <m/>
    <m/>
    <s v="Product / Project"/>
    <m/>
    <x v="199"/>
    <s v="LOC_Woo_Fung(Nara_Project).pdf"/>
    <s v=".pdf"/>
    <d v="2014-04-10T00:00:00"/>
    <s v="as\afok"/>
    <m/>
    <m/>
    <m/>
    <m/>
    <m/>
    <m/>
    <s v="Nara"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s v="SP"/>
    <s v="MOULD"/>
    <s v="CP SP MOULD "/>
    <x v="0"/>
    <x v="1"/>
    <m/>
    <x v="7"/>
  </r>
  <r>
    <n v="1963"/>
    <x v="260"/>
    <x v="260"/>
    <x v="242"/>
    <x v="4"/>
    <x v="17"/>
    <n v="1914"/>
    <x v="9"/>
    <m/>
    <m/>
    <s v="Product / Project"/>
    <m/>
    <x v="846"/>
    <s v="LOC_Woo_fung(Fresh2_Project).pdf"/>
    <s v=".pdf"/>
    <d v="2014-04-10T00:00:00"/>
    <s v="as\afok"/>
    <m/>
    <m/>
    <m/>
    <m/>
    <m/>
    <m/>
    <s v="Fresh2"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s v="SP"/>
    <s v="MOULD"/>
    <s v="CP SP MOULD "/>
    <x v="0"/>
    <x v="1"/>
    <m/>
    <x v="7"/>
  </r>
  <r>
    <n v="1954"/>
    <x v="260"/>
    <x v="260"/>
    <x v="242"/>
    <x v="4"/>
    <x v="17"/>
    <n v="1905"/>
    <x v="8"/>
    <m/>
    <m/>
    <s v="Supplier"/>
    <m/>
    <x v="93"/>
    <s v="Woo_Fung_Responsible_Purchasing_Charter_09Aug12.pdf"/>
    <s v=".pdf"/>
    <d v="2014-04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s v="SP"/>
    <s v="MOULD"/>
    <s v="CP SP MOULD "/>
    <x v="0"/>
    <x v="1"/>
    <m/>
    <x v="7"/>
  </r>
  <r>
    <n v="1951"/>
    <x v="260"/>
    <x v="260"/>
    <x v="242"/>
    <x v="4"/>
    <x v="17"/>
    <n v="1902"/>
    <x v="1"/>
    <m/>
    <m/>
    <s v="Supplier"/>
    <m/>
    <x v="873"/>
    <s v="SEF-Woo Fung-20130819-81.xlsx"/>
    <s v=".xlsx"/>
    <d v="2014-04-10T00:00:00"/>
    <s v="as\afok"/>
    <m/>
    <s v="2013"/>
    <m/>
    <m/>
    <m/>
    <m/>
    <m/>
    <x v="0"/>
    <x v="0"/>
    <x v="0"/>
    <x v="25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s v="SP"/>
    <s v="MOULD"/>
    <s v="CP SP MOULD "/>
    <x v="0"/>
    <x v="1"/>
    <m/>
    <x v="7"/>
  </r>
  <r>
    <n v="1953"/>
    <x v="260"/>
    <x v="260"/>
    <x v="242"/>
    <x v="4"/>
    <x v="17"/>
    <n v="1904"/>
    <x v="1"/>
    <m/>
    <m/>
    <s v="Supplier"/>
    <m/>
    <x v="586"/>
    <s v="SEF-Woo Fung-20121126-83.XLSX"/>
    <s v=".xlsx"/>
    <d v="2014-04-10T00:00:00"/>
    <s v="as\afok"/>
    <m/>
    <s v="2012"/>
    <m/>
    <m/>
    <m/>
    <m/>
    <m/>
    <x v="0"/>
    <x v="0"/>
    <x v="0"/>
    <x v="6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s v="SP"/>
    <s v="MOULD"/>
    <s v="CP SP MOULD "/>
    <x v="0"/>
    <x v="1"/>
    <m/>
    <x v="7"/>
  </r>
  <r>
    <n v="1962"/>
    <x v="260"/>
    <x v="260"/>
    <x v="242"/>
    <x v="4"/>
    <x v="17"/>
    <n v="1913"/>
    <x v="1"/>
    <m/>
    <m/>
    <s v="Supplier"/>
    <m/>
    <x v="428"/>
    <s v="SEF-Woo Fung-28JUN2012-82.XLSX"/>
    <s v=".xlsx"/>
    <d v="2014-04-10T00:00:00"/>
    <s v="as\afok"/>
    <m/>
    <s v="2012"/>
    <m/>
    <m/>
    <m/>
    <m/>
    <m/>
    <x v="0"/>
    <x v="0"/>
    <x v="0"/>
    <x v="17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s v="SP"/>
    <s v="MOULD"/>
    <s v="CP SP MOULD "/>
    <x v="0"/>
    <x v="1"/>
    <m/>
    <x v="7"/>
  </r>
  <r>
    <n v="1952"/>
    <x v="260"/>
    <x v="260"/>
    <x v="242"/>
    <x v="4"/>
    <x v="17"/>
    <n v="1903"/>
    <x v="2"/>
    <m/>
    <m/>
    <s v="Supplier"/>
    <m/>
    <x v="584"/>
    <s v="Woo Fung_SIF2013.xls"/>
    <s v=".xls"/>
    <d v="2014-04-10T00:00:00"/>
    <s v="as\afok"/>
    <m/>
    <s v="2013"/>
    <m/>
    <m/>
    <m/>
    <m/>
    <m/>
    <x v="0"/>
    <x v="0"/>
    <x v="0"/>
    <x v="0"/>
    <x v="2"/>
    <x v="80"/>
    <x v="110"/>
    <x v="0"/>
    <x v="89"/>
    <x v="82"/>
    <x v="0"/>
    <x v="0"/>
    <x v="0"/>
    <x v="0"/>
    <x v="0"/>
    <s v="CP Panel"/>
    <x v="0"/>
    <x v="0"/>
    <x v="1"/>
    <x v="1"/>
    <m/>
    <m/>
    <m/>
    <n v="1"/>
    <m/>
    <m/>
    <m/>
    <s v="CP"/>
    <s v="SP"/>
    <s v="MOULD"/>
    <s v="CP SP MOULD "/>
    <x v="2"/>
    <x v="1"/>
    <m/>
    <x v="7"/>
  </r>
  <r>
    <n v="1968"/>
    <x v="260"/>
    <x v="260"/>
    <x v="242"/>
    <x v="4"/>
    <x v="17"/>
    <n v="1919"/>
    <x v="2"/>
    <m/>
    <m/>
    <s v="Supplier"/>
    <m/>
    <x v="318"/>
    <s v="WOOFUNG_SIF2012_24May12.xlsx"/>
    <s v=".xlsx"/>
    <d v="2014-04-10T00:00:00"/>
    <s v="as\afok"/>
    <m/>
    <s v="2012"/>
    <m/>
    <m/>
    <m/>
    <m/>
    <m/>
    <x v="0"/>
    <x v="0"/>
    <x v="0"/>
    <x v="0"/>
    <x v="1"/>
    <x v="80"/>
    <x v="110"/>
    <x v="0"/>
    <x v="89"/>
    <x v="82"/>
    <x v="0"/>
    <x v="0"/>
    <x v="0"/>
    <x v="0"/>
    <x v="0"/>
    <s v="CP Panel"/>
    <x v="0"/>
    <x v="0"/>
    <x v="1"/>
    <x v="1"/>
    <m/>
    <m/>
    <m/>
    <n v="1"/>
    <m/>
    <m/>
    <m/>
    <s v="CP"/>
    <s v="SP"/>
    <s v="MOULD"/>
    <s v="CP SP MOULD "/>
    <x v="2"/>
    <x v="1"/>
    <m/>
    <x v="7"/>
  </r>
  <r>
    <n v="1967"/>
    <x v="260"/>
    <x v="260"/>
    <x v="242"/>
    <x v="4"/>
    <x v="17"/>
    <n v="1918"/>
    <x v="17"/>
    <m/>
    <m/>
    <s v="Supplier"/>
    <m/>
    <x v="723"/>
    <s v="Social Audit_letter_Woo_fung_SEP12.pdf"/>
    <s v=".pdf"/>
    <d v="2014-04-10T00:00:00"/>
    <s v="as\afok"/>
    <s v="Social Audit letter"/>
    <m/>
    <m/>
    <m/>
    <m/>
    <m/>
    <m/>
    <x v="1"/>
    <x v="1"/>
    <x v="1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s v="SP"/>
    <s v="MOULD"/>
    <s v="CP SP MOULD "/>
    <x v="0"/>
    <x v="1"/>
    <m/>
    <x v="7"/>
  </r>
  <r>
    <n v="1950"/>
    <x v="260"/>
    <x v="260"/>
    <x v="242"/>
    <x v="4"/>
    <x v="17"/>
    <n v="1901"/>
    <x v="3"/>
    <m/>
    <m/>
    <s v="Supplier"/>
    <m/>
    <x v="524"/>
    <s v="_SPR-Woo Fung-2013M08.pptx"/>
    <s v=".pptx"/>
    <d v="2014-04-10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s v="SP"/>
    <s v="MOULD"/>
    <s v="CP SP MOULD "/>
    <x v="0"/>
    <x v="1"/>
    <m/>
    <x v="7"/>
  </r>
  <r>
    <n v="1961"/>
    <x v="260"/>
    <x v="260"/>
    <x v="242"/>
    <x v="4"/>
    <x v="17"/>
    <n v="1912"/>
    <x v="3"/>
    <m/>
    <m/>
    <s v="Supplier"/>
    <m/>
    <x v="47"/>
    <s v="SPR-Woo Fung-02JUL2012.pptx"/>
    <s v=".pptx"/>
    <d v="2014-04-10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1"/>
    <m/>
    <m/>
    <m/>
    <s v="CP"/>
    <s v="SP"/>
    <s v="MOULD"/>
    <s v="CP SP MOULD "/>
    <x v="0"/>
    <x v="1"/>
    <m/>
    <x v="7"/>
  </r>
  <r>
    <n v="2264"/>
    <x v="261"/>
    <x v="261"/>
    <x v="243"/>
    <x v="4"/>
    <x v="8"/>
    <n v="2205"/>
    <x v="13"/>
    <m/>
    <m/>
    <s v="Supplier"/>
    <d v="2012-01-12T00:00:00"/>
    <x v="599"/>
    <s v="Wor_Biz_ISO14001_Jan_2012.JPG"/>
    <s v=".jpg"/>
    <d v="2014-04-1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0"/>
  </r>
  <r>
    <n v="2266"/>
    <x v="261"/>
    <x v="261"/>
    <x v="243"/>
    <x v="4"/>
    <x v="8"/>
    <n v="2207"/>
    <x v="9"/>
    <m/>
    <m/>
    <s v="Supplier"/>
    <m/>
    <x v="874"/>
    <s v="Letter of Confidentiality - Wor - Biz.pdf"/>
    <s v=".pdf"/>
    <d v="2014-04-1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0"/>
  </r>
  <r>
    <n v="2263"/>
    <x v="261"/>
    <x v="261"/>
    <x v="243"/>
    <x v="4"/>
    <x v="8"/>
    <n v="2204"/>
    <x v="8"/>
    <m/>
    <m/>
    <s v="Supplier"/>
    <m/>
    <x v="8"/>
    <s v="Wor_Biz_Responsible_Purchasing_Charter_08Aug12.pdf"/>
    <s v=".pdf"/>
    <d v="2014-04-1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0"/>
  </r>
  <r>
    <n v="2265"/>
    <x v="261"/>
    <x v="261"/>
    <x v="243"/>
    <x v="4"/>
    <x v="8"/>
    <n v="2206"/>
    <x v="1"/>
    <m/>
    <m/>
    <s v="Supplier"/>
    <m/>
    <x v="202"/>
    <s v="WOR_BIZ_Supplier_Evaluation_Apr_2012.xlsx"/>
    <s v=".xlsx"/>
    <d v="2014-04-16T00:00:00"/>
    <s v="as\afok"/>
    <m/>
    <s v="2012"/>
    <m/>
    <m/>
    <m/>
    <m/>
    <m/>
    <x v="0"/>
    <x v="0"/>
    <x v="0"/>
    <x v="1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0"/>
  </r>
  <r>
    <n v="2268"/>
    <x v="261"/>
    <x v="261"/>
    <x v="243"/>
    <x v="4"/>
    <x v="8"/>
    <n v="2209"/>
    <x v="2"/>
    <m/>
    <m/>
    <s v="Supplier"/>
    <m/>
    <x v="140"/>
    <s v="WOR_BIZ_SIF2012_23APR12.xlsx"/>
    <s v=".xlsx"/>
    <d v="2014-04-16T00:00:00"/>
    <s v="as\afok"/>
    <m/>
    <s v="2012"/>
    <m/>
    <m/>
    <m/>
    <m/>
    <m/>
    <x v="0"/>
    <x v="0"/>
    <x v="0"/>
    <x v="0"/>
    <x v="1"/>
    <x v="1"/>
    <x v="116"/>
    <x v="51"/>
    <x v="178"/>
    <x v="178"/>
    <x v="0"/>
    <x v="109"/>
    <x v="75"/>
    <x v="22"/>
    <x v="48"/>
    <m/>
    <x v="0"/>
    <x v="0"/>
    <x v="0"/>
    <x v="0"/>
    <m/>
    <m/>
    <m/>
    <n v="0"/>
    <m/>
    <n v="1"/>
    <m/>
    <s v="CP"/>
    <m/>
    <m/>
    <s v="CP "/>
    <x v="2"/>
    <x v="1"/>
    <m/>
    <x v="0"/>
  </r>
  <r>
    <n v="2262"/>
    <x v="261"/>
    <x v="261"/>
    <x v="243"/>
    <x v="4"/>
    <x v="8"/>
    <n v="2203"/>
    <x v="2"/>
    <n v="1"/>
    <m/>
    <s v="Supplier"/>
    <m/>
    <x v="302"/>
    <s v="Wor Biz_SIF2013.xls"/>
    <s v=".xls"/>
    <d v="2014-04-16T00:00:00"/>
    <s v="as\afok"/>
    <m/>
    <s v="2013"/>
    <m/>
    <m/>
    <m/>
    <m/>
    <m/>
    <x v="0"/>
    <x v="0"/>
    <x v="0"/>
    <x v="0"/>
    <x v="2"/>
    <x v="1"/>
    <x v="211"/>
    <x v="107"/>
    <x v="96"/>
    <x v="179"/>
    <x v="0"/>
    <x v="110"/>
    <x v="104"/>
    <x v="93"/>
    <x v="85"/>
    <m/>
    <x v="0"/>
    <x v="0"/>
    <x v="0"/>
    <x v="0"/>
    <m/>
    <m/>
    <m/>
    <n v="0"/>
    <m/>
    <m/>
    <m/>
    <s v="CP"/>
    <m/>
    <m/>
    <s v="CP "/>
    <x v="2"/>
    <x v="1"/>
    <m/>
    <x v="0"/>
  </r>
  <r>
    <n v="2267"/>
    <x v="261"/>
    <x v="261"/>
    <x v="243"/>
    <x v="4"/>
    <x v="8"/>
    <n v="2208"/>
    <x v="3"/>
    <m/>
    <m/>
    <s v="Supplier"/>
    <m/>
    <x v="390"/>
    <s v="WORBIZ_SPR_11May12.pptx"/>
    <s v=".pptx"/>
    <d v="2014-04-16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0"/>
  </r>
  <r>
    <n v="1324"/>
    <x v="262"/>
    <x v="262"/>
    <x v="244"/>
    <x v="2"/>
    <x v="2"/>
    <n v="1278"/>
    <x v="4"/>
    <m/>
    <m/>
    <s v="Supplier"/>
    <m/>
    <x v="460"/>
    <s v="XJ_General Agreement_20120103.pdf"/>
    <s v=".pdf"/>
    <d v="2014-03-31T00:00:00"/>
    <s v="as\afok"/>
    <m/>
    <s v="FHA 00 016 ind.10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s v="CP"/>
    <s v="SP"/>
    <s v="MOULD"/>
    <s v="FP CP SP MOULD Both"/>
    <x v="0"/>
    <x v="1"/>
    <m/>
    <x v="61"/>
  </r>
  <r>
    <n v="1311"/>
    <x v="262"/>
    <x v="262"/>
    <x v="244"/>
    <x v="2"/>
    <x v="2"/>
    <n v="1281"/>
    <x v="5"/>
    <m/>
    <m/>
    <s v="Supplier"/>
    <m/>
    <x v="460"/>
    <s v="XJ_General Agreement_20120103.pdf"/>
    <s v=".pdf"/>
    <d v="2014-03-31T00:00:00"/>
    <s v="as\afok"/>
    <m/>
    <m/>
    <m/>
    <m/>
    <m/>
    <n v="20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s v="CP"/>
    <s v="SP"/>
    <s v="MOULD"/>
    <s v="FP CP SP MOULD Both"/>
    <x v="0"/>
    <x v="1"/>
    <m/>
    <x v="61"/>
  </r>
  <r>
    <n v="1310"/>
    <x v="262"/>
    <x v="262"/>
    <x v="244"/>
    <x v="2"/>
    <x v="2"/>
    <n v="1280"/>
    <x v="6"/>
    <m/>
    <m/>
    <s v="Supplier"/>
    <m/>
    <x v="460"/>
    <s v="XJ_General Agreement_20120103.pdf"/>
    <s v=".pdf"/>
    <d v="2014-03-31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s v="CP"/>
    <s v="SP"/>
    <s v="MOULD"/>
    <s v="FP CP SP MOULD Both"/>
    <x v="0"/>
    <x v="1"/>
    <m/>
    <x v="61"/>
  </r>
  <r>
    <n v="1312"/>
    <x v="262"/>
    <x v="262"/>
    <x v="244"/>
    <x v="2"/>
    <x v="2"/>
    <n v="1282"/>
    <x v="10"/>
    <m/>
    <m/>
    <s v="Supplier"/>
    <m/>
    <x v="875"/>
    <s v="XJ_General Agreement_20120103.pdf"/>
    <s v=".pdf"/>
    <d v="2014-03-3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09"/>
    <x v="262"/>
    <x v="262"/>
    <x v="244"/>
    <x v="2"/>
    <x v="2"/>
    <n v="1279"/>
    <x v="7"/>
    <m/>
    <m/>
    <s v="Supplier"/>
    <m/>
    <x v="460"/>
    <s v="XJ_General Agreement_20120103.pdf"/>
    <s v=".pdf"/>
    <d v="2014-03-31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22"/>
    <x v="262"/>
    <x v="262"/>
    <x v="244"/>
    <x v="2"/>
    <x v="2"/>
    <n v="1292"/>
    <x v="11"/>
    <m/>
    <m/>
    <s v="Product / Project"/>
    <m/>
    <x v="121"/>
    <s v="XJ_LAPAZ blender_EA_2012-01-31.pdf"/>
    <s v=".pdf"/>
    <d v="2014-03-31T00:00:00"/>
    <s v="as\afok"/>
    <m/>
    <m/>
    <m/>
    <m/>
    <m/>
    <m/>
    <s v="LAPAZ blender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06"/>
    <x v="262"/>
    <x v="262"/>
    <x v="244"/>
    <x v="2"/>
    <x v="2"/>
    <n v="1276"/>
    <x v="11"/>
    <m/>
    <m/>
    <s v="Supplier"/>
    <m/>
    <x v="21"/>
    <s v="XJ Exclusivity Summary 2013-02-04.xlsx"/>
    <s v=".xlsx"/>
    <d v="2014-03-31T00:00:00"/>
    <s v="as\afok"/>
    <s v="Exclusivity Summary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21"/>
    <x v="262"/>
    <x v="262"/>
    <x v="244"/>
    <x v="2"/>
    <x v="2"/>
    <n v="1291"/>
    <x v="11"/>
    <m/>
    <m/>
    <s v="Supplier"/>
    <m/>
    <x v="121"/>
    <s v="XJ_Centri Pro_EA FRD6E030_EN 2012-01-03.pdf"/>
    <s v=".pdf"/>
    <d v="2014-03-31T00:00:00"/>
    <s v="as\afok"/>
    <m/>
    <s v="FRD 6E 030 ind.0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23"/>
    <x v="262"/>
    <x v="262"/>
    <x v="244"/>
    <x v="2"/>
    <x v="2"/>
    <n v="1293"/>
    <x v="11"/>
    <m/>
    <m/>
    <s v="Product / Project"/>
    <m/>
    <x v="876"/>
    <s v="XJ_Majorca_EA_20110708.pdf"/>
    <s v=".pdf"/>
    <d v="2014-03-31T00:00:00"/>
    <s v="as\afok"/>
    <m/>
    <s v="FRD 6E 030 ind.00"/>
    <m/>
    <m/>
    <m/>
    <m/>
    <s v="Majorca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15"/>
    <x v="262"/>
    <x v="262"/>
    <x v="244"/>
    <x v="2"/>
    <x v="2"/>
    <n v="1285"/>
    <x v="11"/>
    <m/>
    <m/>
    <s v="Supplier"/>
    <m/>
    <x v="415"/>
    <s v="XJ_Centri Pro_IP FRD6E029_EN 2011-09-19.pdf"/>
    <s v=".pdf"/>
    <d v="2014-03-31T00:00:00"/>
    <s v="as\afok"/>
    <m/>
    <s v="FRD 6E 030 ind.0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17"/>
    <x v="262"/>
    <x v="262"/>
    <x v="244"/>
    <x v="2"/>
    <x v="2"/>
    <n v="1287"/>
    <x v="12"/>
    <m/>
    <m/>
    <s v="Product / Project"/>
    <m/>
    <x v="573"/>
    <s v="XJ_Majorca_IP_20110708.pdf"/>
    <s v=".pdf"/>
    <d v="2014-03-31T00:00:00"/>
    <s v="as\afok"/>
    <m/>
    <m/>
    <m/>
    <m/>
    <m/>
    <m/>
    <s v="Majorca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14"/>
    <x v="262"/>
    <x v="262"/>
    <x v="244"/>
    <x v="2"/>
    <x v="2"/>
    <n v="1284"/>
    <x v="12"/>
    <m/>
    <m/>
    <s v="Product / Project"/>
    <m/>
    <x v="415"/>
    <s v="XJ_IP_Centri Pro XXL_23Sep11.pdf"/>
    <s v=".pdf"/>
    <d v="2014-03-31T00:00:00"/>
    <s v="as\afok"/>
    <m/>
    <m/>
    <m/>
    <m/>
    <m/>
    <m/>
    <s v="Centri Pro XXL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18"/>
    <x v="262"/>
    <x v="262"/>
    <x v="244"/>
    <x v="2"/>
    <x v="2"/>
    <n v="1288"/>
    <x v="12"/>
    <m/>
    <m/>
    <s v="Product / Project"/>
    <m/>
    <x v="121"/>
    <s v="XJ_LAPAZ Blender_IP_ 2012-01-31.pdf"/>
    <s v=".pdf"/>
    <d v="2014-03-31T00:00:00"/>
    <s v="as\afok"/>
    <m/>
    <m/>
    <m/>
    <m/>
    <m/>
    <m/>
    <s v="LAPAZ Blender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25"/>
    <x v="262"/>
    <x v="262"/>
    <x v="244"/>
    <x v="2"/>
    <x v="2"/>
    <n v="1294"/>
    <x v="13"/>
    <m/>
    <m/>
    <s v="Supplier"/>
    <d v="2010-11-28T00:00:00"/>
    <x v="877"/>
    <s v="XJ-Group_ISO14001_24Mar2010.jpg"/>
    <s v=".jpg"/>
    <d v="2014-03-3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n v="1"/>
    <m/>
    <s v="FP"/>
    <s v="CP"/>
    <s v="SP"/>
    <s v="MOULD"/>
    <s v="FP CP SP MOULD Both"/>
    <x v="0"/>
    <x v="1"/>
    <m/>
    <x v="61"/>
  </r>
  <r>
    <n v="1316"/>
    <x v="262"/>
    <x v="262"/>
    <x v="244"/>
    <x v="2"/>
    <x v="2"/>
    <n v="1286"/>
    <x v="9"/>
    <m/>
    <m/>
    <s v="Supplier"/>
    <m/>
    <x v="878"/>
    <s v="XJ-Group_LOC_ 13Jul10.pdf"/>
    <s v=".pdf"/>
    <d v="2014-03-3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07"/>
    <x v="262"/>
    <x v="262"/>
    <x v="244"/>
    <x v="2"/>
    <x v="2"/>
    <n v="1277"/>
    <x v="8"/>
    <m/>
    <m/>
    <s v="Supplier"/>
    <m/>
    <x v="338"/>
    <s v="XJ - Responsible Purchasing Charter.pdf"/>
    <s v=".pdf"/>
    <d v="2014-03-3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20"/>
    <x v="262"/>
    <x v="262"/>
    <x v="244"/>
    <x v="2"/>
    <x v="2"/>
    <n v="1290"/>
    <x v="1"/>
    <m/>
    <m/>
    <s v="Supplier"/>
    <m/>
    <x v="72"/>
    <s v="SEF_XJ_ 201206.xlsx"/>
    <s v=".xlsx"/>
    <d v="2014-03-31T00:00:00"/>
    <s v="as\afok"/>
    <m/>
    <s v="2012"/>
    <m/>
    <m/>
    <m/>
    <m/>
    <m/>
    <x v="0"/>
    <x v="0"/>
    <x v="0"/>
    <x v="34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05"/>
    <x v="262"/>
    <x v="262"/>
    <x v="244"/>
    <x v="2"/>
    <x v="2"/>
    <n v="1275"/>
    <x v="2"/>
    <m/>
    <m/>
    <s v="Supplier"/>
    <m/>
    <x v="27"/>
    <s v="XJ - SIF 2013.xls"/>
    <s v=".xls"/>
    <d v="2014-03-31T00:00:00"/>
    <s v="as\afok"/>
    <m/>
    <s v="2013"/>
    <m/>
    <m/>
    <m/>
    <m/>
    <m/>
    <x v="0"/>
    <x v="0"/>
    <x v="0"/>
    <x v="0"/>
    <x v="2"/>
    <x v="156"/>
    <x v="212"/>
    <x v="198"/>
    <x v="179"/>
    <x v="46"/>
    <x v="0"/>
    <x v="111"/>
    <x v="105"/>
    <x v="31"/>
    <x v="83"/>
    <m/>
    <x v="0"/>
    <x v="0"/>
    <x v="0"/>
    <x v="0"/>
    <m/>
    <m/>
    <m/>
    <n v="1"/>
    <m/>
    <m/>
    <s v="FP"/>
    <s v="CP"/>
    <s v="SP"/>
    <s v="MOULD"/>
    <s v="FP CP SP MOULD Both"/>
    <x v="1"/>
    <x v="1"/>
    <m/>
    <x v="61"/>
  </r>
  <r>
    <n v="1313"/>
    <x v="262"/>
    <x v="262"/>
    <x v="244"/>
    <x v="2"/>
    <x v="2"/>
    <n v="1283"/>
    <x v="2"/>
    <m/>
    <m/>
    <s v="Supplier"/>
    <m/>
    <x v="191"/>
    <s v="XJ_SIF 2012_2Mar12.xls"/>
    <s v=".xls"/>
    <d v="2014-03-31T00:00:00"/>
    <s v="as\afok"/>
    <m/>
    <s v="2012"/>
    <m/>
    <m/>
    <m/>
    <m/>
    <m/>
    <x v="0"/>
    <x v="0"/>
    <x v="0"/>
    <x v="0"/>
    <x v="1"/>
    <x v="0"/>
    <x v="42"/>
    <x v="198"/>
    <x v="179"/>
    <x v="46"/>
    <x v="0"/>
    <x v="0"/>
    <x v="105"/>
    <x v="31"/>
    <x v="83"/>
    <m/>
    <x v="0"/>
    <x v="0"/>
    <x v="0"/>
    <x v="0"/>
    <m/>
    <m/>
    <m/>
    <n v="1"/>
    <m/>
    <m/>
    <s v="FP"/>
    <s v="CP"/>
    <s v="SP"/>
    <s v="MOULD"/>
    <s v="FP CP SP MOULD Both"/>
    <x v="1"/>
    <x v="1"/>
    <m/>
    <x v="61"/>
  </r>
  <r>
    <n v="1319"/>
    <x v="262"/>
    <x v="262"/>
    <x v="244"/>
    <x v="2"/>
    <x v="2"/>
    <n v="1289"/>
    <x v="3"/>
    <m/>
    <m/>
    <s v="Supplier"/>
    <m/>
    <x v="71"/>
    <s v="XJ - SPR 2012.pptx"/>
    <s v=".pptx"/>
    <d v="2014-03-31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759"/>
    <x v="263"/>
    <x v="263"/>
    <x v="245"/>
    <x v="5"/>
    <x v="7"/>
    <n v="1716"/>
    <x v="8"/>
    <m/>
    <m/>
    <s v="Supplier"/>
    <m/>
    <x v="93"/>
    <s v="XILIN_Responsible Purchaser Charter_9Aug2012.pdf"/>
    <s v=".pdf"/>
    <d v="2014-04-0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m/>
    <s v="CP"/>
    <m/>
    <m/>
    <s v="CP "/>
    <x v="0"/>
    <x v="1"/>
    <m/>
    <x v="26"/>
  </r>
  <r>
    <n v="1760"/>
    <x v="263"/>
    <x v="263"/>
    <x v="245"/>
    <x v="5"/>
    <x v="7"/>
    <n v="1717"/>
    <x v="2"/>
    <n v="1"/>
    <m/>
    <s v="Supplier"/>
    <m/>
    <x v="879"/>
    <s v="XILIN_SIF_27Apr2012.xls"/>
    <s v=".xls"/>
    <d v="2014-04-08T00:00:00"/>
    <s v="as\afok"/>
    <m/>
    <s v="2012"/>
    <m/>
    <m/>
    <m/>
    <m/>
    <m/>
    <x v="0"/>
    <x v="0"/>
    <x v="0"/>
    <x v="0"/>
    <x v="1"/>
    <x v="157"/>
    <x v="139"/>
    <x v="199"/>
    <x v="180"/>
    <x v="56"/>
    <x v="12"/>
    <x v="6"/>
    <x v="83"/>
    <x v="6"/>
    <x v="9"/>
    <s v="CP Panel"/>
    <x v="0"/>
    <x v="0"/>
    <x v="1"/>
    <x v="1"/>
    <m/>
    <m/>
    <m/>
    <n v="0"/>
    <m/>
    <n v="1"/>
    <m/>
    <s v="CP"/>
    <m/>
    <m/>
    <s v="CP "/>
    <x v="2"/>
    <x v="1"/>
    <m/>
    <x v="26"/>
  </r>
  <r>
    <n v="1758"/>
    <x v="263"/>
    <x v="263"/>
    <x v="245"/>
    <x v="5"/>
    <x v="7"/>
    <n v="1715"/>
    <x v="3"/>
    <m/>
    <m/>
    <s v="Supplier"/>
    <m/>
    <x v="138"/>
    <s v="SPR_Inoxon_2013.ppt"/>
    <s v=".ppt"/>
    <d v="2014-04-08T00:00:00"/>
    <s v="as\afok"/>
    <m/>
    <s v="2013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1"/>
    <m/>
    <m/>
    <m/>
    <n v="0"/>
    <m/>
    <m/>
    <m/>
    <s v="CP"/>
    <m/>
    <m/>
    <s v="CP "/>
    <x v="0"/>
    <x v="1"/>
    <m/>
    <x v="26"/>
  </r>
  <r>
    <n v="1971"/>
    <x v="264"/>
    <x v="264"/>
    <x v="246"/>
    <x v="4"/>
    <x v="17"/>
    <n v="1922"/>
    <x v="6"/>
    <m/>
    <m/>
    <s v="Supplier"/>
    <m/>
    <x v="880"/>
    <s v="Supplier_chain_appendixV.10_XingBa Jia.pdf"/>
    <s v=".pdf"/>
    <d v="2014-04-10T00:00:00"/>
    <s v="as\afok"/>
    <m/>
    <s v="V10"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0"/>
    <m/>
    <m/>
    <m/>
    <s v="CP"/>
    <m/>
    <m/>
    <s v="CP "/>
    <x v="0"/>
    <x v="1"/>
    <m/>
    <x v="62"/>
  </r>
  <r>
    <n v="1975"/>
    <x v="264"/>
    <x v="264"/>
    <x v="246"/>
    <x v="4"/>
    <x v="17"/>
    <n v="1926"/>
    <x v="8"/>
    <m/>
    <m/>
    <s v="Supplier"/>
    <m/>
    <x v="19"/>
    <s v="XingBaiJia_Responsible_Purchasing_Charter_07Aug12.pdf"/>
    <s v=".pdf"/>
    <d v="2014-04-10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s v="CP"/>
    <m/>
    <m/>
    <s v="CP "/>
    <x v="0"/>
    <x v="1"/>
    <m/>
    <x v="62"/>
  </r>
  <r>
    <n v="1973"/>
    <x v="264"/>
    <x v="264"/>
    <x v="246"/>
    <x v="4"/>
    <x v="17"/>
    <n v="1924"/>
    <x v="1"/>
    <m/>
    <m/>
    <s v="Supplier"/>
    <m/>
    <x v="382"/>
    <s v="SEF-XBJ-20120319-68.xlsx"/>
    <s v=".xlsx"/>
    <d v="2014-04-10T00:00:00"/>
    <s v="as\afok"/>
    <m/>
    <s v="2012"/>
    <m/>
    <m/>
    <m/>
    <m/>
    <m/>
    <x v="0"/>
    <x v="0"/>
    <x v="0"/>
    <x v="12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62"/>
  </r>
  <r>
    <n v="1974"/>
    <x v="264"/>
    <x v="264"/>
    <x v="246"/>
    <x v="4"/>
    <x v="17"/>
    <n v="1925"/>
    <x v="1"/>
    <m/>
    <m/>
    <s v="Supplier"/>
    <m/>
    <x v="222"/>
    <s v="SEF-XBJ-20121201-68.xlsx"/>
    <s v=".xlsx"/>
    <d v="2014-04-10T00:00:00"/>
    <s v="as\afok"/>
    <m/>
    <s v="2012"/>
    <m/>
    <m/>
    <m/>
    <m/>
    <m/>
    <x v="0"/>
    <x v="0"/>
    <x v="0"/>
    <x v="12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62"/>
  </r>
  <r>
    <n v="1972"/>
    <x v="264"/>
    <x v="264"/>
    <x v="246"/>
    <x v="4"/>
    <x v="17"/>
    <n v="1923"/>
    <x v="2"/>
    <m/>
    <m/>
    <s v="Supplier"/>
    <m/>
    <x v="453"/>
    <s v="XBJ_ SIF2013.xls"/>
    <s v=".xls"/>
    <d v="2014-04-10T00:00:00"/>
    <s v="as\afok"/>
    <m/>
    <s v="2013"/>
    <m/>
    <m/>
    <m/>
    <m/>
    <m/>
    <x v="0"/>
    <x v="0"/>
    <x v="0"/>
    <x v="0"/>
    <x v="2"/>
    <x v="78"/>
    <x v="101"/>
    <x v="0"/>
    <x v="0"/>
    <x v="0"/>
    <x v="6"/>
    <x v="52"/>
    <x v="0"/>
    <x v="0"/>
    <x v="0"/>
    <m/>
    <x v="0"/>
    <x v="0"/>
    <x v="0"/>
    <x v="0"/>
    <m/>
    <m/>
    <m/>
    <n v="0"/>
    <m/>
    <m/>
    <m/>
    <s v="CP"/>
    <m/>
    <m/>
    <s v="CP "/>
    <x v="2"/>
    <x v="1"/>
    <m/>
    <x v="62"/>
  </r>
  <r>
    <n v="800"/>
    <x v="265"/>
    <x v="265"/>
    <x v="247"/>
    <x v="2"/>
    <x v="15"/>
    <n v="778"/>
    <x v="4"/>
    <m/>
    <m/>
    <s v="Supplier"/>
    <m/>
    <x v="484"/>
    <s v="YAHRONG_FHA00016_EN_20100322.pdf"/>
    <s v=".pdf"/>
    <d v="2014-03-21T00:00:00"/>
    <s v="as\afok"/>
    <m/>
    <s v="FHA 00 016 ind.0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n v="1"/>
    <m/>
    <s v="FP"/>
    <m/>
    <s v="SP"/>
    <s v="MOULD"/>
    <s v="FP SP MOULD "/>
    <x v="0"/>
    <x v="1"/>
    <m/>
    <x v="45"/>
  </r>
  <r>
    <n v="797"/>
    <x v="265"/>
    <x v="265"/>
    <x v="247"/>
    <x v="2"/>
    <x v="15"/>
    <n v="775"/>
    <x v="4"/>
    <m/>
    <m/>
    <s v="Supplier"/>
    <m/>
    <x v="881"/>
    <s v="YAHRONG_FHA6E022_20091126.pdf"/>
    <s v=".pdf"/>
    <d v="2014-03-21T00:00:00"/>
    <s v="as\afok"/>
    <m/>
    <s v="FHA 6E022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m/>
    <s v="SP"/>
    <s v="MOULD"/>
    <s v="FP SP MOULD "/>
    <x v="0"/>
    <x v="1"/>
    <m/>
    <x v="45"/>
  </r>
  <r>
    <n v="788"/>
    <x v="265"/>
    <x v="265"/>
    <x v="247"/>
    <x v="2"/>
    <x v="15"/>
    <n v="766"/>
    <x v="4"/>
    <m/>
    <m/>
    <s v="Supplier"/>
    <m/>
    <x v="484"/>
    <s v="YAHRONG_General Agreement_20100322.pdf"/>
    <s v=".pdf"/>
    <d v="2014-03-21T00:00:00"/>
    <s v="as\afok"/>
    <m/>
    <s v="FHA 00 016 ind.0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m/>
    <s v="SP"/>
    <s v="MOULD"/>
    <s v="FP SP MOULD "/>
    <x v="0"/>
    <x v="1"/>
    <m/>
    <x v="45"/>
  </r>
  <r>
    <n v="798"/>
    <x v="265"/>
    <x v="265"/>
    <x v="247"/>
    <x v="2"/>
    <x v="15"/>
    <n v="776"/>
    <x v="5"/>
    <m/>
    <m/>
    <s v="Supplier"/>
    <m/>
    <x v="882"/>
    <s v="YAHRONG_FHA6E022_20091126.pdf"/>
    <s v=".pdf"/>
    <d v="2014-03-21T00:00:00"/>
    <s v="as\afok"/>
    <m/>
    <s v="FHA 00 014"/>
    <m/>
    <m/>
    <m/>
    <n v="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m/>
    <s v="SP"/>
    <s v="MOULD"/>
    <s v="FP SP MOULD "/>
    <x v="0"/>
    <x v="1"/>
    <m/>
    <x v="45"/>
  </r>
  <r>
    <n v="799"/>
    <x v="265"/>
    <x v="265"/>
    <x v="247"/>
    <x v="2"/>
    <x v="15"/>
    <n v="777"/>
    <x v="6"/>
    <m/>
    <m/>
    <s v="Supplier"/>
    <m/>
    <x v="614"/>
    <s v="YAHRONG_FHA6E022_20091126.pdf"/>
    <s v=".pdf"/>
    <d v="2014-03-21T00:00:00"/>
    <s v="as\afok"/>
    <m/>
    <s v="FHA 6E022"/>
    <m/>
    <n v="40"/>
    <n v="0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m/>
    <s v="SP"/>
    <s v="MOULD"/>
    <s v="FP SP MOULD "/>
    <x v="0"/>
    <x v="1"/>
    <m/>
    <x v="45"/>
  </r>
  <r>
    <n v="787"/>
    <x v="265"/>
    <x v="265"/>
    <x v="247"/>
    <x v="2"/>
    <x v="15"/>
    <n v="765"/>
    <x v="11"/>
    <m/>
    <m/>
    <s v="Supplier"/>
    <m/>
    <x v="883"/>
    <s v="Exclusivity Summary Template - Yahorng for 20130125.xlsx"/>
    <s v=".xlsx"/>
    <d v="2014-03-21T00:00:00"/>
    <s v="as\afok"/>
    <s v="Exclusivity Summary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45"/>
  </r>
  <r>
    <n v="796"/>
    <x v="265"/>
    <x v="265"/>
    <x v="247"/>
    <x v="2"/>
    <x v="15"/>
    <n v="774"/>
    <x v="0"/>
    <m/>
    <m/>
    <s v="Supplier"/>
    <m/>
    <x v="884"/>
    <s v="YAHRONG_FRD00069_EN omd 04_20100212.pdf"/>
    <s v=".pdf"/>
    <d v="2014-03-21T00:00:00"/>
    <s v="as\afok"/>
    <m/>
    <s v="FRD 00 069 ind.04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45"/>
  </r>
  <r>
    <n v="789"/>
    <x v="265"/>
    <x v="265"/>
    <x v="247"/>
    <x v="2"/>
    <x v="15"/>
    <n v="767"/>
    <x v="13"/>
    <m/>
    <m/>
    <s v="Supplier"/>
    <d v="2012-12-27T00:00:00"/>
    <x v="885"/>
    <s v="YAHRONG_ISO14001_20100521.pdf"/>
    <s v=".pdf"/>
    <d v="2014-03-2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45"/>
  </r>
  <r>
    <n v="793"/>
    <x v="265"/>
    <x v="265"/>
    <x v="247"/>
    <x v="2"/>
    <x v="15"/>
    <n v="771"/>
    <x v="9"/>
    <m/>
    <m/>
    <s v="Supplier"/>
    <m/>
    <x v="32"/>
    <s v="Yahorng_LOC_ROME_10Oct11.pdf"/>
    <s v=".pdf"/>
    <d v="2014-03-21T00:00:00"/>
    <s v="as\afok"/>
    <s v="ROME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45"/>
  </r>
  <r>
    <n v="794"/>
    <x v="265"/>
    <x v="265"/>
    <x v="247"/>
    <x v="2"/>
    <x v="15"/>
    <n v="772"/>
    <x v="9"/>
    <m/>
    <m/>
    <s v="Supplier"/>
    <m/>
    <x v="415"/>
    <s v="Yahorng_LOC_NARA_23Sep11.pdf"/>
    <s v=".pdf"/>
    <d v="2014-03-21T00:00:00"/>
    <s v="as\afok"/>
    <s v="NARA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45"/>
  </r>
  <r>
    <n v="795"/>
    <x v="265"/>
    <x v="265"/>
    <x v="247"/>
    <x v="2"/>
    <x v="15"/>
    <n v="773"/>
    <x v="9"/>
    <m/>
    <m/>
    <s v="Supplier"/>
    <m/>
    <x v="114"/>
    <s v="YAHRONG_LOC_20100322.pdf"/>
    <s v=".pdf"/>
    <d v="2014-03-2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45"/>
  </r>
  <r>
    <n v="791"/>
    <x v="265"/>
    <x v="265"/>
    <x v="247"/>
    <x v="2"/>
    <x v="15"/>
    <n v="769"/>
    <x v="8"/>
    <m/>
    <m/>
    <s v="Supplier"/>
    <m/>
    <x v="149"/>
    <s v="YAHORNG - Responsible Purchasing Charter (CH).pdf"/>
    <s v=".pdf"/>
    <d v="2014-03-21T00:00:00"/>
    <s v="as\afok"/>
    <s v="Chinese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45"/>
  </r>
  <r>
    <n v="792"/>
    <x v="265"/>
    <x v="265"/>
    <x v="247"/>
    <x v="2"/>
    <x v="15"/>
    <n v="770"/>
    <x v="8"/>
    <m/>
    <m/>
    <s v="Supplier"/>
    <m/>
    <x v="149"/>
    <s v="YAHORNG - Responsible Purchasing Charter (ENG).pdf"/>
    <s v=".pdf"/>
    <d v="2014-03-21T00:00:00"/>
    <s v="as\afok"/>
    <s v="English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45"/>
  </r>
  <r>
    <n v="785"/>
    <x v="265"/>
    <x v="265"/>
    <x v="247"/>
    <x v="2"/>
    <x v="15"/>
    <n v="763"/>
    <x v="1"/>
    <m/>
    <m/>
    <s v="Supplier"/>
    <m/>
    <x v="113"/>
    <s v="SEF -Yahorng 2013 Jun.xlsx"/>
    <s v=".xlsx"/>
    <d v="2014-03-21T00:00:00"/>
    <s v="as\afok"/>
    <m/>
    <s v="2013"/>
    <m/>
    <m/>
    <m/>
    <m/>
    <m/>
    <x v="0"/>
    <x v="0"/>
    <x v="0"/>
    <x v="15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45"/>
  </r>
  <r>
    <n v="786"/>
    <x v="265"/>
    <x v="265"/>
    <x v="247"/>
    <x v="2"/>
    <x v="15"/>
    <n v="764"/>
    <x v="2"/>
    <n v="1"/>
    <m/>
    <s v="Supplier"/>
    <m/>
    <x v="111"/>
    <s v="Yahorng - FHA6E502_EN_-_SIF 2013.xlsx"/>
    <s v=".xlsx"/>
    <d v="2014-03-21T00:00:00"/>
    <s v="as\afok"/>
    <m/>
    <s v="2013"/>
    <m/>
    <m/>
    <m/>
    <m/>
    <m/>
    <x v="0"/>
    <x v="0"/>
    <x v="0"/>
    <x v="0"/>
    <x v="2"/>
    <x v="0"/>
    <x v="213"/>
    <x v="200"/>
    <x v="181"/>
    <x v="18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3"/>
    <x v="1"/>
    <m/>
    <x v="45"/>
  </r>
  <r>
    <n v="790"/>
    <x v="265"/>
    <x v="265"/>
    <x v="247"/>
    <x v="2"/>
    <x v="15"/>
    <n v="768"/>
    <x v="3"/>
    <m/>
    <m/>
    <s v="Supplier"/>
    <m/>
    <x v="369"/>
    <s v="YAHRONG_SPR_201012.PPT"/>
    <s v=".ppt"/>
    <d v="2014-03-21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45"/>
  </r>
  <r>
    <n v="35"/>
    <x v="266"/>
    <x v="266"/>
    <x v="248"/>
    <x v="2"/>
    <x v="2"/>
    <n v="30"/>
    <x v="4"/>
    <m/>
    <m/>
    <s v="Supplier"/>
    <d v="2015-12-31T00:00:00"/>
    <x v="189"/>
    <s v="YIDA_General Agreement_2012-09-03.pdf"/>
    <s v=".pdf"/>
    <d v="2014-03-04T00:00:00"/>
    <s v="as\afok"/>
    <m/>
    <s v="FHA00016 ind.11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s v="FP"/>
    <m/>
    <s v="SP"/>
    <s v="MOULD"/>
    <s v="FP SP MOULD "/>
    <x v="0"/>
    <x v="1"/>
    <m/>
    <x v="26"/>
  </r>
  <r>
    <n v="403"/>
    <x v="266"/>
    <x v="266"/>
    <x v="248"/>
    <x v="2"/>
    <x v="2"/>
    <n v="390"/>
    <x v="5"/>
    <m/>
    <m/>
    <s v="Supplier"/>
    <m/>
    <x v="189"/>
    <s v="YIDA_General Agreement_2012-09-03.pdf"/>
    <s v=".pdf"/>
    <d v="2014-03-17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s v="FP"/>
    <m/>
    <s v="SP"/>
    <s v="MOULD"/>
    <s v="FP SP MOULD "/>
    <x v="0"/>
    <x v="1"/>
    <m/>
    <x v="26"/>
  </r>
  <r>
    <n v="402"/>
    <x v="266"/>
    <x v="266"/>
    <x v="248"/>
    <x v="2"/>
    <x v="2"/>
    <n v="389"/>
    <x v="6"/>
    <m/>
    <m/>
    <s v="Supplier"/>
    <m/>
    <x v="189"/>
    <s v="YIDA_General Agreement_2012-09-03.pdf"/>
    <s v=".pdf"/>
    <d v="2014-03-17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s v="FP"/>
    <m/>
    <s v="SP"/>
    <s v="MOULD"/>
    <s v="FP SP MOULD "/>
    <x v="0"/>
    <x v="1"/>
    <m/>
    <x v="26"/>
  </r>
  <r>
    <n v="578"/>
    <x v="266"/>
    <x v="266"/>
    <x v="248"/>
    <x v="2"/>
    <x v="2"/>
    <n v="561"/>
    <x v="10"/>
    <m/>
    <m/>
    <s v="Supplier"/>
    <m/>
    <x v="189"/>
    <s v="YIDA_General Agreement_2012-09-03.pdf"/>
    <s v=".pdf"/>
    <d v="2014-03-18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n v="1"/>
    <m/>
    <s v="FP"/>
    <m/>
    <s v="SP"/>
    <s v="MOULD"/>
    <s v="FP SP MOULD "/>
    <x v="0"/>
    <x v="1"/>
    <m/>
    <x v="26"/>
  </r>
  <r>
    <n v="404"/>
    <x v="266"/>
    <x v="266"/>
    <x v="248"/>
    <x v="2"/>
    <x v="2"/>
    <n v="391"/>
    <x v="7"/>
    <m/>
    <m/>
    <s v="Supplier"/>
    <m/>
    <x v="189"/>
    <s v="YIDA_General Agreement_2012-09-03.pdf"/>
    <s v=".pdf"/>
    <d v="2014-03-17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6"/>
  </r>
  <r>
    <n v="406"/>
    <x v="266"/>
    <x v="266"/>
    <x v="248"/>
    <x v="2"/>
    <x v="2"/>
    <n v="393"/>
    <x v="13"/>
    <m/>
    <m/>
    <s v="Supplier"/>
    <d v="2012-10-15T00:00:00"/>
    <x v="886"/>
    <s v="Yida_ISO14001_25Mar2010.jpg"/>
    <s v=".jpg"/>
    <d v="2014-03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6"/>
  </r>
  <r>
    <n v="405"/>
    <x v="266"/>
    <x v="266"/>
    <x v="248"/>
    <x v="2"/>
    <x v="2"/>
    <n v="392"/>
    <x v="14"/>
    <m/>
    <m/>
    <s v="Supplier"/>
    <d v="2012-10-15T00:00:00"/>
    <x v="886"/>
    <s v="Yida_ISO9001_15Oct2012.pdf"/>
    <s v=".pdf"/>
    <d v="2014-03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6"/>
  </r>
  <r>
    <n v="408"/>
    <x v="266"/>
    <x v="266"/>
    <x v="248"/>
    <x v="2"/>
    <x v="2"/>
    <n v="395"/>
    <x v="8"/>
    <m/>
    <m/>
    <s v="Supplier"/>
    <m/>
    <x v="684"/>
    <s v="YIDA - Responsible Purchasing.Charter (ENG).pdf"/>
    <s v=".pdf"/>
    <d v="2014-03-17T00:00:00"/>
    <s v="as\afok"/>
    <s v="English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6"/>
  </r>
  <r>
    <n v="407"/>
    <x v="266"/>
    <x v="266"/>
    <x v="248"/>
    <x v="2"/>
    <x v="2"/>
    <n v="394"/>
    <x v="8"/>
    <m/>
    <m/>
    <s v="Supplier"/>
    <m/>
    <x v="684"/>
    <s v="YIDA - Responsible Purchasing.Charter (CH).pdf"/>
    <s v=".pdf"/>
    <d v="2014-03-17T00:00:00"/>
    <s v="as\afok"/>
    <s v="Chinese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6"/>
  </r>
  <r>
    <n v="409"/>
    <x v="266"/>
    <x v="266"/>
    <x v="248"/>
    <x v="2"/>
    <x v="2"/>
    <n v="396"/>
    <x v="1"/>
    <m/>
    <m/>
    <s v="Supplier"/>
    <m/>
    <x v="102"/>
    <s v="SEF 2013 - Yida.xlsx"/>
    <s v=".xlsx"/>
    <d v="2014-03-17T00:00:00"/>
    <s v="as\afok"/>
    <m/>
    <s v="2013"/>
    <m/>
    <m/>
    <m/>
    <m/>
    <m/>
    <x v="0"/>
    <x v="0"/>
    <x v="0"/>
    <x v="1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6"/>
  </r>
  <r>
    <n v="410"/>
    <x v="266"/>
    <x v="266"/>
    <x v="248"/>
    <x v="2"/>
    <x v="2"/>
    <n v="397"/>
    <x v="1"/>
    <m/>
    <m/>
    <s v="Supplier"/>
    <m/>
    <x v="72"/>
    <s v="SEF_Yida_ 201206.xlsx"/>
    <s v=".xlsx"/>
    <d v="2014-03-17T00:00:00"/>
    <s v="as\afok"/>
    <m/>
    <s v="2012"/>
    <m/>
    <m/>
    <m/>
    <m/>
    <m/>
    <x v="0"/>
    <x v="0"/>
    <x v="0"/>
    <x v="2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s v="FP"/>
    <m/>
    <s v="SP"/>
    <s v="MOULD"/>
    <s v="FP SP MOULD "/>
    <x v="0"/>
    <x v="1"/>
    <m/>
    <x v="26"/>
  </r>
  <r>
    <n v="412"/>
    <x v="266"/>
    <x v="266"/>
    <x v="248"/>
    <x v="2"/>
    <x v="2"/>
    <n v="399"/>
    <x v="2"/>
    <m/>
    <m/>
    <s v="Supplier"/>
    <m/>
    <x v="853"/>
    <s v="YIDA_SIF 2012_1Mar12.xlsx"/>
    <s v=".xlsx"/>
    <d v="2014-03-17T00:00:00"/>
    <s v="as\afok"/>
    <m/>
    <s v="2012"/>
    <m/>
    <m/>
    <m/>
    <m/>
    <m/>
    <x v="0"/>
    <x v="0"/>
    <x v="0"/>
    <x v="0"/>
    <x v="1"/>
    <x v="90"/>
    <x v="110"/>
    <x v="23"/>
    <x v="21"/>
    <x v="181"/>
    <x v="1"/>
    <x v="103"/>
    <x v="95"/>
    <x v="94"/>
    <x v="86"/>
    <m/>
    <x v="0"/>
    <x v="0"/>
    <x v="0"/>
    <x v="0"/>
    <m/>
    <m/>
    <m/>
    <n v="1"/>
    <m/>
    <m/>
    <s v="FP"/>
    <m/>
    <s v="SP"/>
    <s v="MOULD"/>
    <s v="FP SP MOULD "/>
    <x v="3"/>
    <x v="1"/>
    <m/>
    <x v="26"/>
  </r>
  <r>
    <n v="411"/>
    <x v="266"/>
    <x v="266"/>
    <x v="248"/>
    <x v="2"/>
    <x v="2"/>
    <n v="398"/>
    <x v="2"/>
    <m/>
    <m/>
    <s v="Supplier"/>
    <m/>
    <x v="512"/>
    <s v="Yida - SIF 2013.XLSX"/>
    <s v=".xlsx"/>
    <d v="2014-03-17T00:00:00"/>
    <s v="as\afok"/>
    <m/>
    <s v="2013"/>
    <m/>
    <m/>
    <m/>
    <m/>
    <m/>
    <x v="0"/>
    <x v="0"/>
    <x v="0"/>
    <x v="0"/>
    <x v="2"/>
    <x v="2"/>
    <x v="110"/>
    <x v="23"/>
    <x v="21"/>
    <x v="181"/>
    <x v="3"/>
    <x v="3"/>
    <x v="106"/>
    <x v="13"/>
    <x v="11"/>
    <m/>
    <x v="0"/>
    <x v="0"/>
    <x v="0"/>
    <x v="0"/>
    <m/>
    <m/>
    <m/>
    <n v="1"/>
    <m/>
    <m/>
    <s v="FP"/>
    <m/>
    <s v="SP"/>
    <s v="MOULD"/>
    <s v="FP SP MOULD "/>
    <x v="3"/>
    <x v="1"/>
    <m/>
    <x v="26"/>
  </r>
  <r>
    <n v="1524"/>
    <x v="267"/>
    <x v="267"/>
    <x v="249"/>
    <x v="5"/>
    <x v="12"/>
    <n v="1481"/>
    <x v="4"/>
    <m/>
    <m/>
    <s v="Supplier"/>
    <m/>
    <x v="130"/>
    <s v="Ying Bao_Supply Agreement_1Nov12.pdf"/>
    <s v=".pdf"/>
    <d v="2014-04-02T00:00:00"/>
    <s v="as\afok"/>
    <m/>
    <s v="V7"/>
    <s v="37E9 - Before End in 3 months Due net 37E9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1"/>
    <m/>
    <m/>
    <m/>
    <s v="CP"/>
    <m/>
    <m/>
    <s v="CP "/>
    <x v="0"/>
    <x v="1"/>
    <m/>
    <x v="6"/>
  </r>
  <r>
    <n v="1521"/>
    <x v="267"/>
    <x v="267"/>
    <x v="249"/>
    <x v="5"/>
    <x v="12"/>
    <n v="1483"/>
    <x v="5"/>
    <m/>
    <m/>
    <s v="Supplier"/>
    <m/>
    <x v="132"/>
    <s v="Ying Bao_Supply Agreement_1Nov12.pdf"/>
    <s v=".pdf"/>
    <d v="2014-04-02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m/>
    <s v="CP"/>
    <m/>
    <m/>
    <s v="CP "/>
    <x v="0"/>
    <x v="1"/>
    <m/>
    <x v="6"/>
  </r>
  <r>
    <n v="1517"/>
    <x v="267"/>
    <x v="267"/>
    <x v="249"/>
    <x v="5"/>
    <x v="12"/>
    <n v="1479"/>
    <x v="5"/>
    <m/>
    <m/>
    <s v="Supplier"/>
    <m/>
    <x v="132"/>
    <s v="YING BAO_Quality Appendix_1Nov12.pdf"/>
    <s v=".pdf"/>
    <d v="2014-04-02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1"/>
    <m/>
    <m/>
    <m/>
    <s v="CP"/>
    <m/>
    <m/>
    <s v="CP "/>
    <x v="0"/>
    <x v="1"/>
    <m/>
    <x v="6"/>
  </r>
  <r>
    <n v="1514"/>
    <x v="267"/>
    <x v="267"/>
    <x v="249"/>
    <x v="5"/>
    <x v="12"/>
    <n v="1476"/>
    <x v="6"/>
    <m/>
    <m/>
    <s v="Supplier"/>
    <m/>
    <x v="267"/>
    <s v="YINGBAO_Supply Chain(leadtime update)_23Jul2013.pdf"/>
    <s v=".pdf"/>
    <d v="2014-04-02T00:00:00"/>
    <s v="as\afok"/>
    <m/>
    <m/>
    <m/>
    <n v="4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m/>
    <s v="CP"/>
    <m/>
    <m/>
    <s v="CP "/>
    <x v="0"/>
    <x v="1"/>
    <m/>
    <x v="6"/>
  </r>
  <r>
    <n v="1522"/>
    <x v="267"/>
    <x v="267"/>
    <x v="249"/>
    <x v="5"/>
    <x v="12"/>
    <n v="1484"/>
    <x v="6"/>
    <m/>
    <m/>
    <s v="Supplier"/>
    <m/>
    <x v="132"/>
    <s v="YINGBAO_Env Declaration_1Nov2012.pdf"/>
    <s v=".pdf"/>
    <d v="2014-04-02T00:00:00"/>
    <s v="as\afok"/>
    <m/>
    <m/>
    <m/>
    <n v="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m/>
    <s v="CP"/>
    <m/>
    <m/>
    <s v="CP "/>
    <x v="0"/>
    <x v="1"/>
    <m/>
    <x v="6"/>
  </r>
  <r>
    <n v="1516"/>
    <x v="267"/>
    <x v="267"/>
    <x v="249"/>
    <x v="5"/>
    <x v="12"/>
    <n v="1478"/>
    <x v="6"/>
    <m/>
    <m/>
    <s v="Supplier"/>
    <m/>
    <x v="132"/>
    <s v="YING BAO_Supplier Chain Appendix_1Nov12.pdf"/>
    <s v=".pdf"/>
    <d v="2014-04-02T00:00:00"/>
    <s v="as\afok"/>
    <m/>
    <m/>
    <m/>
    <n v="0"/>
    <n v="85"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n v="1"/>
    <n v="1"/>
    <m/>
    <m/>
    <m/>
    <s v="CP"/>
    <m/>
    <m/>
    <s v="CP "/>
    <x v="0"/>
    <x v="1"/>
    <m/>
    <x v="6"/>
  </r>
  <r>
    <n v="1523"/>
    <x v="267"/>
    <x v="267"/>
    <x v="249"/>
    <x v="5"/>
    <x v="12"/>
    <n v="1485"/>
    <x v="10"/>
    <m/>
    <m/>
    <s v="Supplier"/>
    <m/>
    <x v="887"/>
    <s v="Ying Bao_Supply Agreement_1Nov12.pdf"/>
    <s v=".pdf"/>
    <d v="2014-04-02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6"/>
  </r>
  <r>
    <n v="1520"/>
    <x v="267"/>
    <x v="267"/>
    <x v="249"/>
    <x v="5"/>
    <x v="12"/>
    <n v="1482"/>
    <x v="7"/>
    <m/>
    <m/>
    <s v="Supplier"/>
    <m/>
    <x v="130"/>
    <s v="Ying Bao_Supply Agreement_1Nov12.pdf"/>
    <s v=".pdf"/>
    <d v="2014-04-02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6"/>
  </r>
  <r>
    <n v="1525"/>
    <x v="267"/>
    <x v="267"/>
    <x v="249"/>
    <x v="5"/>
    <x v="12"/>
    <n v="1486"/>
    <x v="7"/>
    <m/>
    <m/>
    <s v="Supplier"/>
    <m/>
    <x v="130"/>
    <s v="YINGBAO_Env Declaration_1Nov2012.pdf"/>
    <s v=".pdf"/>
    <d v="2014-04-02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6"/>
  </r>
  <r>
    <n v="1518"/>
    <x v="267"/>
    <x v="267"/>
    <x v="249"/>
    <x v="5"/>
    <x v="12"/>
    <n v="1480"/>
    <x v="9"/>
    <m/>
    <m/>
    <s v="Supplier"/>
    <m/>
    <x v="132"/>
    <s v="YINGBAO_LOC_15Jun12.pdf"/>
    <s v=".pdf"/>
    <d v="2014-04-02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6"/>
  </r>
  <r>
    <n v="1515"/>
    <x v="267"/>
    <x v="267"/>
    <x v="249"/>
    <x v="5"/>
    <x v="12"/>
    <n v="1477"/>
    <x v="15"/>
    <m/>
    <m/>
    <s v="Supplier"/>
    <m/>
    <x v="37"/>
    <s v="Yingbao_NDA_28Feb2013.pdf.pdf"/>
    <s v=".pdf"/>
    <d v="2014-04-02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m/>
    <m/>
    <m/>
    <s v="CP"/>
    <m/>
    <m/>
    <s v="CP "/>
    <x v="0"/>
    <x v="1"/>
    <m/>
    <x v="6"/>
  </r>
  <r>
    <n v="1527"/>
    <x v="267"/>
    <x v="267"/>
    <x v="249"/>
    <x v="5"/>
    <x v="12"/>
    <n v="1488"/>
    <x v="8"/>
    <m/>
    <m/>
    <s v="Supplier"/>
    <m/>
    <x v="130"/>
    <s v="YINGBAO_Responsible Purchasing  Charter_1Nov2012.pdf"/>
    <s v=".pdf"/>
    <d v="2014-04-02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1"/>
    <n v="1"/>
    <m/>
    <m/>
    <s v="CP"/>
    <m/>
    <m/>
    <s v="CP "/>
    <x v="0"/>
    <x v="1"/>
    <m/>
    <x v="6"/>
  </r>
  <r>
    <n v="1526"/>
    <x v="267"/>
    <x v="267"/>
    <x v="249"/>
    <x v="5"/>
    <x v="12"/>
    <n v="1487"/>
    <x v="2"/>
    <m/>
    <m/>
    <s v="Supplier"/>
    <m/>
    <x v="888"/>
    <s v="YINGBAO_SIF_Jun2012.xlsx"/>
    <s v=".xlsx"/>
    <d v="2014-04-02T00:00:00"/>
    <s v="as\afok"/>
    <m/>
    <s v="2012"/>
    <m/>
    <m/>
    <m/>
    <m/>
    <m/>
    <x v="0"/>
    <x v="0"/>
    <x v="0"/>
    <x v="0"/>
    <x v="1"/>
    <x v="158"/>
    <x v="214"/>
    <x v="201"/>
    <x v="182"/>
    <x v="182"/>
    <x v="0"/>
    <x v="0"/>
    <x v="0"/>
    <x v="0"/>
    <x v="0"/>
    <m/>
    <x v="0"/>
    <x v="0"/>
    <x v="0"/>
    <x v="0"/>
    <m/>
    <m/>
    <m/>
    <n v="1"/>
    <m/>
    <m/>
    <m/>
    <s v="CP"/>
    <m/>
    <m/>
    <s v="CP "/>
    <x v="2"/>
    <x v="1"/>
    <m/>
    <x v="6"/>
  </r>
  <r>
    <n v="1513"/>
    <x v="267"/>
    <x v="267"/>
    <x v="249"/>
    <x v="5"/>
    <x v="12"/>
    <n v="1475"/>
    <x v="2"/>
    <n v="1"/>
    <m/>
    <s v="Supplier"/>
    <m/>
    <x v="271"/>
    <s v="YINGBAO_SIF_May2013.xlsx"/>
    <s v=".xlsx"/>
    <d v="2014-04-02T00:00:00"/>
    <s v="as\afok"/>
    <m/>
    <s v="2013"/>
    <m/>
    <m/>
    <m/>
    <m/>
    <m/>
    <x v="0"/>
    <x v="0"/>
    <x v="0"/>
    <x v="0"/>
    <x v="2"/>
    <x v="159"/>
    <x v="215"/>
    <x v="202"/>
    <x v="183"/>
    <x v="183"/>
    <x v="0"/>
    <x v="0"/>
    <x v="0"/>
    <x v="0"/>
    <x v="0"/>
    <m/>
    <x v="0"/>
    <x v="0"/>
    <x v="0"/>
    <x v="0"/>
    <m/>
    <m/>
    <m/>
    <n v="1"/>
    <m/>
    <m/>
    <m/>
    <s v="CP"/>
    <m/>
    <m/>
    <s v="CP "/>
    <x v="2"/>
    <x v="1"/>
    <m/>
    <x v="6"/>
  </r>
  <r>
    <n v="2130"/>
    <x v="268"/>
    <x v="268"/>
    <x v="250"/>
    <x v="4"/>
    <x v="14"/>
    <n v="2073"/>
    <x v="4"/>
    <m/>
    <m/>
    <s v="Supplier"/>
    <m/>
    <x v="274"/>
    <s v="Yingde_Agreement_Jan2013.pdf"/>
    <s v=".pdf"/>
    <d v="2014-04-14T00:00:00"/>
    <s v="as\afok"/>
    <m/>
    <s v="V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n v="1"/>
    <m/>
    <m/>
    <n v="1"/>
    <m/>
    <m/>
    <m/>
    <s v="CP"/>
    <m/>
    <m/>
    <s v="CP "/>
    <x v="0"/>
    <x v="1"/>
    <m/>
    <x v="35"/>
  </r>
  <r>
    <n v="2132"/>
    <x v="268"/>
    <x v="268"/>
    <x v="250"/>
    <x v="4"/>
    <x v="14"/>
    <n v="2075"/>
    <x v="5"/>
    <m/>
    <m/>
    <s v="Supplier"/>
    <m/>
    <x v="274"/>
    <s v="Yingde_Agreement_Jan2013.pdf"/>
    <s v=".pdf"/>
    <d v="2014-04-14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n v="1"/>
    <m/>
    <n v="1"/>
    <m/>
    <m/>
    <m/>
    <s v="CP"/>
    <m/>
    <m/>
    <s v="CP "/>
    <x v="0"/>
    <x v="1"/>
    <m/>
    <x v="35"/>
  </r>
  <r>
    <n v="2133"/>
    <x v="268"/>
    <x v="268"/>
    <x v="250"/>
    <x v="4"/>
    <x v="14"/>
    <n v="2076"/>
    <x v="6"/>
    <m/>
    <m/>
    <s v="Supplier"/>
    <m/>
    <x v="274"/>
    <s v="Yingde_Agreement_Jan2013.pdf"/>
    <s v=".pdf"/>
    <d v="2014-04-14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n v="1"/>
    <n v="1"/>
    <m/>
    <m/>
    <m/>
    <s v="CP"/>
    <m/>
    <m/>
    <s v="CP "/>
    <x v="0"/>
    <x v="1"/>
    <m/>
    <x v="35"/>
  </r>
  <r>
    <n v="2136"/>
    <x v="268"/>
    <x v="268"/>
    <x v="250"/>
    <x v="4"/>
    <x v="14"/>
    <n v="2079"/>
    <x v="6"/>
    <m/>
    <m/>
    <s v="Supplier"/>
    <m/>
    <x v="325"/>
    <s v="SUPPLY CHAIN APPENDIXV.10_Yingde.pdf"/>
    <s v=".pdf"/>
    <d v="2014-04-14T00:00:00"/>
    <s v="as\afok"/>
    <m/>
    <s v="V10"/>
    <m/>
    <n v="28"/>
    <n v="85"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n v="1"/>
    <n v="1"/>
    <m/>
    <m/>
    <m/>
    <s v="CP"/>
    <m/>
    <m/>
    <s v="CP "/>
    <x v="0"/>
    <x v="1"/>
    <m/>
    <x v="35"/>
  </r>
  <r>
    <n v="2134"/>
    <x v="268"/>
    <x v="268"/>
    <x v="250"/>
    <x v="4"/>
    <x v="14"/>
    <n v="2077"/>
    <x v="10"/>
    <m/>
    <m/>
    <s v="Supplier"/>
    <m/>
    <x v="254"/>
    <s v="Yingde_Agreement_Jan2013.pdf"/>
    <s v=".pdf"/>
    <d v="2014-04-1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1"/>
    <m/>
    <m/>
    <m/>
    <s v="CP"/>
    <m/>
    <m/>
    <s v="CP "/>
    <x v="0"/>
    <x v="1"/>
    <m/>
    <x v="35"/>
  </r>
  <r>
    <n v="2131"/>
    <x v="268"/>
    <x v="268"/>
    <x v="250"/>
    <x v="4"/>
    <x v="14"/>
    <n v="2074"/>
    <x v="7"/>
    <m/>
    <m/>
    <s v="Supplier"/>
    <m/>
    <x v="889"/>
    <s v="Yingde_Agreement_Jan2013.pdf"/>
    <s v=".pdf"/>
    <d v="2014-04-14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1"/>
    <m/>
    <m/>
    <m/>
    <s v="CP"/>
    <m/>
    <m/>
    <s v="CP "/>
    <x v="0"/>
    <x v="1"/>
    <m/>
    <x v="35"/>
  </r>
  <r>
    <n v="2135"/>
    <x v="268"/>
    <x v="268"/>
    <x v="250"/>
    <x v="4"/>
    <x v="14"/>
    <n v="2078"/>
    <x v="8"/>
    <m/>
    <m/>
    <s v="Supplier"/>
    <m/>
    <x v="551"/>
    <s v="Yingde_Responsible_Purchasing_Charter_01Mar2013.pdf"/>
    <s v=".pdf"/>
    <d v="2014-04-14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1"/>
    <m/>
    <m/>
    <m/>
    <s v="CP"/>
    <m/>
    <m/>
    <s v="CP "/>
    <x v="0"/>
    <x v="1"/>
    <m/>
    <x v="35"/>
  </r>
  <r>
    <n v="2137"/>
    <x v="268"/>
    <x v="268"/>
    <x v="250"/>
    <x v="4"/>
    <x v="14"/>
    <n v="2080"/>
    <x v="1"/>
    <m/>
    <m/>
    <s v="Supplier"/>
    <m/>
    <x v="524"/>
    <s v="SEF-Yingde-20130820-80.xlsx"/>
    <s v=".xlsx"/>
    <d v="2014-04-14T00:00:00"/>
    <s v="as\afok"/>
    <m/>
    <s v="2013"/>
    <m/>
    <m/>
    <m/>
    <m/>
    <m/>
    <x v="0"/>
    <x v="0"/>
    <x v="0"/>
    <x v="15"/>
    <x v="0"/>
    <x v="0"/>
    <x v="0"/>
    <x v="0"/>
    <x v="0"/>
    <x v="0"/>
    <x v="0"/>
    <x v="0"/>
    <x v="0"/>
    <x v="0"/>
    <x v="0"/>
    <s v="CP Panel"/>
    <x v="0"/>
    <x v="0"/>
    <x v="1"/>
    <x v="6"/>
    <m/>
    <m/>
    <m/>
    <n v="1"/>
    <n v="1"/>
    <m/>
    <m/>
    <s v="CP"/>
    <m/>
    <m/>
    <s v="CP "/>
    <x v="0"/>
    <x v="1"/>
    <m/>
    <x v="35"/>
  </r>
  <r>
    <n v="2129"/>
    <x v="268"/>
    <x v="268"/>
    <x v="250"/>
    <x v="4"/>
    <x v="14"/>
    <n v="2072"/>
    <x v="2"/>
    <m/>
    <m/>
    <s v="Supplier"/>
    <m/>
    <x v="306"/>
    <s v="Jiangmen Yingde - SIF2012 - 25.07.2012.xlsx"/>
    <s v=".xlsx"/>
    <d v="2014-04-14T00:00:00"/>
    <s v="as\afok"/>
    <m/>
    <s v="2012"/>
    <m/>
    <m/>
    <m/>
    <m/>
    <m/>
    <x v="0"/>
    <x v="0"/>
    <x v="0"/>
    <x v="0"/>
    <x v="1"/>
    <x v="160"/>
    <x v="176"/>
    <x v="203"/>
    <x v="184"/>
    <x v="153"/>
    <x v="6"/>
    <x v="19"/>
    <x v="29"/>
    <x v="6"/>
    <x v="9"/>
    <s v="CP Panel"/>
    <x v="0"/>
    <x v="0"/>
    <x v="1"/>
    <x v="6"/>
    <m/>
    <m/>
    <m/>
    <n v="1"/>
    <m/>
    <m/>
    <m/>
    <s v="CP"/>
    <m/>
    <m/>
    <s v="CP "/>
    <x v="2"/>
    <x v="1"/>
    <m/>
    <x v="35"/>
  </r>
  <r>
    <n v="1535"/>
    <x v="269"/>
    <x v="269"/>
    <x v="251"/>
    <x v="5"/>
    <x v="12"/>
    <n v="1496"/>
    <x v="4"/>
    <m/>
    <m/>
    <s v="Supplier"/>
    <m/>
    <x v="890"/>
    <s v="Weimao_Purchase_Agreement_2009.pdf"/>
    <s v=".pdf"/>
    <d v="2014-04-03T00:00:00"/>
    <s v="as\afok"/>
    <m/>
    <s v="V5"/>
    <s v="37D6 - Within 60 days Due net on posting date 37D6"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n v="1"/>
    <m/>
    <m/>
    <n v="0"/>
    <m/>
    <m/>
    <m/>
    <s v="CP"/>
    <m/>
    <m/>
    <s v="CP "/>
    <x v="0"/>
    <x v="1"/>
    <m/>
    <x v="63"/>
  </r>
  <r>
    <n v="1536"/>
    <x v="269"/>
    <x v="269"/>
    <x v="251"/>
    <x v="5"/>
    <x v="12"/>
    <n v="1497"/>
    <x v="7"/>
    <m/>
    <m/>
    <s v="Supplier"/>
    <m/>
    <x v="114"/>
    <s v="China_Nal_Env_Declaration_08Mar2010.pdf"/>
    <s v=".pdf"/>
    <d v="2014-04-03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0"/>
    <m/>
    <m/>
    <m/>
    <s v="CP"/>
    <m/>
    <m/>
    <s v="CP "/>
    <x v="0"/>
    <x v="1"/>
    <m/>
    <x v="63"/>
  </r>
  <r>
    <n v="1537"/>
    <x v="269"/>
    <x v="269"/>
    <x v="251"/>
    <x v="5"/>
    <x v="12"/>
    <n v="1498"/>
    <x v="13"/>
    <m/>
    <m/>
    <s v="Supplier"/>
    <d v="2010-11-12T00:00:00"/>
    <x v="891"/>
    <s v="China_NAL_ISO14001_12Nov2010.jpg"/>
    <s v=".jpg"/>
    <d v="2014-04-0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0"/>
    <m/>
    <n v="1"/>
    <m/>
    <s v="CP"/>
    <m/>
    <m/>
    <s v="CP "/>
    <x v="0"/>
    <x v="1"/>
    <m/>
    <x v="63"/>
  </r>
  <r>
    <n v="1534"/>
    <x v="269"/>
    <x v="269"/>
    <x v="251"/>
    <x v="5"/>
    <x v="12"/>
    <n v="1495"/>
    <x v="9"/>
    <m/>
    <m/>
    <s v="Product / Project"/>
    <m/>
    <x v="425"/>
    <s v="LOC_Yiwei_Tokyo Fresh2_Project.pdf"/>
    <s v=".pdf"/>
    <d v="2014-04-03T00:00:00"/>
    <s v="as\afok"/>
    <m/>
    <m/>
    <m/>
    <m/>
    <m/>
    <m/>
    <s v="Tokyo Fresh2"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0"/>
    <m/>
    <m/>
    <m/>
    <s v="CP"/>
    <m/>
    <m/>
    <s v="CP "/>
    <x v="0"/>
    <x v="1"/>
    <m/>
    <x v="63"/>
  </r>
  <r>
    <n v="1530"/>
    <x v="269"/>
    <x v="269"/>
    <x v="251"/>
    <x v="5"/>
    <x v="12"/>
    <n v="1491"/>
    <x v="9"/>
    <m/>
    <m/>
    <s v="Product / Project"/>
    <m/>
    <x v="426"/>
    <s v="LOC_Shanghai_Yiwei_(Nara_project).pdf"/>
    <s v=".pdf"/>
    <d v="2014-04-03T00:00:00"/>
    <s v="as\afok"/>
    <m/>
    <m/>
    <m/>
    <m/>
    <m/>
    <m/>
    <s v="Nara"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0"/>
    <m/>
    <m/>
    <m/>
    <s v="CP"/>
    <m/>
    <m/>
    <s v="CP "/>
    <x v="0"/>
    <x v="1"/>
    <m/>
    <x v="63"/>
  </r>
  <r>
    <n v="1531"/>
    <x v="269"/>
    <x v="269"/>
    <x v="251"/>
    <x v="5"/>
    <x v="12"/>
    <n v="1492"/>
    <x v="8"/>
    <m/>
    <m/>
    <s v="Supplier"/>
    <m/>
    <x v="247"/>
    <s v="YIWEI_Responsible Purchaser Charter_13Aug2012.pdf"/>
    <s v=".pdf"/>
    <d v="2014-04-03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0"/>
    <m/>
    <m/>
    <m/>
    <s v="CP"/>
    <m/>
    <m/>
    <s v="CP "/>
    <x v="0"/>
    <x v="1"/>
    <m/>
    <x v="63"/>
  </r>
  <r>
    <n v="1532"/>
    <x v="269"/>
    <x v="269"/>
    <x v="251"/>
    <x v="5"/>
    <x v="12"/>
    <n v="1493"/>
    <x v="2"/>
    <m/>
    <m/>
    <s v="Supplier"/>
    <m/>
    <x v="261"/>
    <s v="WEIMAO_SIF_20120806.xlsx"/>
    <s v=".xlsx"/>
    <d v="2014-04-03T00:00:00"/>
    <s v="as\afok"/>
    <s v="NINGBO CIXI WEITE Plastic CO., LTD"/>
    <s v="2012"/>
    <m/>
    <m/>
    <m/>
    <m/>
    <m/>
    <x v="0"/>
    <x v="0"/>
    <x v="0"/>
    <x v="0"/>
    <x v="1"/>
    <x v="161"/>
    <x v="48"/>
    <x v="204"/>
    <x v="185"/>
    <x v="184"/>
    <x v="47"/>
    <x v="112"/>
    <x v="107"/>
    <x v="95"/>
    <x v="87"/>
    <s v="CP Panel"/>
    <x v="0"/>
    <x v="0"/>
    <x v="1"/>
    <x v="3"/>
    <m/>
    <m/>
    <m/>
    <n v="0"/>
    <m/>
    <m/>
    <m/>
    <s v="CP"/>
    <m/>
    <m/>
    <s v="CP "/>
    <x v="2"/>
    <x v="1"/>
    <m/>
    <x v="63"/>
  </r>
  <r>
    <n v="1533"/>
    <x v="269"/>
    <x v="269"/>
    <x v="251"/>
    <x v="5"/>
    <x v="12"/>
    <n v="1494"/>
    <x v="2"/>
    <n v="1"/>
    <m/>
    <s v="Supplier"/>
    <m/>
    <x v="261"/>
    <s v="WEIMAO_SIF_20120806.xlsx"/>
    <s v=".xlsx"/>
    <d v="2014-04-03T00:00:00"/>
    <s v="as\afok"/>
    <m/>
    <s v="2012"/>
    <m/>
    <m/>
    <m/>
    <m/>
    <m/>
    <x v="0"/>
    <x v="0"/>
    <x v="0"/>
    <x v="0"/>
    <x v="1"/>
    <x v="113"/>
    <x v="216"/>
    <x v="205"/>
    <x v="4"/>
    <x v="124"/>
    <x v="4"/>
    <x v="113"/>
    <x v="4"/>
    <x v="96"/>
    <x v="59"/>
    <s v="CP Panel"/>
    <x v="0"/>
    <x v="0"/>
    <x v="1"/>
    <x v="3"/>
    <m/>
    <m/>
    <m/>
    <n v="0"/>
    <m/>
    <m/>
    <m/>
    <s v="CP"/>
    <m/>
    <m/>
    <s v="CP "/>
    <x v="2"/>
    <x v="1"/>
    <m/>
    <x v="63"/>
  </r>
  <r>
    <n v="1528"/>
    <x v="269"/>
    <x v="269"/>
    <x v="251"/>
    <x v="5"/>
    <x v="12"/>
    <n v="1489"/>
    <x v="2"/>
    <m/>
    <m/>
    <s v="Supplier"/>
    <m/>
    <x v="892"/>
    <s v="YIWEI_SIF_Jan2014.xlsx"/>
    <s v=".xlsx"/>
    <d v="2014-04-03T00:00:00"/>
    <s v="as\afok"/>
    <m/>
    <s v="2014"/>
    <m/>
    <m/>
    <m/>
    <m/>
    <m/>
    <x v="0"/>
    <x v="0"/>
    <x v="0"/>
    <x v="0"/>
    <x v="3"/>
    <x v="81"/>
    <x v="95"/>
    <x v="59"/>
    <x v="186"/>
    <x v="4"/>
    <x v="4"/>
    <x v="1"/>
    <x v="34"/>
    <x v="1"/>
    <x v="88"/>
    <s v="CP Panel"/>
    <x v="0"/>
    <x v="0"/>
    <x v="1"/>
    <x v="3"/>
    <m/>
    <m/>
    <m/>
    <n v="0"/>
    <m/>
    <m/>
    <m/>
    <s v="CP"/>
    <m/>
    <m/>
    <s v="CP "/>
    <x v="2"/>
    <x v="1"/>
    <m/>
    <x v="63"/>
  </r>
  <r>
    <n v="1529"/>
    <x v="269"/>
    <x v="269"/>
    <x v="251"/>
    <x v="5"/>
    <x v="12"/>
    <n v="1490"/>
    <x v="3"/>
    <m/>
    <m/>
    <s v="Supplier"/>
    <m/>
    <x v="130"/>
    <s v="SPR 2012 Weimao V4.pptx"/>
    <s v=".pptx"/>
    <d v="2014-04-03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CP Panel"/>
    <x v="0"/>
    <x v="0"/>
    <x v="1"/>
    <x v="3"/>
    <m/>
    <m/>
    <m/>
    <n v="0"/>
    <m/>
    <m/>
    <m/>
    <s v="CP"/>
    <m/>
    <m/>
    <s v="CP "/>
    <x v="0"/>
    <x v="1"/>
    <m/>
    <x v="63"/>
  </r>
  <r>
    <n v="2273"/>
    <x v="270"/>
    <x v="270"/>
    <x v="252"/>
    <x v="4"/>
    <x v="8"/>
    <n v="2214"/>
    <x v="5"/>
    <m/>
    <m/>
    <s v="Supplier"/>
    <m/>
    <x v="315"/>
    <s v="Yong_Tai_Quality_appendix_SEP12.pdf"/>
    <s v=".pdf"/>
    <d v="2014-04-16T00:00:00"/>
    <s v="as\afok"/>
    <m/>
    <s v="V4"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n v="1"/>
    <m/>
    <n v="0"/>
    <m/>
    <m/>
    <m/>
    <s v="CP"/>
    <m/>
    <m/>
    <s v="CP "/>
    <x v="0"/>
    <x v="1"/>
    <m/>
    <x v="8"/>
  </r>
  <r>
    <n v="2272"/>
    <x v="270"/>
    <x v="270"/>
    <x v="252"/>
    <x v="4"/>
    <x v="8"/>
    <n v="2213"/>
    <x v="13"/>
    <m/>
    <m/>
    <s v="Supplier"/>
    <d v="2012-05-13T00:00:00"/>
    <x v="893"/>
    <s v="Yong Tai_ISO14001_2004.pdf"/>
    <s v=".pdf"/>
    <d v="2014-04-1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2271"/>
    <x v="270"/>
    <x v="270"/>
    <x v="252"/>
    <x v="4"/>
    <x v="8"/>
    <n v="2212"/>
    <x v="14"/>
    <m/>
    <m/>
    <s v="Supplier"/>
    <d v="2013-02-21T00:00:00"/>
    <x v="830"/>
    <s v="Yong Tai_ISO9001_2008.pdf"/>
    <s v=".pdf"/>
    <d v="2014-04-1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2274"/>
    <x v="270"/>
    <x v="270"/>
    <x v="252"/>
    <x v="4"/>
    <x v="8"/>
    <n v="2215"/>
    <x v="8"/>
    <m/>
    <m/>
    <s v="Supplier"/>
    <m/>
    <x v="894"/>
    <m/>
    <m/>
    <d v="2014-04-16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s v="CP"/>
    <m/>
    <m/>
    <s v="CP "/>
    <x v="0"/>
    <x v="1"/>
    <m/>
    <x v="8"/>
  </r>
  <r>
    <n v="2270"/>
    <x v="270"/>
    <x v="270"/>
    <x v="252"/>
    <x v="4"/>
    <x v="8"/>
    <n v="2211"/>
    <x v="1"/>
    <m/>
    <m/>
    <s v="Supplier"/>
    <m/>
    <x v="398"/>
    <s v="Yong Tai Supplier Evaluation Aug 2012.xls"/>
    <s v=".xls"/>
    <d v="2014-04-16T00:00:00"/>
    <s v="as\afok"/>
    <m/>
    <s v="2012"/>
    <m/>
    <m/>
    <m/>
    <m/>
    <m/>
    <x v="0"/>
    <x v="0"/>
    <x v="0"/>
    <x v="15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2269"/>
    <x v="270"/>
    <x v="270"/>
    <x v="252"/>
    <x v="4"/>
    <x v="8"/>
    <n v="2210"/>
    <x v="2"/>
    <m/>
    <m/>
    <s v="Supplier"/>
    <m/>
    <x v="223"/>
    <s v="YongTai_SIF2013.xls"/>
    <s v=".xls"/>
    <d v="2014-04-16T00:00:00"/>
    <s v="as\afok"/>
    <m/>
    <s v="2013"/>
    <m/>
    <m/>
    <m/>
    <m/>
    <m/>
    <x v="0"/>
    <x v="0"/>
    <x v="0"/>
    <x v="0"/>
    <x v="2"/>
    <x v="0"/>
    <x v="0"/>
    <x v="0"/>
    <x v="0"/>
    <x v="0"/>
    <x v="0"/>
    <x v="15"/>
    <x v="0"/>
    <x v="0"/>
    <x v="0"/>
    <m/>
    <x v="0"/>
    <x v="0"/>
    <x v="0"/>
    <x v="0"/>
    <m/>
    <m/>
    <m/>
    <n v="0"/>
    <m/>
    <m/>
    <m/>
    <s v="CP"/>
    <m/>
    <m/>
    <s v="CP "/>
    <x v="2"/>
    <x v="1"/>
    <m/>
    <x v="8"/>
  </r>
  <r>
    <n v="34"/>
    <x v="271"/>
    <x v="271"/>
    <x v="253"/>
    <x v="3"/>
    <x v="4"/>
    <n v="29"/>
    <x v="4"/>
    <m/>
    <m/>
    <s v="Supplier"/>
    <d v="2014-12-31T00:00:00"/>
    <x v="445"/>
    <s v="General Agreement FHA00016ind7_YORKWELL_20080218.pdf"/>
    <s v=".pdf"/>
    <d v="2014-03-04T00:00:00"/>
    <s v="as\afok"/>
    <m/>
    <s v="FHA00016 ind.0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3"/>
    <x v="0"/>
    <x v="0"/>
    <n v="1"/>
    <m/>
    <m/>
    <n v="1"/>
    <m/>
    <m/>
    <s v="FP"/>
    <m/>
    <s v="SP"/>
    <s v="MOULD"/>
    <s v="FP SP MOULD "/>
    <x v="0"/>
    <x v="1"/>
    <n v="1"/>
    <x v="20"/>
  </r>
  <r>
    <n v="391"/>
    <x v="271"/>
    <x v="271"/>
    <x v="253"/>
    <x v="3"/>
    <x v="4"/>
    <n v="378"/>
    <x v="5"/>
    <m/>
    <m/>
    <s v="Supplier"/>
    <m/>
    <x v="895"/>
    <s v="Yorkwell General Agreement FHA 000 16ind.11.pdf"/>
    <s v=".pdf"/>
    <d v="2014-03-17T00:00:00"/>
    <s v="as\afok"/>
    <m/>
    <m/>
    <m/>
    <m/>
    <m/>
    <n v="1000"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3"/>
    <x v="0"/>
    <x v="0"/>
    <m/>
    <n v="1"/>
    <m/>
    <n v="1"/>
    <m/>
    <m/>
    <s v="FP"/>
    <m/>
    <s v="SP"/>
    <s v="MOULD"/>
    <s v="FP SP MOULD "/>
    <x v="0"/>
    <x v="1"/>
    <n v="1"/>
    <x v="20"/>
  </r>
  <r>
    <n v="390"/>
    <x v="271"/>
    <x v="271"/>
    <x v="253"/>
    <x v="3"/>
    <x v="4"/>
    <n v="377"/>
    <x v="6"/>
    <m/>
    <m/>
    <s v="Supplier"/>
    <m/>
    <x v="895"/>
    <s v="Yorkwell General Agreement FHA 000 16ind.11.pdf"/>
    <s v=".pdf"/>
    <d v="2014-03-17T00:00:00"/>
    <s v="as\afok"/>
    <m/>
    <m/>
    <m/>
    <n v="35"/>
    <n v="85"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3"/>
    <x v="0"/>
    <x v="0"/>
    <m/>
    <m/>
    <n v="1"/>
    <n v="1"/>
    <m/>
    <m/>
    <s v="FP"/>
    <m/>
    <s v="SP"/>
    <s v="MOULD"/>
    <s v="FP SP MOULD "/>
    <x v="0"/>
    <x v="1"/>
    <n v="1"/>
    <x v="20"/>
  </r>
  <r>
    <n v="396"/>
    <x v="271"/>
    <x v="271"/>
    <x v="253"/>
    <x v="3"/>
    <x v="4"/>
    <n v="383"/>
    <x v="7"/>
    <m/>
    <m/>
    <s v="Supplier"/>
    <m/>
    <x v="784"/>
    <s v="Yorkwell_Env_Declaration_04Jun10.xls"/>
    <s v=".xls"/>
    <d v="2014-03-17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3"/>
    <x v="0"/>
    <x v="0"/>
    <m/>
    <m/>
    <m/>
    <n v="1"/>
    <m/>
    <m/>
    <s v="FP"/>
    <m/>
    <s v="SP"/>
    <s v="MOULD"/>
    <s v="FP SP MOULD "/>
    <x v="0"/>
    <x v="1"/>
    <n v="1"/>
    <x v="20"/>
  </r>
  <r>
    <n v="392"/>
    <x v="271"/>
    <x v="271"/>
    <x v="253"/>
    <x v="3"/>
    <x v="4"/>
    <n v="379"/>
    <x v="7"/>
    <m/>
    <m/>
    <s v="Supplier"/>
    <m/>
    <x v="895"/>
    <s v="Yorkwell General Agreement FHA 000 16ind.11.pdf"/>
    <s v=".pdf"/>
    <d v="2014-03-17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3"/>
    <x v="0"/>
    <x v="0"/>
    <m/>
    <m/>
    <m/>
    <n v="1"/>
    <m/>
    <m/>
    <s v="FP"/>
    <m/>
    <s v="SP"/>
    <s v="MOULD"/>
    <s v="FP SP MOULD "/>
    <x v="0"/>
    <x v="1"/>
    <n v="1"/>
    <x v="20"/>
  </r>
  <r>
    <n v="394"/>
    <x v="271"/>
    <x v="271"/>
    <x v="253"/>
    <x v="3"/>
    <x v="4"/>
    <n v="381"/>
    <x v="11"/>
    <m/>
    <m/>
    <s v="Product / Project"/>
    <m/>
    <x v="896"/>
    <s v="Yorkwell_Classic 2 4S_EA_ 2012-10-03.pdf"/>
    <s v=".pdf"/>
    <d v="2014-03-17T00:00:00"/>
    <s v="as\afok"/>
    <m/>
    <m/>
    <m/>
    <m/>
    <m/>
    <m/>
    <s v="Classic 2 4S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3"/>
    <x v="0"/>
    <x v="0"/>
    <m/>
    <m/>
    <m/>
    <n v="1"/>
    <m/>
    <m/>
    <s v="FP"/>
    <m/>
    <s v="SP"/>
    <s v="MOULD"/>
    <s v="FP SP MOULD "/>
    <x v="0"/>
    <x v="1"/>
    <n v="1"/>
    <x v="20"/>
  </r>
  <r>
    <n v="400"/>
    <x v="271"/>
    <x v="271"/>
    <x v="253"/>
    <x v="3"/>
    <x v="4"/>
    <n v="387"/>
    <x v="11"/>
    <m/>
    <m/>
    <s v="Product / Project"/>
    <m/>
    <x v="307"/>
    <s v="Yorkwell_USA breadfast set 2012_EA_ 2012-05-14.pdf"/>
    <s v=".pdf"/>
    <d v="2014-03-17T00:00:00"/>
    <s v="as\afok"/>
    <s v="_x000d__x000a_"/>
    <m/>
    <m/>
    <m/>
    <m/>
    <m/>
    <s v="USA breadfast set 2012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3"/>
    <x v="0"/>
    <x v="0"/>
    <m/>
    <m/>
    <m/>
    <n v="1"/>
    <m/>
    <m/>
    <s v="FP"/>
    <m/>
    <s v="SP"/>
    <s v="MOULD"/>
    <s v="FP SP MOULD "/>
    <x v="0"/>
    <x v="1"/>
    <n v="1"/>
    <x v="20"/>
  </r>
  <r>
    <n v="389"/>
    <x v="271"/>
    <x v="271"/>
    <x v="253"/>
    <x v="3"/>
    <x v="4"/>
    <n v="376"/>
    <x v="0"/>
    <m/>
    <m/>
    <s v="Supplier"/>
    <m/>
    <x v="897"/>
    <s v="Yorkwell FRD00069 ind.04 20090508.pdf"/>
    <s v=".pdf"/>
    <d v="2014-03-17T00:00:00"/>
    <s v="as\afok"/>
    <m/>
    <s v="FRD00069 ind.04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3"/>
    <x v="0"/>
    <x v="0"/>
    <m/>
    <m/>
    <m/>
    <n v="1"/>
    <m/>
    <m/>
    <s v="FP"/>
    <m/>
    <s v="SP"/>
    <s v="MOULD"/>
    <s v="FP SP MOULD "/>
    <x v="0"/>
    <x v="1"/>
    <n v="1"/>
    <x v="20"/>
  </r>
  <r>
    <n v="395"/>
    <x v="271"/>
    <x v="271"/>
    <x v="253"/>
    <x v="3"/>
    <x v="4"/>
    <n v="382"/>
    <x v="12"/>
    <m/>
    <m/>
    <s v="Product / Project"/>
    <m/>
    <x v="896"/>
    <s v="Yorkwell_Classic 2 4S_IP_ 2012-10-03.pdf"/>
    <s v=".pdf"/>
    <d v="2014-03-17T00:00:00"/>
    <s v="as\afok"/>
    <s v="_x000d__x000a_"/>
    <m/>
    <m/>
    <m/>
    <m/>
    <m/>
    <s v="Classic 2 4S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3"/>
    <x v="0"/>
    <x v="0"/>
    <m/>
    <m/>
    <m/>
    <n v="1"/>
    <m/>
    <m/>
    <s v="FP"/>
    <m/>
    <s v="SP"/>
    <s v="MOULD"/>
    <s v="FP SP MOULD "/>
    <x v="0"/>
    <x v="1"/>
    <n v="1"/>
    <x v="20"/>
  </r>
  <r>
    <n v="401"/>
    <x v="271"/>
    <x v="271"/>
    <x v="253"/>
    <x v="3"/>
    <x v="4"/>
    <n v="388"/>
    <x v="12"/>
    <m/>
    <m/>
    <s v="Product / Project"/>
    <m/>
    <x v="85"/>
    <s v="Yorkwell_USA breadfast set 2012_IP_ 2012-05-14.pdf"/>
    <s v=".pdf"/>
    <d v="2014-03-17T00:00:00"/>
    <s v="as\afok"/>
    <s v="_x000d__x000a_"/>
    <m/>
    <m/>
    <m/>
    <m/>
    <m/>
    <s v="USA breadfast set 2012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3"/>
    <x v="0"/>
    <x v="0"/>
    <m/>
    <m/>
    <m/>
    <n v="1"/>
    <n v="1"/>
    <m/>
    <s v="FP"/>
    <m/>
    <s v="SP"/>
    <s v="MOULD"/>
    <s v="FP SP MOULD "/>
    <x v="0"/>
    <x v="1"/>
    <n v="1"/>
    <x v="20"/>
  </r>
  <r>
    <n v="393"/>
    <x v="271"/>
    <x v="271"/>
    <x v="253"/>
    <x v="3"/>
    <x v="4"/>
    <n v="380"/>
    <x v="15"/>
    <m/>
    <m/>
    <s v="Product / Project"/>
    <m/>
    <x v="579"/>
    <s v="Yorkwell NDA Tray Toaster 29Jan10.pdf"/>
    <s v=".pdf"/>
    <d v="2014-03-17T00:00:00"/>
    <s v="as\afok"/>
    <s v="_x000d__x000a_"/>
    <m/>
    <m/>
    <m/>
    <m/>
    <m/>
    <s v="Tray Toaster"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3"/>
    <x v="0"/>
    <x v="0"/>
    <m/>
    <m/>
    <m/>
    <n v="1"/>
    <m/>
    <m/>
    <s v="FP"/>
    <m/>
    <s v="SP"/>
    <s v="MOULD"/>
    <s v="FP SP MOULD "/>
    <x v="0"/>
    <x v="1"/>
    <n v="1"/>
    <x v="20"/>
  </r>
  <r>
    <n v="388"/>
    <x v="271"/>
    <x v="271"/>
    <x v="253"/>
    <x v="3"/>
    <x v="4"/>
    <n v="375"/>
    <x v="8"/>
    <m/>
    <m/>
    <s v="Supplier"/>
    <m/>
    <x v="454"/>
    <s v="Yorkwell - Responsible Purchasing Charter.pdf"/>
    <s v=".pdf"/>
    <d v="2014-03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3"/>
    <x v="0"/>
    <x v="0"/>
    <m/>
    <m/>
    <m/>
    <n v="1"/>
    <m/>
    <m/>
    <s v="FP"/>
    <m/>
    <s v="SP"/>
    <s v="MOULD"/>
    <s v="FP SP MOULD "/>
    <x v="0"/>
    <x v="1"/>
    <n v="1"/>
    <x v="20"/>
  </r>
  <r>
    <n v="397"/>
    <x v="271"/>
    <x v="271"/>
    <x v="253"/>
    <x v="3"/>
    <x v="4"/>
    <n v="384"/>
    <x v="1"/>
    <m/>
    <m/>
    <s v="Supplier"/>
    <m/>
    <x v="71"/>
    <s v="Yorkwell_SEF_Dec 2012.xlsx"/>
    <s v=".xlsx"/>
    <d v="2014-03-17T00:00:00"/>
    <s v="as\afok"/>
    <m/>
    <s v="2012"/>
    <m/>
    <m/>
    <m/>
    <m/>
    <m/>
    <x v="0"/>
    <x v="0"/>
    <x v="0"/>
    <x v="30"/>
    <x v="0"/>
    <x v="0"/>
    <x v="0"/>
    <x v="0"/>
    <x v="0"/>
    <x v="0"/>
    <x v="0"/>
    <x v="0"/>
    <x v="0"/>
    <x v="0"/>
    <x v="0"/>
    <s v="FP panel Top 15"/>
    <x v="1"/>
    <x v="3"/>
    <x v="0"/>
    <x v="0"/>
    <m/>
    <m/>
    <m/>
    <n v="1"/>
    <m/>
    <m/>
    <s v="FP"/>
    <m/>
    <s v="SP"/>
    <s v="MOULD"/>
    <s v="FP SP MOULD "/>
    <x v="0"/>
    <x v="1"/>
    <n v="1"/>
    <x v="20"/>
  </r>
  <r>
    <n v="387"/>
    <x v="271"/>
    <x v="271"/>
    <x v="253"/>
    <x v="3"/>
    <x v="4"/>
    <n v="374"/>
    <x v="2"/>
    <m/>
    <m/>
    <s v="Supplier"/>
    <m/>
    <x v="213"/>
    <s v="FHA6E502_EN_-_SIF yorkwell  2013.xlsx"/>
    <s v=".xlsx"/>
    <d v="2014-03-17T00:00:00"/>
    <s v="as\afok"/>
    <m/>
    <s v="2013"/>
    <m/>
    <m/>
    <m/>
    <m/>
    <m/>
    <x v="0"/>
    <x v="0"/>
    <x v="0"/>
    <x v="0"/>
    <x v="2"/>
    <x v="1"/>
    <x v="104"/>
    <x v="51"/>
    <x v="187"/>
    <x v="12"/>
    <x v="24"/>
    <x v="76"/>
    <x v="108"/>
    <x v="67"/>
    <x v="89"/>
    <s v="FP panel Top 15"/>
    <x v="1"/>
    <x v="3"/>
    <x v="0"/>
    <x v="0"/>
    <m/>
    <m/>
    <m/>
    <n v="1"/>
    <m/>
    <m/>
    <s v="FP"/>
    <m/>
    <s v="SP"/>
    <s v="MOULD"/>
    <s v="FP SP MOULD "/>
    <x v="3"/>
    <x v="1"/>
    <n v="1"/>
    <x v="20"/>
  </r>
  <r>
    <n v="398"/>
    <x v="271"/>
    <x v="271"/>
    <x v="253"/>
    <x v="3"/>
    <x v="4"/>
    <n v="385"/>
    <x v="2"/>
    <n v="1"/>
    <m/>
    <s v="Supplier"/>
    <m/>
    <x v="602"/>
    <s v="YORKWELL_SIF 2012_24Feb12.xlsx"/>
    <s v=".xlsx"/>
    <d v="2014-03-17T00:00:00"/>
    <s v="as\afok"/>
    <m/>
    <s v="2012"/>
    <m/>
    <m/>
    <m/>
    <m/>
    <m/>
    <x v="0"/>
    <x v="0"/>
    <x v="0"/>
    <x v="0"/>
    <x v="1"/>
    <x v="82"/>
    <x v="55"/>
    <x v="51"/>
    <x v="187"/>
    <x v="12"/>
    <x v="2"/>
    <x v="114"/>
    <x v="108"/>
    <x v="67"/>
    <x v="0"/>
    <s v="FP panel Top 15"/>
    <x v="1"/>
    <x v="3"/>
    <x v="0"/>
    <x v="0"/>
    <m/>
    <m/>
    <m/>
    <n v="1"/>
    <m/>
    <m/>
    <s v="FP"/>
    <m/>
    <s v="SP"/>
    <s v="MOULD"/>
    <s v="FP SP MOULD "/>
    <x v="3"/>
    <x v="1"/>
    <n v="1"/>
    <x v="20"/>
  </r>
  <r>
    <n v="399"/>
    <x v="271"/>
    <x v="271"/>
    <x v="253"/>
    <x v="3"/>
    <x v="4"/>
    <n v="386"/>
    <x v="3"/>
    <m/>
    <m/>
    <s v="Supplier"/>
    <m/>
    <x v="222"/>
    <s v="yorkwell_SPR_201212.pptx"/>
    <s v=".pptx"/>
    <d v="2014-03-17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 Top 15"/>
    <x v="1"/>
    <x v="3"/>
    <x v="0"/>
    <x v="0"/>
    <m/>
    <m/>
    <m/>
    <n v="1"/>
    <m/>
    <m/>
    <s v="FP"/>
    <m/>
    <s v="SP"/>
    <s v="MOULD"/>
    <s v="FP SP MOULD "/>
    <x v="0"/>
    <x v="1"/>
    <n v="1"/>
    <x v="20"/>
  </r>
  <r>
    <n v="1366"/>
    <x v="272"/>
    <x v="272"/>
    <x v="254"/>
    <x v="0"/>
    <x v="3"/>
    <n v="1335"/>
    <x v="4"/>
    <m/>
    <m/>
    <s v="Supplier"/>
    <m/>
    <x v="99"/>
    <s v="You Long_General Agreement_21Dec11.pdf"/>
    <s v=".pdf"/>
    <d v="2014-03-31T00:00:00"/>
    <s v="as\afok"/>
    <m/>
    <s v="FHA 00 016 ind.10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n v="1"/>
    <m/>
    <m/>
    <n v="1"/>
    <m/>
    <m/>
    <s v="FP"/>
    <m/>
    <s v="SP"/>
    <m/>
    <s v="FP SP "/>
    <x v="0"/>
    <x v="1"/>
    <m/>
    <x v="4"/>
  </r>
  <r>
    <n v="1369"/>
    <x v="272"/>
    <x v="272"/>
    <x v="254"/>
    <x v="0"/>
    <x v="3"/>
    <n v="1338"/>
    <x v="5"/>
    <m/>
    <m/>
    <s v="Supplier"/>
    <m/>
    <x v="796"/>
    <s v="You Long_General Agreement_21Dec11.pdf"/>
    <s v=".pdf"/>
    <d v="2014-03-31T00:00:00"/>
    <s v="as\afok"/>
    <m/>
    <m/>
    <m/>
    <m/>
    <m/>
    <n v="2000"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n v="1"/>
    <m/>
    <n v="1"/>
    <m/>
    <m/>
    <s v="FP"/>
    <m/>
    <s v="SP"/>
    <m/>
    <s v="FP SP "/>
    <x v="0"/>
    <x v="1"/>
    <m/>
    <x v="4"/>
  </r>
  <r>
    <n v="1368"/>
    <x v="272"/>
    <x v="272"/>
    <x v="254"/>
    <x v="0"/>
    <x v="3"/>
    <n v="1337"/>
    <x v="6"/>
    <m/>
    <m/>
    <s v="Supplier"/>
    <m/>
    <x v="724"/>
    <s v="You Long_General Agreement_21Dec11.pdf"/>
    <s v=".pdf"/>
    <d v="2014-03-31T00:00:00"/>
    <s v="as\afok"/>
    <m/>
    <m/>
    <m/>
    <n v="60"/>
    <n v="85"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n v="1"/>
    <n v="1"/>
    <m/>
    <m/>
    <s v="FP"/>
    <m/>
    <s v="SP"/>
    <m/>
    <s v="FP SP "/>
    <x v="0"/>
    <x v="1"/>
    <m/>
    <x v="4"/>
  </r>
  <r>
    <n v="1370"/>
    <x v="272"/>
    <x v="272"/>
    <x v="254"/>
    <x v="0"/>
    <x v="3"/>
    <n v="1339"/>
    <x v="10"/>
    <m/>
    <m/>
    <s v="Supplier"/>
    <m/>
    <x v="724"/>
    <s v="You Long_General Agreement_21Dec11.pdf"/>
    <s v=".pdf"/>
    <d v="2014-03-3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m/>
    <s v="FP SP "/>
    <x v="0"/>
    <x v="1"/>
    <m/>
    <x v="4"/>
  </r>
  <r>
    <n v="1367"/>
    <x v="272"/>
    <x v="272"/>
    <x v="254"/>
    <x v="0"/>
    <x v="3"/>
    <n v="1336"/>
    <x v="7"/>
    <m/>
    <m/>
    <s v="Supplier"/>
    <m/>
    <x v="796"/>
    <s v="You Long_General Agreement_21Dec11.pdf"/>
    <s v=".pdf"/>
    <d v="2014-03-31T00:00:00"/>
    <s v="as\afok"/>
    <m/>
    <s v="2011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m/>
    <s v="FP SP "/>
    <x v="0"/>
    <x v="1"/>
    <m/>
    <x v="4"/>
  </r>
  <r>
    <n v="1365"/>
    <x v="272"/>
    <x v="272"/>
    <x v="254"/>
    <x v="0"/>
    <x v="3"/>
    <n v="1334"/>
    <x v="9"/>
    <m/>
    <m/>
    <s v="Supplier"/>
    <m/>
    <x v="898"/>
    <s v="You Long_Letter of Confidentiality_30Nov11.pdf"/>
    <s v=".pdf"/>
    <d v="2014-03-3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m/>
    <s v="FP SP "/>
    <x v="0"/>
    <x v="1"/>
    <m/>
    <x v="4"/>
  </r>
  <r>
    <n v="1364"/>
    <x v="272"/>
    <x v="272"/>
    <x v="254"/>
    <x v="0"/>
    <x v="3"/>
    <n v="1333"/>
    <x v="8"/>
    <m/>
    <m/>
    <s v="Supplier"/>
    <m/>
    <x v="77"/>
    <s v="You Long_Responsible Purchasing Charter_3Aug12.pdf"/>
    <s v=".pdf"/>
    <d v="2014-03-31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m/>
    <s v="FP SP "/>
    <x v="0"/>
    <x v="1"/>
    <m/>
    <x v="4"/>
  </r>
  <r>
    <n v="1371"/>
    <x v="272"/>
    <x v="272"/>
    <x v="254"/>
    <x v="0"/>
    <x v="3"/>
    <n v="1340"/>
    <x v="1"/>
    <m/>
    <m/>
    <s v="Supplier"/>
    <m/>
    <x v="71"/>
    <s v="SEF_You Long_31Dec12.xlsx"/>
    <s v=".xlsx"/>
    <d v="2014-03-31T00:00:00"/>
    <s v="as\afok"/>
    <m/>
    <s v="2012"/>
    <m/>
    <m/>
    <m/>
    <m/>
    <m/>
    <x v="0"/>
    <x v="0"/>
    <x v="0"/>
    <x v="2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m/>
    <s v="FP SP "/>
    <x v="0"/>
    <x v="1"/>
    <m/>
    <x v="4"/>
  </r>
  <r>
    <n v="1372"/>
    <x v="272"/>
    <x v="272"/>
    <x v="254"/>
    <x v="0"/>
    <x v="3"/>
    <n v="1341"/>
    <x v="2"/>
    <m/>
    <m/>
    <s v="Supplier"/>
    <m/>
    <x v="225"/>
    <s v="You Long - SIF2013.xls"/>
    <s v=".xls"/>
    <d v="2014-03-31T00:00:00"/>
    <s v="as\afok"/>
    <m/>
    <s v="2013"/>
    <m/>
    <m/>
    <m/>
    <m/>
    <m/>
    <x v="0"/>
    <x v="0"/>
    <x v="0"/>
    <x v="0"/>
    <x v="2"/>
    <x v="37"/>
    <x v="217"/>
    <x v="67"/>
    <x v="84"/>
    <x v="46"/>
    <x v="0"/>
    <x v="0"/>
    <x v="0"/>
    <x v="0"/>
    <x v="0"/>
    <s v="FP panel"/>
    <x v="1"/>
    <x v="3"/>
    <x v="0"/>
    <x v="0"/>
    <m/>
    <m/>
    <m/>
    <n v="1"/>
    <n v="1"/>
    <m/>
    <s v="FP"/>
    <m/>
    <s v="SP"/>
    <m/>
    <s v="FP SP "/>
    <x v="3"/>
    <x v="1"/>
    <m/>
    <x v="4"/>
  </r>
  <r>
    <n v="1645"/>
    <x v="273"/>
    <x v="273"/>
    <x v="255"/>
    <x v="3"/>
    <x v="4"/>
    <n v="1606"/>
    <x v="4"/>
    <m/>
    <m/>
    <s v="Supplier"/>
    <m/>
    <x v="222"/>
    <s v="Yongan_SPR_201212.pptx"/>
    <s v=".pptx"/>
    <d v="2014-04-07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0"/>
    <m/>
    <m/>
    <s v="FP"/>
    <m/>
    <s v="SP"/>
    <s v="MOULD"/>
    <s v="FP SP MOULD "/>
    <x v="0"/>
    <x v="1"/>
    <m/>
    <x v="20"/>
  </r>
  <r>
    <n v="1647"/>
    <x v="273"/>
    <x v="273"/>
    <x v="255"/>
    <x v="3"/>
    <x v="4"/>
    <n v="1608"/>
    <x v="4"/>
    <m/>
    <m/>
    <s v="Supplier"/>
    <m/>
    <x v="899"/>
    <s v="General Agreement 11Jan08.pdf"/>
    <s v=".pdf"/>
    <d v="2014-04-07T00:00:00"/>
    <s v="as\afok"/>
    <m/>
    <s v="FHA 00 016 ind.07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n v="1"/>
    <m/>
    <m/>
    <n v="0"/>
    <m/>
    <m/>
    <s v="FP"/>
    <m/>
    <s v="SP"/>
    <s v="MOULD"/>
    <s v="FP SP MOULD "/>
    <x v="0"/>
    <x v="1"/>
    <m/>
    <x v="20"/>
  </r>
  <r>
    <n v="1653"/>
    <x v="273"/>
    <x v="273"/>
    <x v="255"/>
    <x v="3"/>
    <x v="4"/>
    <n v="1614"/>
    <x v="7"/>
    <m/>
    <m/>
    <s v="Supplier"/>
    <m/>
    <x v="550"/>
    <s v="Yong_An_Env_Declaration_28May2010.xls"/>
    <s v=".xls"/>
    <d v="2014-04-07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0"/>
  </r>
  <r>
    <n v="1651"/>
    <x v="273"/>
    <x v="273"/>
    <x v="255"/>
    <x v="3"/>
    <x v="4"/>
    <n v="1612"/>
    <x v="11"/>
    <m/>
    <m/>
    <s v="Product / Project"/>
    <m/>
    <x v="900"/>
    <s v="YONG AN_EA_Reminisce_20110406.pdf"/>
    <s v=".pdf"/>
    <d v="2014-04-07T00:00:00"/>
    <s v="as\afok"/>
    <m/>
    <s v="FRD 6E 030 ind.00"/>
    <m/>
    <m/>
    <m/>
    <m/>
    <s v="Reminisce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0"/>
  </r>
  <r>
    <n v="1652"/>
    <x v="273"/>
    <x v="273"/>
    <x v="255"/>
    <x v="3"/>
    <x v="4"/>
    <n v="1613"/>
    <x v="11"/>
    <m/>
    <m/>
    <s v="Supplier"/>
    <m/>
    <x v="901"/>
    <s v="YONG AN_Exclusivity Summary_20110325.xlsx"/>
    <s v=".xlsx"/>
    <d v="2014-04-07T00:00:00"/>
    <s v="as\afok"/>
    <s v="Exclusivity Summary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0"/>
  </r>
  <r>
    <n v="1650"/>
    <x v="273"/>
    <x v="273"/>
    <x v="255"/>
    <x v="3"/>
    <x v="4"/>
    <n v="1611"/>
    <x v="11"/>
    <m/>
    <m/>
    <s v="Product / Project"/>
    <m/>
    <x v="563"/>
    <s v="YONG AN - Matisse Kettle_EA_2012-01-05.pdf"/>
    <s v=".pdf"/>
    <d v="2014-04-07T00:00:00"/>
    <s v="as\afok"/>
    <m/>
    <m/>
    <m/>
    <m/>
    <m/>
    <m/>
    <s v="Matisse Kettle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0"/>
  </r>
  <r>
    <n v="1646"/>
    <x v="273"/>
    <x v="273"/>
    <x v="255"/>
    <x v="3"/>
    <x v="4"/>
    <n v="1607"/>
    <x v="11"/>
    <m/>
    <m/>
    <s v="Supplier"/>
    <m/>
    <x v="833"/>
    <s v="Yongan Exclusivity Summary Template (2).xlsx"/>
    <s v=".xlsx"/>
    <d v="2014-04-07T00:00:00"/>
    <s v="as\afok"/>
    <m/>
    <s v="Exclusivity Summary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0"/>
  </r>
  <r>
    <n v="1655"/>
    <x v="273"/>
    <x v="273"/>
    <x v="255"/>
    <x v="3"/>
    <x v="4"/>
    <n v="1616"/>
    <x v="0"/>
    <m/>
    <m/>
    <s v="Supplier"/>
    <m/>
    <x v="902"/>
    <s v="Yong An FRD00069 ind.04 20090505.pdf"/>
    <s v=".pdf"/>
    <d v="2014-04-07T00:00:00"/>
    <s v="as\afok"/>
    <m/>
    <s v="FRD 00 069 ind.04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0"/>
  </r>
  <r>
    <n v="1648"/>
    <x v="273"/>
    <x v="273"/>
    <x v="255"/>
    <x v="3"/>
    <x v="4"/>
    <n v="1609"/>
    <x v="12"/>
    <m/>
    <m/>
    <s v="Product / Project"/>
    <m/>
    <x v="563"/>
    <s v="YONG AN - Matisse Kettle_IP_2012-01-05.pdf"/>
    <s v=".pdf"/>
    <d v="2014-04-07T00:00:00"/>
    <s v="as\afok"/>
    <m/>
    <m/>
    <m/>
    <m/>
    <m/>
    <m/>
    <s v="Matisse Kettle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0"/>
  </r>
  <r>
    <n v="1654"/>
    <x v="273"/>
    <x v="273"/>
    <x v="255"/>
    <x v="3"/>
    <x v="4"/>
    <n v="1615"/>
    <x v="14"/>
    <m/>
    <m/>
    <s v="Supplier"/>
    <d v="2013-10-31T00:00:00"/>
    <x v="369"/>
    <s v="Yong An ISO9001 31Oct2013.jpg"/>
    <s v=".jpg"/>
    <d v="2014-04-0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0"/>
  </r>
  <r>
    <n v="1649"/>
    <x v="273"/>
    <x v="273"/>
    <x v="255"/>
    <x v="3"/>
    <x v="4"/>
    <n v="1610"/>
    <x v="9"/>
    <m/>
    <m/>
    <s v="Product / Project"/>
    <m/>
    <x v="903"/>
    <s v="YONG AN_Confidentiality_NARITA 1.5L Kettle_20100910.pdf"/>
    <s v=".pdf"/>
    <d v="2014-04-07T00:00:00"/>
    <s v="as\afok"/>
    <m/>
    <m/>
    <m/>
    <m/>
    <m/>
    <m/>
    <s v="NARITA 1.5L Kettle"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0"/>
  </r>
  <r>
    <n v="1643"/>
    <x v="273"/>
    <x v="273"/>
    <x v="255"/>
    <x v="3"/>
    <x v="4"/>
    <n v="1604"/>
    <x v="8"/>
    <m/>
    <m/>
    <s v="Supplier"/>
    <m/>
    <x v="666"/>
    <s v="Yong An - Responsible Purchasing Charter (CH).pdf"/>
    <s v=".pdf"/>
    <d v="2014-04-0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0"/>
  </r>
  <r>
    <n v="1644"/>
    <x v="273"/>
    <x v="273"/>
    <x v="255"/>
    <x v="3"/>
    <x v="4"/>
    <n v="1605"/>
    <x v="1"/>
    <m/>
    <m/>
    <s v="Supplier"/>
    <m/>
    <x v="71"/>
    <s v="Yongan_SEF_ Dec 2012.xlsx"/>
    <s v=".xlsx"/>
    <d v="2014-04-07T00:00:00"/>
    <s v="as\afok"/>
    <m/>
    <s v="2012"/>
    <m/>
    <m/>
    <m/>
    <m/>
    <m/>
    <x v="0"/>
    <x v="0"/>
    <x v="0"/>
    <x v="26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s v="FP"/>
    <m/>
    <s v="SP"/>
    <s v="MOULD"/>
    <s v="FP SP MOULD "/>
    <x v="0"/>
    <x v="1"/>
    <m/>
    <x v="20"/>
  </r>
  <r>
    <n v="1656"/>
    <x v="273"/>
    <x v="273"/>
    <x v="255"/>
    <x v="3"/>
    <x v="4"/>
    <n v="1617"/>
    <x v="2"/>
    <n v="1"/>
    <m/>
    <s v="Supplier"/>
    <m/>
    <x v="904"/>
    <s v="YONG AN_SIF_2010.xls"/>
    <s v=".xls"/>
    <d v="2014-04-07T00:00:00"/>
    <s v="as\afok"/>
    <m/>
    <s v="2010"/>
    <m/>
    <m/>
    <m/>
    <m/>
    <m/>
    <x v="0"/>
    <x v="0"/>
    <x v="0"/>
    <x v="0"/>
    <x v="4"/>
    <x v="113"/>
    <x v="31"/>
    <x v="118"/>
    <x v="0"/>
    <x v="0"/>
    <x v="0"/>
    <x v="49"/>
    <x v="0"/>
    <x v="0"/>
    <x v="0"/>
    <m/>
    <x v="0"/>
    <x v="0"/>
    <x v="0"/>
    <x v="0"/>
    <m/>
    <m/>
    <m/>
    <n v="0"/>
    <m/>
    <n v="1"/>
    <s v="FP"/>
    <m/>
    <s v="SP"/>
    <s v="MOULD"/>
    <s v="FP SP MOULD "/>
    <x v="3"/>
    <x v="1"/>
    <m/>
    <x v="20"/>
  </r>
  <r>
    <n v="33"/>
    <x v="274"/>
    <x v="274"/>
    <x v="256"/>
    <x v="5"/>
    <x v="16"/>
    <n v="28"/>
    <x v="4"/>
    <m/>
    <m/>
    <s v="Supplier"/>
    <d v="2014-12-31T00:00:00"/>
    <x v="905"/>
    <s v="Yueli_ODM_Contract_6Jul10.pdf"/>
    <s v=".pdf"/>
    <d v="2014-03-04T00:00:00"/>
    <s v="as\afok"/>
    <m/>
    <s v="FHA6E022"/>
    <s v="37E6 - 60 days end of month due net on posting date 37E6"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n v="1"/>
    <m/>
    <m/>
    <n v="1"/>
    <m/>
    <m/>
    <s v="FP"/>
    <m/>
    <s v="SP"/>
    <m/>
    <s v="FP SP "/>
    <x v="0"/>
    <x v="1"/>
    <m/>
    <x v="10"/>
  </r>
  <r>
    <n v="383"/>
    <x v="274"/>
    <x v="274"/>
    <x v="256"/>
    <x v="5"/>
    <x v="16"/>
    <n v="370"/>
    <x v="5"/>
    <m/>
    <m/>
    <s v="Supplier"/>
    <m/>
    <x v="905"/>
    <s v="Yueli_ODM_Contract_6Jul10.pdf"/>
    <s v=".pdf"/>
    <d v="2014-03-17T00:00:00"/>
    <s v="as\afok"/>
    <m/>
    <m/>
    <m/>
    <m/>
    <m/>
    <n v="0"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n v="1"/>
    <m/>
    <n v="1"/>
    <m/>
    <m/>
    <s v="FP"/>
    <m/>
    <s v="SP"/>
    <m/>
    <s v="FP SP "/>
    <x v="0"/>
    <x v="1"/>
    <m/>
    <x v="10"/>
  </r>
  <r>
    <n v="384"/>
    <x v="274"/>
    <x v="274"/>
    <x v="256"/>
    <x v="5"/>
    <x v="16"/>
    <n v="371"/>
    <x v="6"/>
    <m/>
    <m/>
    <s v="Supplier"/>
    <m/>
    <x v="905"/>
    <s v="Yueli_ODM_Contract_6Jul10.pdf"/>
    <s v=".pdf"/>
    <d v="2014-03-17T00:00:00"/>
    <s v="as\afok"/>
    <m/>
    <m/>
    <m/>
    <n v="40"/>
    <n v="0"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n v="1"/>
    <n v="1"/>
    <m/>
    <m/>
    <s v="FP"/>
    <m/>
    <s v="SP"/>
    <m/>
    <s v="FP SP "/>
    <x v="0"/>
    <x v="1"/>
    <m/>
    <x v="10"/>
  </r>
  <r>
    <n v="379"/>
    <x v="274"/>
    <x v="274"/>
    <x v="256"/>
    <x v="5"/>
    <x v="16"/>
    <n v="366"/>
    <x v="7"/>
    <m/>
    <m/>
    <s v="Supplier"/>
    <m/>
    <x v="259"/>
    <s v="Yueli_Env_Declaration_2010.xls"/>
    <s v=".xls"/>
    <d v="2014-03-17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m/>
    <s v="FP SP "/>
    <x v="0"/>
    <x v="1"/>
    <m/>
    <x v="10"/>
  </r>
  <r>
    <n v="380"/>
    <x v="274"/>
    <x v="274"/>
    <x v="256"/>
    <x v="5"/>
    <x v="16"/>
    <n v="367"/>
    <x v="11"/>
    <m/>
    <m/>
    <s v="Product / Project"/>
    <m/>
    <x v="70"/>
    <s v="YUELI_Exclusivity agreement_HB755_30Aug2012.pdf"/>
    <s v=".pdf"/>
    <d v="2014-03-17T00:00:00"/>
    <s v="as\afok"/>
    <s v="_x000d__x000a_"/>
    <m/>
    <m/>
    <m/>
    <m/>
    <m/>
    <s v="HB755"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m/>
    <s v="FP SP "/>
    <x v="0"/>
    <x v="1"/>
    <m/>
    <x v="10"/>
  </r>
  <r>
    <n v="378"/>
    <x v="274"/>
    <x v="274"/>
    <x v="256"/>
    <x v="5"/>
    <x v="16"/>
    <n v="365"/>
    <x v="11"/>
    <m/>
    <m/>
    <s v="Product / Project"/>
    <m/>
    <x v="210"/>
    <s v="Yueli_EA_Curling tong HB749_17Jun2013.pdf"/>
    <s v=".pdf"/>
    <d v="2014-03-14T00:00:00"/>
    <s v="as\afok"/>
    <m/>
    <m/>
    <m/>
    <m/>
    <m/>
    <m/>
    <s v="Curling tong HB749"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m/>
    <s v="FP SP "/>
    <x v="0"/>
    <x v="1"/>
    <m/>
    <x v="10"/>
  </r>
  <r>
    <n v="381"/>
    <x v="274"/>
    <x v="274"/>
    <x v="256"/>
    <x v="5"/>
    <x v="16"/>
    <n v="368"/>
    <x v="11"/>
    <m/>
    <m/>
    <s v="Supplier"/>
    <m/>
    <x v="481"/>
    <s v="Yueli_Exclusivity Summary 2012-12-28.xlsx"/>
    <s v=".xlsx"/>
    <d v="2014-03-17T00:00:00"/>
    <s v="as\afok"/>
    <s v="Exclusivity Summary_x000d__x000a_"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m/>
    <s v="FP SP "/>
    <x v="0"/>
    <x v="1"/>
    <m/>
    <x v="10"/>
  </r>
  <r>
    <n v="382"/>
    <x v="274"/>
    <x v="274"/>
    <x v="256"/>
    <x v="5"/>
    <x v="16"/>
    <n v="369"/>
    <x v="13"/>
    <m/>
    <m/>
    <s v="Supplier"/>
    <d v="2012-01-11T00:00:00"/>
    <x v="622"/>
    <s v="YUELI_ISO14001_20110531.pdf"/>
    <s v=".pdf"/>
    <d v="2014-03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m/>
    <s v="FP SP "/>
    <x v="0"/>
    <x v="1"/>
    <m/>
    <x v="10"/>
  </r>
  <r>
    <n v="385"/>
    <x v="274"/>
    <x v="274"/>
    <x v="256"/>
    <x v="5"/>
    <x v="16"/>
    <n v="372"/>
    <x v="8"/>
    <m/>
    <m/>
    <s v="Supplier"/>
    <m/>
    <x v="35"/>
    <s v="YUELI_Responsible Purchasing Charter_15Aug2012.pdf"/>
    <s v=".pdf"/>
    <d v="2014-03-17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m/>
    <s v="FP SP "/>
    <x v="0"/>
    <x v="1"/>
    <m/>
    <x v="10"/>
  </r>
  <r>
    <n v="386"/>
    <x v="274"/>
    <x v="274"/>
    <x v="256"/>
    <x v="5"/>
    <x v="16"/>
    <n v="373"/>
    <x v="2"/>
    <m/>
    <m/>
    <s v="Supplier"/>
    <m/>
    <x v="159"/>
    <s v="YUELI_SIF_9May2012.xls"/>
    <s v=".xls"/>
    <d v="2014-03-17T00:00:00"/>
    <s v="as\afok"/>
    <m/>
    <s v="2012"/>
    <m/>
    <m/>
    <m/>
    <m/>
    <m/>
    <x v="0"/>
    <x v="0"/>
    <x v="0"/>
    <x v="0"/>
    <x v="1"/>
    <x v="99"/>
    <x v="91"/>
    <x v="206"/>
    <x v="33"/>
    <x v="31"/>
    <x v="5"/>
    <x v="10"/>
    <x v="29"/>
    <x v="6"/>
    <x v="0"/>
    <s v="FP panel"/>
    <x v="1"/>
    <x v="3"/>
    <x v="0"/>
    <x v="0"/>
    <m/>
    <m/>
    <m/>
    <n v="1"/>
    <n v="1"/>
    <m/>
    <s v="FP"/>
    <m/>
    <s v="SP"/>
    <m/>
    <s v="FP SP "/>
    <x v="3"/>
    <x v="1"/>
    <m/>
    <x v="10"/>
  </r>
  <r>
    <n v="377"/>
    <x v="274"/>
    <x v="274"/>
    <x v="256"/>
    <x v="5"/>
    <x v="16"/>
    <n v="364"/>
    <x v="3"/>
    <m/>
    <m/>
    <s v="Supplier"/>
    <m/>
    <x v="243"/>
    <s v="SPR 2012 YUELI.pptx"/>
    <s v=".pptx"/>
    <d v="2014-03-14T00:00:00"/>
    <s v="as\afok"/>
    <m/>
    <s v="2012"/>
    <m/>
    <m/>
    <m/>
    <m/>
    <m/>
    <x v="0"/>
    <x v="0"/>
    <x v="0"/>
    <x v="0"/>
    <x v="0"/>
    <x v="0"/>
    <x v="0"/>
    <x v="0"/>
    <x v="0"/>
    <x v="0"/>
    <x v="0"/>
    <x v="0"/>
    <x v="0"/>
    <x v="0"/>
    <x v="0"/>
    <s v="FP panel"/>
    <x v="1"/>
    <x v="3"/>
    <x v="0"/>
    <x v="0"/>
    <m/>
    <m/>
    <m/>
    <n v="1"/>
    <m/>
    <m/>
    <s v="FP"/>
    <m/>
    <s v="SP"/>
    <m/>
    <s v="FP SP "/>
    <x v="0"/>
    <x v="1"/>
    <m/>
    <x v="10"/>
  </r>
  <r>
    <n v="671"/>
    <x v="275"/>
    <x v="275"/>
    <x v="257"/>
    <x v="1"/>
    <x v="13"/>
    <n v="654"/>
    <x v="7"/>
    <m/>
    <m/>
    <s v="Supplier"/>
    <m/>
    <x v="685"/>
    <s v="Zippy_Env_Declaration_02Jun2010.pdf"/>
    <s v=".pdf"/>
    <d v="2014-03-19T00:00:00"/>
    <s v="as\afok"/>
    <m/>
    <s v="2010"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n v="1"/>
    <m/>
    <s v="CP"/>
    <m/>
    <m/>
    <s v="CP "/>
    <x v="0"/>
    <x v="1"/>
    <m/>
    <x v="8"/>
  </r>
  <r>
    <n v="670"/>
    <x v="275"/>
    <x v="275"/>
    <x v="257"/>
    <x v="1"/>
    <x v="13"/>
    <n v="653"/>
    <x v="8"/>
    <m/>
    <m/>
    <s v="Supplier"/>
    <m/>
    <x v="189"/>
    <s v="Zippy_Responsible Purchasing Charter_31Aug2012.pdf"/>
    <s v=".pdf"/>
    <d v="2014-03-19T00:00:00"/>
    <s v="as\afok"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669"/>
    <x v="275"/>
    <x v="275"/>
    <x v="257"/>
    <x v="1"/>
    <x v="13"/>
    <n v="652"/>
    <x v="1"/>
    <m/>
    <m/>
    <s v="Supplier"/>
    <m/>
    <x v="138"/>
    <s v="Zippy switch_SEF_2013-1.xlsx"/>
    <s v=".xlsx"/>
    <d v="2014-03-19T00:00:00"/>
    <s v="as\afok"/>
    <m/>
    <s v="2013"/>
    <m/>
    <m/>
    <m/>
    <m/>
    <m/>
    <x v="0"/>
    <x v="0"/>
    <x v="0"/>
    <x v="19"/>
    <x v="0"/>
    <x v="0"/>
    <x v="0"/>
    <x v="0"/>
    <x v="0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0"/>
    <x v="1"/>
    <m/>
    <x v="8"/>
  </r>
  <r>
    <n v="668"/>
    <x v="275"/>
    <x v="275"/>
    <x v="257"/>
    <x v="1"/>
    <x v="13"/>
    <n v="651"/>
    <x v="2"/>
    <m/>
    <m/>
    <s v="Supplier"/>
    <m/>
    <x v="452"/>
    <s v="Zippy_SIF 2013.xlsx"/>
    <s v=".xlsx"/>
    <d v="2014-03-19T00:00:00"/>
    <s v="as\afok"/>
    <m/>
    <s v="2013"/>
    <m/>
    <m/>
    <m/>
    <m/>
    <m/>
    <x v="0"/>
    <x v="0"/>
    <x v="0"/>
    <x v="0"/>
    <x v="2"/>
    <x v="162"/>
    <x v="218"/>
    <x v="207"/>
    <x v="122"/>
    <x v="0"/>
    <x v="0"/>
    <x v="0"/>
    <x v="0"/>
    <x v="0"/>
    <x v="0"/>
    <m/>
    <x v="0"/>
    <x v="0"/>
    <x v="0"/>
    <x v="0"/>
    <m/>
    <m/>
    <m/>
    <n v="0"/>
    <m/>
    <m/>
    <m/>
    <s v="CP"/>
    <m/>
    <m/>
    <s v="CP "/>
    <x v="2"/>
    <x v="1"/>
    <m/>
    <x v="8"/>
  </r>
  <r>
    <m/>
    <x v="276"/>
    <x v="276"/>
    <x v="258"/>
    <x v="4"/>
    <x v="6"/>
    <m/>
    <x v="23"/>
    <n v="1"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0"/>
    <m/>
    <x v="3"/>
  </r>
  <r>
    <m/>
    <x v="277"/>
    <x v="277"/>
    <x v="259"/>
    <x v="0"/>
    <x v="9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s v="CP"/>
    <s v="SP"/>
    <m/>
    <s v="FP CP SP "/>
    <x v="1"/>
    <x v="2"/>
    <m/>
    <x v="10"/>
  </r>
  <r>
    <m/>
    <x v="278"/>
    <x v="278"/>
    <x v="260"/>
    <x v="6"/>
    <x v="2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0"/>
  </r>
  <r>
    <m/>
    <x v="279"/>
    <x v="279"/>
    <x v="261"/>
    <x v="6"/>
    <x v="2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280"/>
    <x v="280"/>
    <x v="262"/>
    <x v="3"/>
    <x v="22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m/>
    <s v="SP"/>
    <m/>
    <s v="FP SP "/>
    <x v="3"/>
    <x v="0"/>
    <m/>
    <x v="26"/>
  </r>
  <r>
    <m/>
    <x v="281"/>
    <x v="281"/>
    <x v="263"/>
    <x v="0"/>
    <x v="0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0"/>
    <m/>
    <x v="0"/>
  </r>
  <r>
    <m/>
    <x v="282"/>
    <x v="282"/>
    <x v="264"/>
    <x v="3"/>
    <x v="4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m/>
    <s v="SP"/>
    <m/>
    <s v="FP SP "/>
    <x v="3"/>
    <x v="0"/>
    <m/>
    <x v="12"/>
  </r>
  <r>
    <m/>
    <x v="283"/>
    <x v="283"/>
    <x v="265"/>
    <x v="6"/>
    <x v="23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s v="CP"/>
    <s v="SP"/>
    <m/>
    <s v="FP CP SP "/>
    <x v="1"/>
    <x v="0"/>
    <m/>
    <x v="26"/>
  </r>
  <r>
    <m/>
    <x v="284"/>
    <x v="284"/>
    <x v="24"/>
    <x v="1"/>
    <x v="1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8"/>
  </r>
  <r>
    <m/>
    <x v="285"/>
    <x v="285"/>
    <x v="266"/>
    <x v="1"/>
    <x v="2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286"/>
    <x v="286"/>
    <x v="267"/>
    <x v="0"/>
    <x v="0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m/>
    <m/>
    <m/>
    <s v="FP "/>
    <x v="1"/>
    <x v="0"/>
    <m/>
    <x v="0"/>
  </r>
  <r>
    <m/>
    <x v="287"/>
    <x v="287"/>
    <x v="268"/>
    <x v="5"/>
    <x v="7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0"/>
    <m/>
    <x v="64"/>
  </r>
  <r>
    <m/>
    <x v="288"/>
    <x v="288"/>
    <x v="269"/>
    <x v="4"/>
    <x v="6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s v="MOULD"/>
    <s v="CP MOULD "/>
    <x v="2"/>
    <x v="0"/>
    <m/>
    <x v="8"/>
  </r>
  <r>
    <m/>
    <x v="289"/>
    <x v="289"/>
    <x v="270"/>
    <x v="3"/>
    <x v="4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m/>
    <s v="SP"/>
    <s v="MOULD"/>
    <s v="FP SP MOULD "/>
    <x v="3"/>
    <x v="0"/>
    <m/>
    <x v="12"/>
  </r>
  <r>
    <m/>
    <x v="290"/>
    <x v="290"/>
    <x v="271"/>
    <x v="5"/>
    <x v="16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0"/>
    <m/>
    <x v="3"/>
  </r>
  <r>
    <m/>
    <x v="291"/>
    <x v="291"/>
    <x v="272"/>
    <x v="6"/>
    <x v="2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292"/>
    <x v="292"/>
    <x v="45"/>
    <x v="1"/>
    <x v="13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Both"/>
    <x v="1"/>
    <x v="2"/>
    <m/>
    <x v="3"/>
  </r>
  <r>
    <m/>
    <x v="293"/>
    <x v="293"/>
    <x v="273"/>
    <x v="5"/>
    <x v="12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0"/>
    <m/>
    <x v="11"/>
  </r>
  <r>
    <m/>
    <x v="294"/>
    <x v="294"/>
    <x v="274"/>
    <x v="5"/>
    <x v="7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1"/>
    <m/>
    <x v="5"/>
  </r>
  <r>
    <m/>
    <x v="295"/>
    <x v="295"/>
    <x v="275"/>
    <x v="2"/>
    <x v="15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m/>
    <s v="SP"/>
    <s v="MOULD"/>
    <s v="FP SP MOULD "/>
    <x v="3"/>
    <x v="0"/>
    <m/>
    <x v="41"/>
  </r>
  <r>
    <m/>
    <x v="296"/>
    <x v="296"/>
    <x v="276"/>
    <x v="0"/>
    <x v="0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m/>
    <m/>
    <s v="MOULD"/>
    <s v="FP MOULD "/>
    <x v="3"/>
    <x v="0"/>
    <m/>
    <x v="0"/>
  </r>
  <r>
    <m/>
    <x v="297"/>
    <x v="297"/>
    <x v="277"/>
    <x v="0"/>
    <x v="9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m/>
    <s v="SP"/>
    <m/>
    <s v="FP SP "/>
    <x v="3"/>
    <x v="0"/>
    <m/>
    <x v="17"/>
  </r>
  <r>
    <m/>
    <x v="298"/>
    <x v="298"/>
    <x v="278"/>
    <x v="0"/>
    <x v="10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0"/>
    <m/>
    <x v="3"/>
  </r>
  <r>
    <m/>
    <x v="299"/>
    <x v="299"/>
    <x v="279"/>
    <x v="1"/>
    <x v="1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0"/>
    <m/>
    <x v="8"/>
  </r>
  <r>
    <m/>
    <x v="300"/>
    <x v="300"/>
    <x v="280"/>
    <x v="4"/>
    <x v="8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s v="CP"/>
    <s v="SP"/>
    <m/>
    <s v="FP CP SP "/>
    <x v="1"/>
    <x v="2"/>
    <m/>
    <x v="14"/>
  </r>
  <r>
    <m/>
    <x v="301"/>
    <x v="301"/>
    <x v="281"/>
    <x v="1"/>
    <x v="5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0"/>
    <m/>
    <x v="11"/>
  </r>
  <r>
    <m/>
    <x v="302"/>
    <x v="302"/>
    <x v="282"/>
    <x v="0"/>
    <x v="9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m/>
    <s v="SP"/>
    <m/>
    <s v="FP SP "/>
    <x v="3"/>
    <x v="2"/>
    <m/>
    <x v="10"/>
  </r>
  <r>
    <m/>
    <x v="303"/>
    <x v="303"/>
    <x v="283"/>
    <x v="6"/>
    <x v="2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s v="CP"/>
    <m/>
    <m/>
    <s v="FP CP "/>
    <x v="1"/>
    <x v="2"/>
    <m/>
    <x v="0"/>
  </r>
  <r>
    <m/>
    <x v="304"/>
    <x v="304"/>
    <x v="284"/>
    <x v="6"/>
    <x v="2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5"/>
  </r>
  <r>
    <m/>
    <x v="305"/>
    <x v="305"/>
    <x v="285"/>
    <x v="6"/>
    <x v="2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m/>
    <m/>
    <m/>
    <s v="FP "/>
    <x v="1"/>
    <x v="2"/>
    <m/>
    <x v="0"/>
  </r>
  <r>
    <m/>
    <x v="306"/>
    <x v="306"/>
    <x v="286"/>
    <x v="1"/>
    <x v="13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0"/>
    <m/>
    <x v="8"/>
  </r>
  <r>
    <m/>
    <x v="307"/>
    <x v="307"/>
    <x v="287"/>
    <x v="1"/>
    <x v="5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0"/>
    <m/>
    <x v="3"/>
  </r>
  <r>
    <m/>
    <x v="308"/>
    <x v="308"/>
    <x v="288"/>
    <x v="5"/>
    <x v="7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0"/>
    <m/>
    <x v="0"/>
  </r>
  <r>
    <m/>
    <x v="309"/>
    <x v="309"/>
    <x v="289"/>
    <x v="1"/>
    <x v="1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0"/>
    <m/>
    <x v="8"/>
  </r>
  <r>
    <m/>
    <x v="310"/>
    <x v="310"/>
    <x v="290"/>
    <x v="1"/>
    <x v="5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s v="CP"/>
    <m/>
    <m/>
    <s v="FP CP "/>
    <x v="1"/>
    <x v="0"/>
    <m/>
    <x v="26"/>
  </r>
  <r>
    <m/>
    <x v="311"/>
    <x v="311"/>
    <x v="291"/>
    <x v="0"/>
    <x v="0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m/>
    <m/>
    <m/>
    <s v="FP "/>
    <x v="1"/>
    <x v="0"/>
    <m/>
    <x v="0"/>
  </r>
  <r>
    <m/>
    <x v="312"/>
    <x v="312"/>
    <x v="292"/>
    <x v="4"/>
    <x v="6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0"/>
    <m/>
    <x v="3"/>
  </r>
  <r>
    <m/>
    <x v="313"/>
    <x v="313"/>
    <x v="293"/>
    <x v="4"/>
    <x v="17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0"/>
    <m/>
    <x v="10"/>
  </r>
  <r>
    <m/>
    <x v="314"/>
    <x v="314"/>
    <x v="294"/>
    <x v="6"/>
    <x v="2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10"/>
  </r>
  <r>
    <m/>
    <x v="315"/>
    <x v="315"/>
    <x v="295"/>
    <x v="5"/>
    <x v="7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0"/>
    <m/>
    <x v="8"/>
  </r>
  <r>
    <m/>
    <x v="316"/>
    <x v="316"/>
    <x v="296"/>
    <x v="0"/>
    <x v="0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0"/>
    <m/>
    <x v="0"/>
  </r>
  <r>
    <m/>
    <x v="317"/>
    <x v="317"/>
    <x v="297"/>
    <x v="5"/>
    <x v="7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8"/>
  </r>
  <r>
    <m/>
    <x v="318"/>
    <x v="318"/>
    <x v="298"/>
    <x v="0"/>
    <x v="0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1"/>
    <m/>
    <x v="11"/>
  </r>
  <r>
    <m/>
    <x v="319"/>
    <x v="319"/>
    <x v="299"/>
    <x v="1"/>
    <x v="13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0"/>
    <m/>
    <x v="11"/>
  </r>
  <r>
    <m/>
    <x v="320"/>
    <x v="320"/>
    <x v="300"/>
    <x v="1"/>
    <x v="1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3"/>
    <m/>
    <x v="3"/>
  </r>
  <r>
    <m/>
    <x v="321"/>
    <x v="321"/>
    <x v="99"/>
    <x v="4"/>
    <x v="8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s v="CP"/>
    <m/>
    <m/>
    <s v="FP CP "/>
    <x v="1"/>
    <x v="2"/>
    <m/>
    <x v="2"/>
  </r>
  <r>
    <m/>
    <x v="322"/>
    <x v="322"/>
    <x v="301"/>
    <x v="4"/>
    <x v="14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s v="SP"/>
    <m/>
    <s v="CP SP "/>
    <x v="2"/>
    <x v="0"/>
    <m/>
    <x v="64"/>
  </r>
  <r>
    <m/>
    <x v="323"/>
    <x v="323"/>
    <x v="302"/>
    <x v="5"/>
    <x v="16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m/>
    <m/>
    <m/>
    <s v="FP "/>
    <x v="1"/>
    <x v="0"/>
    <m/>
    <x v="30"/>
  </r>
  <r>
    <m/>
    <x v="324"/>
    <x v="324"/>
    <x v="303"/>
    <x v="0"/>
    <x v="9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m/>
    <s v="SP"/>
    <m/>
    <s v="FP SP "/>
    <x v="3"/>
    <x v="2"/>
    <m/>
    <x v="10"/>
  </r>
  <r>
    <m/>
    <x v="325"/>
    <x v="325"/>
    <x v="304"/>
    <x v="4"/>
    <x v="17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0"/>
    <m/>
    <x v="6"/>
  </r>
  <r>
    <m/>
    <x v="326"/>
    <x v="326"/>
    <x v="305"/>
    <x v="4"/>
    <x v="2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8"/>
  </r>
  <r>
    <m/>
    <x v="327"/>
    <x v="327"/>
    <x v="306"/>
    <x v="1"/>
    <x v="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8"/>
  </r>
  <r>
    <m/>
    <x v="328"/>
    <x v="328"/>
    <x v="307"/>
    <x v="5"/>
    <x v="12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0"/>
    <m/>
    <x v="5"/>
  </r>
  <r>
    <m/>
    <x v="329"/>
    <x v="329"/>
    <x v="308"/>
    <x v="1"/>
    <x v="1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3"/>
    <m/>
    <x v="8"/>
  </r>
  <r>
    <m/>
    <x v="330"/>
    <x v="330"/>
    <x v="309"/>
    <x v="4"/>
    <x v="14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0"/>
    <m/>
    <x v="8"/>
  </r>
  <r>
    <m/>
    <x v="331"/>
    <x v="331"/>
    <x v="310"/>
    <x v="4"/>
    <x v="14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0"/>
    <m/>
    <x v="15"/>
  </r>
  <r>
    <m/>
    <x v="332"/>
    <x v="332"/>
    <x v="311"/>
    <x v="1"/>
    <x v="13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0"/>
    <m/>
    <x v="11"/>
  </r>
  <r>
    <m/>
    <x v="333"/>
    <x v="333"/>
    <x v="312"/>
    <x v="5"/>
    <x v="12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0"/>
    <m/>
    <x v="11"/>
  </r>
  <r>
    <m/>
    <x v="334"/>
    <x v="334"/>
    <x v="313"/>
    <x v="4"/>
    <x v="8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0"/>
    <m/>
    <x v="3"/>
  </r>
  <r>
    <m/>
    <x v="335"/>
    <x v="335"/>
    <x v="314"/>
    <x v="6"/>
    <x v="2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336"/>
    <x v="336"/>
    <x v="315"/>
    <x v="1"/>
    <x v="1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0"/>
    <m/>
    <x v="8"/>
  </r>
  <r>
    <m/>
    <x v="337"/>
    <x v="337"/>
    <x v="316"/>
    <x v="0"/>
    <x v="10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s v="SP"/>
    <m/>
    <s v="SP "/>
    <x v="2"/>
    <x v="0"/>
    <m/>
    <x v="4"/>
  </r>
  <r>
    <m/>
    <x v="338"/>
    <x v="338"/>
    <x v="317"/>
    <x v="1"/>
    <x v="5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0"/>
    <m/>
    <x v="8"/>
  </r>
  <r>
    <m/>
    <x v="339"/>
    <x v="339"/>
    <x v="318"/>
    <x v="5"/>
    <x v="24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0"/>
    <m/>
    <x v="11"/>
  </r>
  <r>
    <m/>
    <x v="340"/>
    <x v="340"/>
    <x v="319"/>
    <x v="4"/>
    <x v="8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0"/>
    <m/>
    <x v="3"/>
  </r>
  <r>
    <m/>
    <x v="341"/>
    <x v="341"/>
    <x v="320"/>
    <x v="0"/>
    <x v="0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m/>
    <m/>
    <m/>
    <s v="FP "/>
    <x v="1"/>
    <x v="0"/>
    <m/>
    <x v="0"/>
  </r>
  <r>
    <m/>
    <x v="342"/>
    <x v="342"/>
    <x v="321"/>
    <x v="1"/>
    <x v="2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12"/>
  </r>
  <r>
    <m/>
    <x v="343"/>
    <x v="343"/>
    <x v="322"/>
    <x v="6"/>
    <x v="2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344"/>
    <x v="344"/>
    <x v="323"/>
    <x v="0"/>
    <x v="0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0"/>
    <m/>
    <x v="3"/>
  </r>
  <r>
    <m/>
    <x v="345"/>
    <x v="345"/>
    <x v="324"/>
    <x v="4"/>
    <x v="8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0"/>
  </r>
  <r>
    <m/>
    <x v="346"/>
    <x v="346"/>
    <x v="325"/>
    <x v="1"/>
    <x v="1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3"/>
    <m/>
    <x v="3"/>
  </r>
  <r>
    <m/>
    <x v="347"/>
    <x v="347"/>
    <x v="326"/>
    <x v="1"/>
    <x v="1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3"/>
    <m/>
    <x v="65"/>
  </r>
  <r>
    <m/>
    <x v="348"/>
    <x v="348"/>
    <x v="327"/>
    <x v="1"/>
    <x v="5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1"/>
    <m/>
    <x v="0"/>
  </r>
  <r>
    <m/>
    <x v="349"/>
    <x v="349"/>
    <x v="328"/>
    <x v="1"/>
    <x v="1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3"/>
    <m/>
    <x v="3"/>
  </r>
  <r>
    <m/>
    <x v="350"/>
    <x v="350"/>
    <x v="329"/>
    <x v="0"/>
    <x v="3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0"/>
    <m/>
    <x v="3"/>
  </r>
  <r>
    <m/>
    <x v="351"/>
    <x v="351"/>
    <x v="330"/>
    <x v="1"/>
    <x v="1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0"/>
    <m/>
    <x v="8"/>
  </r>
  <r>
    <m/>
    <x v="352"/>
    <x v="352"/>
    <x v="331"/>
    <x v="5"/>
    <x v="16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353"/>
    <x v="353"/>
    <x v="332"/>
    <x v="1"/>
    <x v="1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3"/>
    <m/>
    <x v="8"/>
  </r>
  <r>
    <m/>
    <x v="354"/>
    <x v="354"/>
    <x v="333"/>
    <x v="1"/>
    <x v="5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0"/>
    <m/>
    <x v="8"/>
  </r>
  <r>
    <m/>
    <x v="355"/>
    <x v="355"/>
    <x v="334"/>
    <x v="1"/>
    <x v="1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0"/>
    <m/>
    <x v="65"/>
  </r>
  <r>
    <m/>
    <x v="356"/>
    <x v="356"/>
    <x v="335"/>
    <x v="0"/>
    <x v="18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m/>
    <m/>
    <m/>
    <s v="FP "/>
    <x v="1"/>
    <x v="0"/>
    <m/>
    <x v="10"/>
  </r>
  <r>
    <m/>
    <x v="357"/>
    <x v="357"/>
    <x v="336"/>
    <x v="0"/>
    <x v="10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m/>
    <m/>
    <m/>
    <s v="FP "/>
    <x v="1"/>
    <x v="0"/>
    <m/>
    <x v="0"/>
  </r>
  <r>
    <m/>
    <x v="358"/>
    <x v="358"/>
    <x v="337"/>
    <x v="6"/>
    <x v="2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359"/>
    <x v="359"/>
    <x v="338"/>
    <x v="6"/>
    <x v="2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m/>
    <s v="SP"/>
    <m/>
    <s v="FP SP "/>
    <x v="3"/>
    <x v="2"/>
    <m/>
    <x v="4"/>
  </r>
  <r>
    <m/>
    <x v="360"/>
    <x v="360"/>
    <x v="339"/>
    <x v="0"/>
    <x v="18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m/>
    <m/>
    <m/>
    <s v="FP "/>
    <x v="1"/>
    <x v="0"/>
    <m/>
    <x v="10"/>
  </r>
  <r>
    <m/>
    <x v="361"/>
    <x v="361"/>
    <x v="340"/>
    <x v="4"/>
    <x v="8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18"/>
  </r>
  <r>
    <m/>
    <x v="362"/>
    <x v="362"/>
    <x v="341"/>
    <x v="1"/>
    <x v="1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3"/>
    <m/>
    <x v="8"/>
  </r>
  <r>
    <m/>
    <x v="363"/>
    <x v="363"/>
    <x v="342"/>
    <x v="1"/>
    <x v="1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0"/>
    <m/>
    <x v="10"/>
  </r>
  <r>
    <m/>
    <x v="364"/>
    <x v="364"/>
    <x v="343"/>
    <x v="5"/>
    <x v="16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m/>
    <m/>
    <m/>
    <s v="FP "/>
    <x v="1"/>
    <x v="2"/>
    <m/>
    <x v="0"/>
  </r>
  <r>
    <m/>
    <x v="365"/>
    <x v="365"/>
    <x v="344"/>
    <x v="5"/>
    <x v="16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1"/>
    <m/>
    <x v="3"/>
  </r>
  <r>
    <m/>
    <x v="366"/>
    <x v="366"/>
    <x v="345"/>
    <x v="4"/>
    <x v="6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0"/>
    <m/>
    <x v="3"/>
  </r>
  <r>
    <m/>
    <x v="367"/>
    <x v="367"/>
    <x v="346"/>
    <x v="6"/>
    <x v="2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0"/>
  </r>
  <r>
    <m/>
    <x v="368"/>
    <x v="368"/>
    <x v="347"/>
    <x v="5"/>
    <x v="7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8"/>
  </r>
  <r>
    <m/>
    <x v="369"/>
    <x v="369"/>
    <x v="348"/>
    <x v="6"/>
    <x v="2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370"/>
    <x v="370"/>
    <x v="349"/>
    <x v="0"/>
    <x v="9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m/>
    <s v="SP"/>
    <m/>
    <s v="FP SP "/>
    <x v="3"/>
    <x v="2"/>
    <m/>
    <x v="30"/>
  </r>
  <r>
    <m/>
    <x v="371"/>
    <x v="371"/>
    <x v="350"/>
    <x v="0"/>
    <x v="10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m/>
    <s v="SP"/>
    <m/>
    <s v="FP SP "/>
    <x v="3"/>
    <x v="0"/>
    <m/>
    <x v="4"/>
  </r>
  <r>
    <m/>
    <x v="372"/>
    <x v="372"/>
    <x v="351"/>
    <x v="1"/>
    <x v="1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3"/>
    <m/>
    <x v="3"/>
  </r>
  <r>
    <m/>
    <x v="373"/>
    <x v="373"/>
    <x v="352"/>
    <x v="6"/>
    <x v="2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s v="CP"/>
    <s v="SP"/>
    <m/>
    <s v="FP CP SP "/>
    <x v="1"/>
    <x v="2"/>
    <m/>
    <x v="63"/>
  </r>
  <r>
    <m/>
    <x v="374"/>
    <x v="374"/>
    <x v="353"/>
    <x v="6"/>
    <x v="2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375"/>
    <x v="375"/>
    <x v="354"/>
    <x v="6"/>
    <x v="2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s v="CP"/>
    <s v="SP"/>
    <s v="MOULD"/>
    <s v="FP CP SP MOULD "/>
    <x v="1"/>
    <x v="2"/>
    <m/>
    <x v="35"/>
  </r>
  <r>
    <m/>
    <x v="376"/>
    <x v="376"/>
    <x v="355"/>
    <x v="6"/>
    <x v="2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s v="CP"/>
    <s v="SP"/>
    <s v="MOULD"/>
    <s v="FP CP SP MOULD "/>
    <x v="1"/>
    <x v="2"/>
    <m/>
    <x v="35"/>
  </r>
  <r>
    <m/>
    <x v="377"/>
    <x v="376"/>
    <x v="355"/>
    <x v="6"/>
    <x v="2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s v="CP"/>
    <s v="SP"/>
    <m/>
    <s v="FP CP SP "/>
    <x v="1"/>
    <x v="2"/>
    <m/>
    <x v="26"/>
  </r>
  <r>
    <m/>
    <x v="378"/>
    <x v="377"/>
    <x v="356"/>
    <x v="6"/>
    <x v="2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s v="CP"/>
    <s v="SP"/>
    <m/>
    <s v="FP CP SP "/>
    <x v="1"/>
    <x v="2"/>
    <m/>
    <x v="66"/>
  </r>
  <r>
    <m/>
    <x v="379"/>
    <x v="378"/>
    <x v="357"/>
    <x v="6"/>
    <x v="2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s v="CP"/>
    <m/>
    <m/>
    <s v="FP CP "/>
    <x v="1"/>
    <x v="2"/>
    <m/>
    <x v="0"/>
  </r>
  <r>
    <m/>
    <x v="380"/>
    <x v="379"/>
    <x v="358"/>
    <x v="6"/>
    <x v="2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m/>
    <m/>
    <m/>
    <s v="FP "/>
    <x v="1"/>
    <x v="2"/>
    <m/>
    <x v="4"/>
  </r>
  <r>
    <m/>
    <x v="381"/>
    <x v="380"/>
    <x v="213"/>
    <x v="1"/>
    <x v="5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Both"/>
    <x v="1"/>
    <x v="2"/>
    <m/>
    <x v="3"/>
  </r>
  <r>
    <m/>
    <x v="382"/>
    <x v="381"/>
    <x v="359"/>
    <x v="1"/>
    <x v="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0"/>
    <m/>
    <x v="8"/>
  </r>
  <r>
    <m/>
    <x v="383"/>
    <x v="382"/>
    <x v="360"/>
    <x v="6"/>
    <x v="2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384"/>
    <x v="383"/>
    <x v="361"/>
    <x v="0"/>
    <x v="0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0"/>
    <m/>
    <x v="3"/>
  </r>
  <r>
    <m/>
    <x v="385"/>
    <x v="384"/>
    <x v="362"/>
    <x v="0"/>
    <x v="9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m/>
    <s v="SP"/>
    <s v="MOULD"/>
    <s v="FP SP MOULD "/>
    <x v="3"/>
    <x v="2"/>
    <m/>
    <x v="10"/>
  </r>
  <r>
    <m/>
    <x v="386"/>
    <x v="385"/>
    <x v="222"/>
    <x v="0"/>
    <x v="9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s v="SP"/>
    <m/>
    <s v="SP Both"/>
    <x v="2"/>
    <x v="0"/>
    <m/>
    <x v="30"/>
  </r>
  <r>
    <m/>
    <x v="387"/>
    <x v="386"/>
    <x v="222"/>
    <x v="0"/>
    <x v="9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m/>
    <m/>
    <m/>
    <s v="FP Both"/>
    <x v="1"/>
    <x v="0"/>
    <m/>
    <x v="30"/>
  </r>
  <r>
    <m/>
    <x v="388"/>
    <x v="387"/>
    <x v="222"/>
    <x v="0"/>
    <x v="9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m/>
    <m/>
    <m/>
    <s v="FP Both"/>
    <x v="1"/>
    <x v="0"/>
    <m/>
    <x v="67"/>
  </r>
  <r>
    <m/>
    <x v="389"/>
    <x v="388"/>
    <x v="363"/>
    <x v="6"/>
    <x v="2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390"/>
    <x v="389"/>
    <x v="364"/>
    <x v="6"/>
    <x v="2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391"/>
    <x v="390"/>
    <x v="365"/>
    <x v="4"/>
    <x v="14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6"/>
  </r>
  <r>
    <m/>
    <x v="392"/>
    <x v="391"/>
    <x v="366"/>
    <x v="3"/>
    <x v="4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m/>
    <m/>
    <m/>
    <s v="FP "/>
    <x v="1"/>
    <x v="0"/>
    <m/>
    <x v="11"/>
  </r>
  <r>
    <m/>
    <x v="393"/>
    <x v="392"/>
    <x v="367"/>
    <x v="1"/>
    <x v="1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0"/>
    <m/>
    <x v="8"/>
  </r>
  <r>
    <m/>
    <x v="394"/>
    <x v="393"/>
    <x v="368"/>
    <x v="5"/>
    <x v="12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s v="CP"/>
    <m/>
    <m/>
    <s v="FP CP "/>
    <x v="1"/>
    <x v="2"/>
    <m/>
    <x v="2"/>
  </r>
  <r>
    <m/>
    <x v="395"/>
    <x v="394"/>
    <x v="369"/>
    <x v="4"/>
    <x v="6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0"/>
    <m/>
    <x v="3"/>
  </r>
  <r>
    <m/>
    <x v="396"/>
    <x v="395"/>
    <x v="370"/>
    <x v="1"/>
    <x v="2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11"/>
  </r>
  <r>
    <m/>
    <x v="397"/>
    <x v="396"/>
    <x v="371"/>
    <x v="6"/>
    <x v="2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m/>
    <m/>
    <m/>
    <s v="FP "/>
    <x v="1"/>
    <x v="2"/>
    <m/>
    <x v="0"/>
  </r>
  <r>
    <m/>
    <x v="398"/>
    <x v="397"/>
    <x v="372"/>
    <x v="6"/>
    <x v="2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s v="CP"/>
    <m/>
    <m/>
    <s v="FP CP "/>
    <x v="1"/>
    <x v="2"/>
    <m/>
    <x v="0"/>
  </r>
  <r>
    <m/>
    <x v="399"/>
    <x v="398"/>
    <x v="373"/>
    <x v="6"/>
    <x v="2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m/>
    <m/>
    <m/>
    <s v="FP "/>
    <x v="1"/>
    <x v="2"/>
    <m/>
    <x v="0"/>
  </r>
  <r>
    <m/>
    <x v="400"/>
    <x v="399"/>
    <x v="374"/>
    <x v="4"/>
    <x v="14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01"/>
    <x v="400"/>
    <x v="375"/>
    <x v="4"/>
    <x v="14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s v="MOULD"/>
    <s v="CP MOULD "/>
    <x v="2"/>
    <x v="2"/>
    <m/>
    <x v="29"/>
  </r>
  <r>
    <m/>
    <x v="402"/>
    <x v="375"/>
    <x v="376"/>
    <x v="6"/>
    <x v="21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s v="CP"/>
    <s v="SP"/>
    <s v="MOULD"/>
    <s v="FP CP SP MOULD "/>
    <x v="1"/>
    <x v="2"/>
    <m/>
    <x v="35"/>
  </r>
  <r>
    <m/>
    <x v="403"/>
    <x v="401"/>
    <x v="377"/>
    <x v="5"/>
    <x v="20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0"/>
    <m/>
    <x v="15"/>
  </r>
  <r>
    <m/>
    <x v="404"/>
    <x v="402"/>
    <x v="378"/>
    <x v="1"/>
    <x v="5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0"/>
    <m/>
    <x v="11"/>
  </r>
  <r>
    <m/>
    <x v="405"/>
    <x v="403"/>
    <x v="379"/>
    <x v="5"/>
    <x v="7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0"/>
    <m/>
    <x v="8"/>
  </r>
  <r>
    <m/>
    <x v="406"/>
    <x v="404"/>
    <x v="380"/>
    <x v="0"/>
    <x v="3"/>
    <m/>
    <x v="23"/>
    <m/>
    <n v="1"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m/>
    <s v="SP"/>
    <m/>
    <s v="FP SP "/>
    <x v="3"/>
    <x v="0"/>
    <m/>
    <x v="4"/>
  </r>
  <r>
    <m/>
    <x v="407"/>
    <x v="405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08"/>
    <x v="406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409"/>
    <x v="407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10"/>
    <x v="408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11"/>
    <x v="409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12"/>
    <x v="410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13"/>
    <x v="411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11"/>
  </r>
  <r>
    <m/>
    <x v="414"/>
    <x v="412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415"/>
    <x v="413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416"/>
    <x v="414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417"/>
    <x v="415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18"/>
    <x v="416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419"/>
    <x v="417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20"/>
    <x v="418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21"/>
    <x v="419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422"/>
    <x v="420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23"/>
    <x v="421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m/>
    <m/>
    <m/>
    <s v="FP "/>
    <x v="1"/>
    <x v="2"/>
    <m/>
    <x v="4"/>
  </r>
  <r>
    <m/>
    <x v="424"/>
    <x v="422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25"/>
    <x v="423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26"/>
    <x v="424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27"/>
    <x v="425"/>
    <x v="380"/>
    <x v="7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m/>
    <s v="SP"/>
    <m/>
    <s v="FP SP "/>
    <x v="3"/>
    <x v="2"/>
    <m/>
    <x v="17"/>
  </r>
  <r>
    <m/>
    <x v="428"/>
    <x v="426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10"/>
  </r>
  <r>
    <m/>
    <x v="429"/>
    <x v="427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430"/>
    <x v="428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31"/>
    <x v="429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32"/>
    <x v="430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33"/>
    <x v="431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34"/>
    <x v="432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8"/>
  </r>
  <r>
    <m/>
    <x v="435"/>
    <x v="433"/>
    <x v="380"/>
    <x v="8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36"/>
    <x v="434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37"/>
    <x v="435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38"/>
    <x v="436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39"/>
    <x v="437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440"/>
    <x v="438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41"/>
    <x v="439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30"/>
  </r>
  <r>
    <m/>
    <x v="442"/>
    <x v="440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443"/>
    <x v="441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44"/>
    <x v="442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45"/>
    <x v="443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46"/>
    <x v="444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47"/>
    <x v="445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48"/>
    <x v="446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8"/>
  </r>
  <r>
    <m/>
    <x v="449"/>
    <x v="447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50"/>
    <x v="448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51"/>
    <x v="449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452"/>
    <x v="450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m/>
    <m/>
    <m/>
    <s v="FP "/>
    <x v="1"/>
    <x v="2"/>
    <m/>
    <x v="47"/>
  </r>
  <r>
    <m/>
    <x v="453"/>
    <x v="451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54"/>
    <x v="452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55"/>
    <x v="453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56"/>
    <x v="454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57"/>
    <x v="455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1"/>
    <m/>
    <x v="8"/>
  </r>
  <r>
    <m/>
    <x v="458"/>
    <x v="456"/>
    <x v="380"/>
    <x v="9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59"/>
    <x v="457"/>
    <x v="380"/>
    <x v="9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m/>
    <s v="SP"/>
    <m/>
    <s v="FP SP "/>
    <x v="3"/>
    <x v="2"/>
    <m/>
    <x v="17"/>
  </r>
  <r>
    <m/>
    <x v="460"/>
    <x v="458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461"/>
    <x v="459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462"/>
    <x v="460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63"/>
    <x v="461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64"/>
    <x v="462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65"/>
    <x v="463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8"/>
  </r>
  <r>
    <m/>
    <x v="466"/>
    <x v="464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467"/>
    <x v="465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68"/>
    <x v="466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8"/>
  </r>
  <r>
    <m/>
    <x v="469"/>
    <x v="427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70"/>
    <x v="467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71"/>
    <x v="468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472"/>
    <x v="469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73"/>
    <x v="470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74"/>
    <x v="471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475"/>
    <x v="472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76"/>
    <x v="473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10"/>
  </r>
  <r>
    <m/>
    <x v="477"/>
    <x v="474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478"/>
    <x v="475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79"/>
    <x v="357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80"/>
    <x v="476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81"/>
    <x v="477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82"/>
    <x v="478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483"/>
    <x v="479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84"/>
    <x v="480"/>
    <x v="380"/>
    <x v="4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85"/>
    <x v="481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86"/>
    <x v="482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0"/>
  </r>
  <r>
    <m/>
    <x v="487"/>
    <x v="483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s v="SP"/>
    <m/>
    <s v="SP "/>
    <x v="2"/>
    <x v="2"/>
    <m/>
    <x v="8"/>
  </r>
  <r>
    <m/>
    <x v="488"/>
    <x v="484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89"/>
    <x v="420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490"/>
    <x v="479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91"/>
    <x v="485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92"/>
    <x v="486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93"/>
    <x v="487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94"/>
    <x v="488"/>
    <x v="380"/>
    <x v="9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95"/>
    <x v="489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8"/>
  </r>
  <r>
    <m/>
    <x v="496"/>
    <x v="490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8"/>
  </r>
  <r>
    <m/>
    <x v="497"/>
    <x v="491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498"/>
    <x v="492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10"/>
  </r>
  <r>
    <m/>
    <x v="499"/>
    <x v="493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m/>
    <m/>
    <m/>
    <s v="FP "/>
    <x v="1"/>
    <x v="2"/>
    <m/>
    <x v="11"/>
  </r>
  <r>
    <m/>
    <x v="500"/>
    <x v="494"/>
    <x v="380"/>
    <x v="8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501"/>
    <x v="495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502"/>
    <x v="496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503"/>
    <x v="497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504"/>
    <x v="498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505"/>
    <x v="499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506"/>
    <x v="500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507"/>
    <x v="369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508"/>
    <x v="501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509"/>
    <x v="502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510"/>
    <x v="503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5"/>
  </r>
  <r>
    <m/>
    <x v="511"/>
    <x v="504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512"/>
    <x v="505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0"/>
  </r>
  <r>
    <m/>
    <x v="513"/>
    <x v="506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514"/>
    <x v="507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515"/>
    <x v="508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516"/>
    <x v="509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517"/>
    <x v="510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518"/>
    <x v="511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519"/>
    <x v="512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520"/>
    <x v="513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8"/>
  </r>
  <r>
    <m/>
    <x v="521"/>
    <x v="514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522"/>
    <x v="515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523"/>
    <x v="516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524"/>
    <x v="517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525"/>
    <x v="518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526"/>
    <x v="519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527"/>
    <x v="520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528"/>
    <x v="521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529"/>
    <x v="458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530"/>
    <x v="522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531"/>
    <x v="523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532"/>
    <x v="524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533"/>
    <x v="525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0"/>
  </r>
  <r>
    <m/>
    <x v="534"/>
    <x v="526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535"/>
    <x v="527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536"/>
    <x v="528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8"/>
  </r>
  <r>
    <m/>
    <x v="537"/>
    <x v="529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538"/>
    <x v="530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8"/>
  </r>
  <r>
    <m/>
    <x v="539"/>
    <x v="531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540"/>
    <x v="532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541"/>
    <x v="533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542"/>
    <x v="534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543"/>
    <x v="535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544"/>
    <x v="536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8"/>
  </r>
  <r>
    <m/>
    <x v="545"/>
    <x v="537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546"/>
    <x v="538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547"/>
    <x v="509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548"/>
    <x v="539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549"/>
    <x v="540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550"/>
    <x v="541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551"/>
    <x v="542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552"/>
    <x v="543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553"/>
    <x v="544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554"/>
    <x v="545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555"/>
    <x v="546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11"/>
  </r>
  <r>
    <m/>
    <x v="556"/>
    <x v="547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557"/>
    <x v="343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558"/>
    <x v="548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559"/>
    <x v="401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15"/>
  </r>
  <r>
    <m/>
    <x v="560"/>
    <x v="549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561"/>
    <x v="550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562"/>
    <x v="551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563"/>
    <x v="552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564"/>
    <x v="553"/>
    <x v="380"/>
    <x v="8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m/>
    <s v=""/>
    <x v="2"/>
    <x v="2"/>
    <m/>
    <x v="3"/>
  </r>
  <r>
    <m/>
    <x v="565"/>
    <x v="554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s v="FP"/>
    <m/>
    <m/>
    <m/>
    <s v="FP "/>
    <x v="1"/>
    <x v="2"/>
    <m/>
    <x v="17"/>
  </r>
  <r>
    <m/>
    <x v="566"/>
    <x v="555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567"/>
    <x v="499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568"/>
    <x v="556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569"/>
    <x v="557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570"/>
    <x v="558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  <r>
    <m/>
    <x v="571"/>
    <x v="559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s v="CP"/>
    <m/>
    <m/>
    <s v="CP "/>
    <x v="2"/>
    <x v="2"/>
    <m/>
    <x v="8"/>
  </r>
  <r>
    <m/>
    <x v="572"/>
    <x v="560"/>
    <x v="380"/>
    <x v="6"/>
    <x v="21"/>
    <m/>
    <x v="23"/>
    <m/>
    <m/>
    <m/>
    <m/>
    <x v="906"/>
    <m/>
    <m/>
    <m/>
    <m/>
    <m/>
    <m/>
    <m/>
    <m/>
    <m/>
    <m/>
    <m/>
    <x v="0"/>
    <x v="0"/>
    <x v="0"/>
    <x v="0"/>
    <x v="0"/>
    <x v="0"/>
    <x v="0"/>
    <x v="0"/>
    <x v="0"/>
    <x v="0"/>
    <x v="0"/>
    <x v="0"/>
    <x v="0"/>
    <x v="0"/>
    <x v="0"/>
    <m/>
    <x v="0"/>
    <x v="0"/>
    <x v="0"/>
    <x v="0"/>
    <m/>
    <m/>
    <m/>
    <m/>
    <m/>
    <n v="1"/>
    <m/>
    <m/>
    <m/>
    <s v="MOULD"/>
    <s v="MOULD "/>
    <x v="2"/>
    <x v="2"/>
    <m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3" applyNumberFormats="0" applyBorderFormats="0" applyFontFormats="0" applyPatternFormats="0" applyAlignmentFormats="0" applyWidthHeightFormats="1" dataCaption="Values" updatedVersion="3" minRefreshableVersion="3" showCalcMbrs="0" itemPrintTitles="1" createdVersion="3" indent="0" compact="0" compactData="0" gridDropZones="1" multipleFieldFilters="0">
  <location ref="R26:X40" firstHeaderRow="1" firstDataRow="2" firstDataCol="4" rowPageCount="9" colPageCount="1"/>
  <pivotFields count="60">
    <pivotField compact="0" outline="0" showAll="0" defaultSubtotal="0"/>
    <pivotField axis="axisRow" compact="0" outline="0" showAll="0" defaultSubtotal="0">
      <items count="573">
        <item sd="0" x="157"/>
        <item sd="0" x="208"/>
        <item sd="0" x="127"/>
        <item sd="0" x="7"/>
        <item sd="0" x="34"/>
        <item sd="0" x="60"/>
        <item sd="0" x="104"/>
        <item sd="0" x="229"/>
        <item sd="0" x="255"/>
        <item sd="0" x="211"/>
        <item sd="0" x="52"/>
        <item sd="0" x="8"/>
        <item sd="0" x="88"/>
        <item sd="0" x="219"/>
        <item sd="0" x="146"/>
        <item sd="0" x="234"/>
        <item sd="0" x="124"/>
        <item sd="0" x="240"/>
        <item sd="0" x="28"/>
        <item sd="0" x="4"/>
        <item sd="0" x="266"/>
        <item sd="0" x="168"/>
        <item sd="0" x="221"/>
        <item sd="0" x="0"/>
        <item sd="0" x="13"/>
        <item sd="0" x="138"/>
        <item sd="0" x="37"/>
        <item sd="0" x="137"/>
        <item sd="0" x="148"/>
        <item sd="0" x="61"/>
        <item sd="0" x="128"/>
        <item sd="0" x="177"/>
        <item sd="0" x="271"/>
        <item sd="0" x="68"/>
        <item sd="0" x="225"/>
        <item sd="0" x="265"/>
        <item sd="0" x="11"/>
        <item sd="0" x="112"/>
        <item sd="0" x="170"/>
        <item sd="0" x="207"/>
        <item sd="0" x="236"/>
        <item sd="0" x="51"/>
        <item sd="0" x="86"/>
        <item sd="0" x="233"/>
        <item sd="0" x="16"/>
        <item sd="0" x="5"/>
        <item sd="0" x="238"/>
        <item sd="0" x="72"/>
        <item sd="0" x="153"/>
        <item sd="0" x="92"/>
        <item sd="0" x="14"/>
        <item sd="0" x="106"/>
        <item sd="0" x="131"/>
        <item sd="0" x="230"/>
        <item sd="0" x="94"/>
        <item sd="0" x="2"/>
        <item sd="0" x="178"/>
        <item sd="0" x="1"/>
        <item sd="0" x="204"/>
        <item sd="0" x="164"/>
        <item sd="0" x="74"/>
        <item sd="0" x="185"/>
        <item sd="0" x="82"/>
        <item sd="0" x="63"/>
        <item sd="0" x="180"/>
        <item sd="0" x="25"/>
        <item sd="0" x="262"/>
        <item sd="0" x="113"/>
        <item sd="0" x="145"/>
        <item sd="0" x="192"/>
        <item sd="0" x="103"/>
        <item sd="0" x="220"/>
        <item sd="0" x="136"/>
        <item sd="0" x="40"/>
        <item sd="0" x="59"/>
        <item sd="0" x="10"/>
        <item sd="0" x="100"/>
        <item sd="0" x="64"/>
        <item sd="0" x="30"/>
        <item sd="0" x="160"/>
        <item sd="0" x="80"/>
        <item sd="0" x="57"/>
        <item sd="0" x="150"/>
        <item sd="0" x="115"/>
        <item sd="0" x="228"/>
        <item sd="0" x="187"/>
        <item sd="0" x="194"/>
        <item sd="0" x="22"/>
        <item sd="0" x="209"/>
        <item sd="0" x="141"/>
        <item sd="0" x="190"/>
        <item sd="0" x="23"/>
        <item sd="0" x="205"/>
        <item sd="0" x="31"/>
        <item sd="0" x="161"/>
        <item sd="0" x="6"/>
        <item sd="0" x="110"/>
        <item sd="0" x="12"/>
        <item sd="0" x="19"/>
        <item sd="0" x="47"/>
        <item sd="0" x="152"/>
        <item sd="0" x="134"/>
        <item sd="0" x="117"/>
        <item sd="0" x="159"/>
        <item sd="0" x="83"/>
        <item sd="0" x="275"/>
        <item sd="0" x="15"/>
        <item sd="0" x="223"/>
        <item sd="0" x="243"/>
        <item sd="0" x="54"/>
        <item sd="0" x="73"/>
        <item sd="0" x="274"/>
        <item sd="0" x="9"/>
        <item sd="0" x="118"/>
        <item sd="0" x="246"/>
        <item sd="0" x="174"/>
        <item sd="0" x="269"/>
        <item sd="0" x="78"/>
        <item sd="0" x="218"/>
        <item sd="0" x="56"/>
        <item sd="0" x="237"/>
        <item sd="0" x="18"/>
        <item sd="0" x="232"/>
        <item sd="0" x="126"/>
        <item sd="0" x="90"/>
        <item sd="0" x="156"/>
        <item sd="0" x="199"/>
        <item sd="0" x="254"/>
        <item sd="0" x="272"/>
        <item sd="0" x="166"/>
        <item sd="0" x="17"/>
        <item sd="0" x="212"/>
        <item sd="0" x="38"/>
        <item sd="0" x="196"/>
        <item sd="0" x="46"/>
        <item sd="0" x="235"/>
        <item sd="0" x="267"/>
        <item sd="0" x="239"/>
        <item sd="0" x="198"/>
        <item sd="0" x="96"/>
        <item sd="0" x="151"/>
        <item sd="0" x="242"/>
        <item sd="0" x="175"/>
        <item sd="0" x="24"/>
        <item sd="0" x="3"/>
        <item sd="0" x="191"/>
        <item sd="0" x="20"/>
        <item sd="0" x="36"/>
        <item sd="0" x="39"/>
        <item sd="0" x="41"/>
        <item sd="0" x="43"/>
        <item sd="0" x="49"/>
        <item sd="0" x="53"/>
        <item sd="0" x="55"/>
        <item sd="0" x="69"/>
        <item sd="0" x="81"/>
        <item sd="0" x="85"/>
        <item sd="0" x="91"/>
        <item sd="0" x="93"/>
        <item sd="0" x="95"/>
        <item sd="0" x="98"/>
        <item sd="0" x="101"/>
        <item sd="0" x="123"/>
        <item sd="0" x="125"/>
        <item sd="0" x="132"/>
        <item sd="0" x="155"/>
        <item sd="0" x="169"/>
        <item sd="0" x="173"/>
        <item sd="0" x="176"/>
        <item sd="0" x="183"/>
        <item sd="0" x="203"/>
        <item sd="0" x="206"/>
        <item sd="0" x="213"/>
        <item sd="0" x="222"/>
        <item sd="0" x="231"/>
        <item sd="0" x="250"/>
        <item sd="0" x="251"/>
        <item sd="0" x="263"/>
        <item sd="0" x="273"/>
        <item sd="0" x="21"/>
        <item sd="0" x="26"/>
        <item sd="0" x="27"/>
        <item sd="0" x="29"/>
        <item sd="0" x="32"/>
        <item sd="0" x="33"/>
        <item sd="0" x="42"/>
        <item sd="0" x="44"/>
        <item sd="0" x="45"/>
        <item sd="0" x="50"/>
        <item sd="0" x="70"/>
        <item sd="0" x="71"/>
        <item sd="0" x="76"/>
        <item sd="0" x="84"/>
        <item sd="0" x="87"/>
        <item sd="0" x="89"/>
        <item sd="0" x="99"/>
        <item sd="0" x="102"/>
        <item sd="0" x="107"/>
        <item sd="0" x="108"/>
        <item sd="0" x="109"/>
        <item sd="0" x="111"/>
        <item sd="0" x="114"/>
        <item sd="0" x="116"/>
        <item sd="0" x="120"/>
        <item sd="0" x="129"/>
        <item sd="0" x="130"/>
        <item sd="0" x="133"/>
        <item sd="0" x="139"/>
        <item sd="0" x="143"/>
        <item sd="0" x="158"/>
        <item sd="0" x="162"/>
        <item sd="0" x="163"/>
        <item sd="0" x="171"/>
        <item sd="0" x="179"/>
        <item sd="0" x="188"/>
        <item sd="0" x="189"/>
        <item sd="0" x="193"/>
        <item sd="0" x="195"/>
        <item sd="0" x="197"/>
        <item sd="0" x="201"/>
        <item sd="0" x="210"/>
        <item sd="0" x="216"/>
        <item sd="0" x="35"/>
        <item sd="0" x="62"/>
        <item sd="0" x="75"/>
        <item sd="0" x="79"/>
        <item sd="0" x="97"/>
        <item sd="0" x="140"/>
        <item sd="0" x="144"/>
        <item sd="0" x="172"/>
        <item sd="0" x="182"/>
        <item sd="0" x="181"/>
        <item sd="0" x="227"/>
        <item sd="0" x="241"/>
        <item sd="0" x="244"/>
        <item sd="0" x="248"/>
        <item sd="0" x="249"/>
        <item sd="0" x="252"/>
        <item sd="0" x="253"/>
        <item sd="0" x="257"/>
        <item sd="0" x="260"/>
        <item sd="0" x="261"/>
        <item sd="0" x="264"/>
        <item sd="0" x="268"/>
        <item sd="0" x="270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7"/>
        <item x="247"/>
        <item x="256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</items>
    </pivotField>
    <pivotField axis="axisRow" compact="0" outline="0" showAll="0" defaultSubtotal="0">
      <items count="561">
        <item x="0"/>
        <item x="1"/>
        <item x="2"/>
        <item x="5"/>
        <item x="7"/>
        <item x="9"/>
        <item x="10"/>
        <item x="11"/>
        <item x="12"/>
        <item x="175"/>
        <item x="14"/>
        <item x="19"/>
        <item x="23"/>
        <item x="24"/>
        <item x="25"/>
        <item x="28"/>
        <item x="30"/>
        <item x="31"/>
        <item x="34"/>
        <item x="37"/>
        <item x="6"/>
        <item x="38"/>
        <item x="47"/>
        <item x="52"/>
        <item x="51"/>
        <item x="54"/>
        <item x="59"/>
        <item x="61"/>
        <item x="64"/>
        <item x="60"/>
        <item x="72"/>
        <item x="74"/>
        <item x="117"/>
        <item x="134"/>
        <item x="164"/>
        <item x="3"/>
        <item x="78"/>
        <item x="82"/>
        <item x="86"/>
        <item x="88"/>
        <item x="196"/>
        <item x="57"/>
        <item x="63"/>
        <item x="209"/>
        <item x="83"/>
        <item x="96"/>
        <item x="103"/>
        <item x="104"/>
        <item x="106"/>
        <item x="112"/>
        <item x="113"/>
        <item x="15"/>
        <item x="124"/>
        <item x="136"/>
        <item x="194"/>
        <item x="22"/>
        <item x="73"/>
        <item x="127"/>
        <item x="128"/>
        <item x="131"/>
        <item x="8"/>
        <item x="137"/>
        <item x="138"/>
        <item x="141"/>
        <item x="145"/>
        <item x="146"/>
        <item x="148"/>
        <item x="150"/>
        <item x="151"/>
        <item x="152"/>
        <item x="153"/>
        <item x="156"/>
        <item x="157"/>
        <item x="159"/>
        <item x="160"/>
        <item x="161"/>
        <item x="166"/>
        <item x="168"/>
        <item x="170"/>
        <item x="92"/>
        <item x="100"/>
        <item x="110"/>
        <item x="174"/>
        <item x="177"/>
        <item x="178"/>
        <item x="180"/>
        <item x="266"/>
        <item x="185"/>
        <item x="187"/>
        <item x="191"/>
        <item x="192"/>
        <item x="237"/>
        <item x="199"/>
        <item x="204"/>
        <item x="80"/>
        <item x="267"/>
        <item x="269"/>
        <item x="190"/>
        <item x="17"/>
        <item x="126"/>
        <item x="207"/>
        <item x="208"/>
        <item x="211"/>
        <item x="212"/>
        <item x="218"/>
        <item x="219"/>
        <item x="220"/>
        <item x="221"/>
        <item x="223"/>
        <item x="68"/>
        <item x="115"/>
        <item x="205"/>
        <item x="225"/>
        <item x="239"/>
        <item x="18"/>
        <item x="228"/>
        <item x="229"/>
        <item x="230"/>
        <item x="232"/>
        <item x="233"/>
        <item x="234"/>
        <item x="236"/>
        <item x="238"/>
        <item x="240"/>
        <item x="242"/>
        <item x="243"/>
        <item x="246"/>
        <item x="4"/>
        <item x="254"/>
        <item x="255"/>
        <item x="262"/>
        <item x="13"/>
        <item x="118"/>
        <item x="265"/>
        <item x="271"/>
        <item x="272"/>
        <item x="56"/>
        <item x="94"/>
        <item x="40"/>
        <item x="46"/>
        <item x="198"/>
        <item x="16"/>
        <item x="274"/>
        <item x="90"/>
        <item x="235"/>
        <item x="275"/>
        <item x="20"/>
        <item x="36"/>
        <item x="39"/>
        <item x="41"/>
        <item x="43"/>
        <item x="49"/>
        <item x="53"/>
        <item x="55"/>
        <item x="69"/>
        <item x="81"/>
        <item x="85"/>
        <item x="91"/>
        <item x="93"/>
        <item x="95"/>
        <item x="98"/>
        <item x="101"/>
        <item x="123"/>
        <item x="125"/>
        <item x="132"/>
        <item x="155"/>
        <item x="169"/>
        <item x="173"/>
        <item x="176"/>
        <item x="183"/>
        <item x="203"/>
        <item x="206"/>
        <item x="213"/>
        <item x="222"/>
        <item x="231"/>
        <item x="250"/>
        <item x="251"/>
        <item x="263"/>
        <item x="273"/>
        <item x="21"/>
        <item x="26"/>
        <item x="27"/>
        <item x="29"/>
        <item x="32"/>
        <item x="33"/>
        <item x="42"/>
        <item x="44"/>
        <item x="45"/>
        <item x="50"/>
        <item x="70"/>
        <item x="71"/>
        <item x="76"/>
        <item x="84"/>
        <item x="87"/>
        <item x="89"/>
        <item x="99"/>
        <item x="102"/>
        <item x="107"/>
        <item x="108"/>
        <item x="109"/>
        <item x="111"/>
        <item x="114"/>
        <item x="116"/>
        <item x="120"/>
        <item x="129"/>
        <item x="130"/>
        <item x="133"/>
        <item x="139"/>
        <item x="143"/>
        <item x="158"/>
        <item x="162"/>
        <item x="163"/>
        <item x="171"/>
        <item x="179"/>
        <item x="188"/>
        <item x="189"/>
        <item x="193"/>
        <item x="195"/>
        <item x="197"/>
        <item x="201"/>
        <item x="210"/>
        <item x="216"/>
        <item x="35"/>
        <item x="62"/>
        <item x="75"/>
        <item x="79"/>
        <item x="97"/>
        <item x="140"/>
        <item x="144"/>
        <item x="172"/>
        <item x="182"/>
        <item x="181"/>
        <item x="227"/>
        <item x="241"/>
        <item x="244"/>
        <item x="248"/>
        <item x="249"/>
        <item x="252"/>
        <item x="253"/>
        <item x="257"/>
        <item x="260"/>
        <item x="261"/>
        <item x="264"/>
        <item x="268"/>
        <item x="270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7"/>
        <item x="247"/>
        <item x="256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</items>
    </pivotField>
    <pivotField axis="axisRow" compact="0" outline="0" showAll="0" defaultSubtotal="0">
      <items count="38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24"/>
        <item x="26"/>
        <item x="27"/>
        <item x="30"/>
        <item x="33"/>
        <item x="34"/>
        <item x="36"/>
        <item x="41"/>
        <item x="42"/>
        <item x="45"/>
        <item x="46"/>
        <item x="48"/>
        <item x="50"/>
        <item x="51"/>
        <item x="52"/>
        <item x="53"/>
        <item x="54"/>
        <item x="56"/>
        <item x="57"/>
        <item x="61"/>
        <item x="65"/>
        <item x="66"/>
        <item x="67"/>
        <item x="71"/>
        <item x="73"/>
        <item x="75"/>
        <item x="78"/>
        <item x="80"/>
        <item x="82"/>
        <item x="84"/>
        <item x="86"/>
        <item x="88"/>
        <item x="92"/>
        <item x="95"/>
        <item x="96"/>
        <item x="98"/>
        <item x="102"/>
        <item x="104"/>
        <item x="105"/>
        <item x="107"/>
        <item x="109"/>
        <item x="110"/>
        <item x="116"/>
        <item x="118"/>
        <item x="119"/>
        <item x="120"/>
        <item x="123"/>
        <item x="126"/>
        <item x="128"/>
        <item x="129"/>
        <item x="130"/>
        <item x="133"/>
        <item x="137"/>
        <item x="138"/>
        <item x="140"/>
        <item x="141"/>
        <item x="142"/>
        <item x="143"/>
        <item x="144"/>
        <item x="147"/>
        <item x="148"/>
        <item x="150"/>
        <item x="151"/>
        <item x="152"/>
        <item x="154"/>
        <item x="156"/>
        <item x="158"/>
        <item x="160"/>
        <item x="164"/>
        <item x="165"/>
        <item x="167"/>
        <item x="168"/>
        <item x="170"/>
        <item x="173"/>
        <item x="175"/>
        <item x="178"/>
        <item x="179"/>
        <item x="180"/>
        <item x="182"/>
        <item x="184"/>
        <item x="186"/>
        <item x="187"/>
        <item x="192"/>
        <item x="194"/>
        <item x="195"/>
        <item x="196"/>
        <item x="198"/>
        <item x="199"/>
        <item x="204"/>
        <item x="205"/>
        <item x="206"/>
        <item x="207"/>
        <item x="209"/>
        <item x="211"/>
        <item x="214"/>
        <item x="215"/>
        <item x="216"/>
        <item x="218"/>
        <item x="219"/>
        <item x="220"/>
        <item x="221"/>
        <item x="222"/>
        <item m="1" x="381"/>
        <item x="223"/>
        <item x="224"/>
        <item x="225"/>
        <item x="227"/>
        <item x="228"/>
        <item x="231"/>
        <item x="237"/>
        <item x="238"/>
        <item x="244"/>
        <item x="247"/>
        <item x="248"/>
        <item x="249"/>
        <item x="251"/>
        <item x="253"/>
        <item x="254"/>
        <item x="256"/>
        <item x="257"/>
        <item x="17"/>
        <item x="32"/>
        <item x="35"/>
        <item x="37"/>
        <item x="39"/>
        <item x="44"/>
        <item x="47"/>
        <item x="49"/>
        <item x="62"/>
        <item x="74"/>
        <item x="77"/>
        <item x="83"/>
        <item x="85"/>
        <item x="87"/>
        <item x="90"/>
        <item x="93"/>
        <item x="115"/>
        <item x="117"/>
        <item x="124"/>
        <item x="146"/>
        <item x="159"/>
        <item x="163"/>
        <item x="166"/>
        <item x="172"/>
        <item x="191"/>
        <item x="193"/>
        <item x="200"/>
        <item x="208"/>
        <item x="217"/>
        <item x="233"/>
        <item x="234"/>
        <item x="245"/>
        <item x="255"/>
        <item x="18"/>
        <item x="22"/>
        <item x="23"/>
        <item x="25"/>
        <item x="28"/>
        <item x="29"/>
        <item x="38"/>
        <item x="40"/>
        <item x="63"/>
        <item x="64"/>
        <item x="69"/>
        <item x="76"/>
        <item x="79"/>
        <item x="81"/>
        <item x="91"/>
        <item x="94"/>
        <item x="99"/>
        <item x="100"/>
        <item x="101"/>
        <item x="103"/>
        <item x="106"/>
        <item x="108"/>
        <item x="112"/>
        <item x="121"/>
        <item x="122"/>
        <item x="125"/>
        <item x="131"/>
        <item x="135"/>
        <item x="149"/>
        <item x="153"/>
        <item x="161"/>
        <item x="169"/>
        <item x="176"/>
        <item x="177"/>
        <item x="181"/>
        <item x="183"/>
        <item x="185"/>
        <item x="189"/>
        <item x="197"/>
        <item x="203"/>
        <item x="31"/>
        <item x="55"/>
        <item x="68"/>
        <item x="72"/>
        <item x="89"/>
        <item x="132"/>
        <item x="136"/>
        <item x="162"/>
        <item x="171"/>
        <item x="213"/>
        <item x="226"/>
        <item x="229"/>
        <item x="232"/>
        <item x="235"/>
        <item x="236"/>
        <item x="239"/>
        <item x="242"/>
        <item x="243"/>
        <item x="246"/>
        <item x="250"/>
        <item x="252"/>
        <item x="43"/>
        <item x="70"/>
        <item x="97"/>
        <item x="111"/>
        <item x="113"/>
        <item x="114"/>
        <item x="127"/>
        <item x="134"/>
        <item x="145"/>
        <item x="155"/>
        <item x="157"/>
        <item x="174"/>
        <item x="190"/>
        <item x="201"/>
        <item x="202"/>
        <item x="210"/>
        <item x="212"/>
        <item x="230"/>
        <item x="240"/>
        <item x="241"/>
        <item x="58"/>
        <item x="59"/>
        <item x="60"/>
        <item x="139"/>
        <item x="188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</items>
    </pivotField>
    <pivotField axis="axisPage" compact="0" outline="0" showAll="0" defaultSubtotal="0">
      <items count="10">
        <item x="3"/>
        <item x="0"/>
        <item x="2"/>
        <item x="5"/>
        <item x="1"/>
        <item x="4"/>
        <item x="6"/>
        <item x="7"/>
        <item x="8"/>
        <item x="9"/>
      </items>
    </pivotField>
    <pivotField axis="axisPage" compact="0" outline="0" showAll="0" defaultSubtotal="0">
      <items count="25">
        <item x="22"/>
        <item x="13"/>
        <item x="15"/>
        <item x="1"/>
        <item x="6"/>
        <item x="11"/>
        <item x="9"/>
        <item x="23"/>
        <item x="2"/>
        <item x="3"/>
        <item x="12"/>
        <item x="4"/>
        <item x="18"/>
        <item x="0"/>
        <item x="17"/>
        <item x="5"/>
        <item x="24"/>
        <item x="14"/>
        <item x="20"/>
        <item x="16"/>
        <item x="10"/>
        <item x="7"/>
        <item x="19"/>
        <item x="8"/>
        <item x="21"/>
      </items>
    </pivotField>
    <pivotField compact="0" outline="0" showAll="0"/>
    <pivotField axis="axisPage" compact="0" outline="0" multipleItemSelectionAllowed="1" showAll="0">
      <items count="25">
        <item x="21"/>
        <item x="4"/>
        <item x="5"/>
        <item x="6"/>
        <item x="10"/>
        <item x="7"/>
        <item x="11"/>
        <item x="0"/>
        <item x="12"/>
        <item x="13"/>
        <item x="14"/>
        <item x="20"/>
        <item x="9"/>
        <item x="15"/>
        <item x="19"/>
        <item x="16"/>
        <item x="8"/>
        <item x="1"/>
        <item x="2"/>
        <item x="17"/>
        <item x="22"/>
        <item x="3"/>
        <item x="18"/>
        <item x="23"/>
        <item t="default"/>
      </items>
    </pivotField>
    <pivotField dataField="1" compact="0" outline="0" showAll="0" defaultSubtotal="0"/>
    <pivotField dataField="1" compact="0" outline="0" showAll="0" defaultSubtotal="0"/>
    <pivotField compact="0" outline="0" showAll="0"/>
    <pivotField compact="0" outline="0" showAll="0"/>
    <pivotField axis="axisPage" compact="0" numFmtId="14" outline="0" showAll="0" defaultSubtotal="0">
      <items count="908">
        <item x="0"/>
        <item x="1"/>
        <item x="2"/>
        <item x="3"/>
        <item x="4"/>
        <item x="5"/>
        <item x="6"/>
        <item x="7"/>
        <item x="8"/>
        <item x="9"/>
        <item x="10"/>
        <item x="12"/>
        <item x="11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7"/>
        <item x="26"/>
        <item x="28"/>
        <item x="29"/>
        <item x="30"/>
        <item x="31"/>
        <item x="32"/>
        <item x="33"/>
        <item x="34"/>
        <item x="35"/>
        <item x="36"/>
        <item x="38"/>
        <item x="37"/>
        <item x="39"/>
        <item x="40"/>
        <item x="41"/>
        <item x="42"/>
        <item x="43"/>
        <item x="44"/>
        <item x="46"/>
        <item x="45"/>
        <item x="47"/>
        <item x="48"/>
        <item x="50"/>
        <item x="76"/>
        <item x="77"/>
        <item x="74"/>
        <item x="78"/>
        <item x="79"/>
        <item x="72"/>
        <item x="80"/>
        <item x="81"/>
        <item x="82"/>
        <item x="83"/>
        <item x="84"/>
        <item x="85"/>
        <item x="86"/>
        <item x="88"/>
        <item x="87"/>
        <item x="89"/>
        <item x="91"/>
        <item x="90"/>
        <item x="92"/>
        <item x="93"/>
        <item x="94"/>
        <item x="95"/>
        <item x="96"/>
        <item x="97"/>
        <item x="98"/>
        <item x="99"/>
        <item x="100"/>
        <item x="101"/>
        <item x="102"/>
        <item x="67"/>
        <item x="103"/>
        <item x="104"/>
        <item x="105"/>
        <item x="106"/>
        <item x="107"/>
        <item x="108"/>
        <item x="109"/>
        <item x="110"/>
        <item x="112"/>
        <item x="111"/>
        <item x="113"/>
        <item x="114"/>
        <item x="115"/>
        <item x="116"/>
        <item x="118"/>
        <item x="117"/>
        <item x="119"/>
        <item x="131"/>
        <item x="132"/>
        <item x="133"/>
        <item x="134"/>
        <item x="135"/>
        <item x="136"/>
        <item x="137"/>
        <item x="75"/>
        <item x="139"/>
        <item x="138"/>
        <item x="140"/>
        <item x="141"/>
        <item x="142"/>
        <item x="143"/>
        <item x="144"/>
        <item x="145"/>
        <item x="130"/>
        <item x="146"/>
        <item x="147"/>
        <item x="148"/>
        <item x="149"/>
        <item x="150"/>
        <item x="151"/>
        <item x="152"/>
        <item x="171"/>
        <item x="172"/>
        <item x="173"/>
        <item x="174"/>
        <item x="175"/>
        <item x="176"/>
        <item x="177"/>
        <item x="178"/>
        <item x="179"/>
        <item x="180"/>
        <item x="153"/>
        <item x="188"/>
        <item x="189"/>
        <item x="190"/>
        <item x="191"/>
        <item x="192"/>
        <item x="193"/>
        <item x="194"/>
        <item x="206"/>
        <item x="207"/>
        <item x="208"/>
        <item x="73"/>
        <item x="209"/>
        <item x="210"/>
        <item x="211"/>
        <item x="212"/>
        <item x="197"/>
        <item x="217"/>
        <item x="218"/>
        <item x="219"/>
        <item x="220"/>
        <item x="221"/>
        <item x="222"/>
        <item x="223"/>
        <item x="225"/>
        <item x="224"/>
        <item x="228"/>
        <item x="227"/>
        <item x="226"/>
        <item x="229"/>
        <item x="231"/>
        <item x="234"/>
        <item x="235"/>
        <item x="236"/>
        <item x="237"/>
        <item x="230"/>
        <item x="233"/>
        <item x="232"/>
        <item x="238"/>
        <item x="239"/>
        <item x="240"/>
        <item x="241"/>
        <item x="242"/>
        <item x="71"/>
        <item x="243"/>
        <item x="244"/>
        <item x="159"/>
        <item x="60"/>
        <item x="245"/>
        <item x="246"/>
        <item x="247"/>
        <item x="248"/>
        <item x="249"/>
        <item x="251"/>
        <item x="250"/>
        <item x="252"/>
        <item x="253"/>
        <item x="254"/>
        <item x="255"/>
        <item x="168"/>
        <item x="256"/>
        <item x="257"/>
        <item x="259"/>
        <item x="260"/>
        <item x="261"/>
        <item x="266"/>
        <item x="267"/>
        <item x="268"/>
        <item x="269"/>
        <item x="271"/>
        <item x="270"/>
        <item x="272"/>
        <item x="273"/>
        <item x="280"/>
        <item x="281"/>
        <item x="282"/>
        <item x="283"/>
        <item x="284"/>
        <item x="286"/>
        <item x="285"/>
        <item x="287"/>
        <item x="263"/>
        <item x="288"/>
        <item x="289"/>
        <item x="290"/>
        <item x="291"/>
        <item x="294"/>
        <item x="292"/>
        <item x="293"/>
        <item x="295"/>
        <item x="296"/>
        <item x="297"/>
        <item x="298"/>
        <item x="299"/>
        <item x="300"/>
        <item x="301"/>
        <item x="203"/>
        <item x="302"/>
        <item x="303"/>
        <item x="304"/>
        <item x="213"/>
        <item x="305"/>
        <item x="276"/>
        <item x="308"/>
        <item x="307"/>
        <item x="306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124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7"/>
        <item x="335"/>
        <item x="336"/>
        <item x="338"/>
        <item x="342"/>
        <item x="343"/>
        <item x="344"/>
        <item x="345"/>
        <item x="346"/>
        <item x="347"/>
        <item x="349"/>
        <item x="348"/>
        <item x="350"/>
        <item x="265"/>
        <item x="351"/>
        <item x="352"/>
        <item x="353"/>
        <item x="354"/>
        <item x="355"/>
        <item x="70"/>
        <item x="356"/>
        <item x="358"/>
        <item x="357"/>
        <item x="359"/>
        <item x="376"/>
        <item x="216"/>
        <item x="380"/>
        <item x="381"/>
        <item x="382"/>
        <item x="383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15"/>
        <item x="419"/>
        <item x="420"/>
        <item x="421"/>
        <item x="422"/>
        <item x="423"/>
        <item x="425"/>
        <item x="424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8"/>
        <item x="437"/>
        <item x="439"/>
        <item x="440"/>
        <item x="444"/>
        <item x="443"/>
        <item x="442"/>
        <item x="441"/>
        <item x="445"/>
        <item x="446"/>
        <item x="447"/>
        <item x="448"/>
        <item x="57"/>
        <item x="449"/>
        <item x="274"/>
        <item x="450"/>
        <item x="451"/>
        <item x="410"/>
        <item x="452"/>
        <item x="454"/>
        <item x="455"/>
        <item x="456"/>
        <item x="460"/>
        <item x="461"/>
        <item x="463"/>
        <item x="462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215"/>
        <item x="475"/>
        <item x="476"/>
        <item x="477"/>
        <item x="479"/>
        <item x="478"/>
        <item x="369"/>
        <item x="186"/>
        <item x="480"/>
        <item x="481"/>
        <item x="483"/>
        <item x="486"/>
        <item x="487"/>
        <item x="488"/>
        <item x="489"/>
        <item x="491"/>
        <item x="490"/>
        <item m="1" x="907"/>
        <item x="492"/>
        <item x="493"/>
        <item x="494"/>
        <item x="262"/>
        <item x="495"/>
        <item x="496"/>
        <item x="497"/>
        <item x="367"/>
        <item x="503"/>
        <item x="360"/>
        <item x="504"/>
        <item x="264"/>
        <item x="505"/>
        <item x="506"/>
        <item x="507"/>
        <item x="514"/>
        <item x="518"/>
        <item x="517"/>
        <item x="520"/>
        <item x="516"/>
        <item x="519"/>
        <item x="515"/>
        <item x="521"/>
        <item x="522"/>
        <item x="535"/>
        <item x="414"/>
        <item x="536"/>
        <item x="61"/>
        <item x="541"/>
        <item x="542"/>
        <item x="543"/>
        <item x="165"/>
        <item x="375"/>
        <item x="544"/>
        <item x="545"/>
        <item x="548"/>
        <item x="547"/>
        <item x="549"/>
        <item x="550"/>
        <item x="205"/>
        <item x="551"/>
        <item x="340"/>
        <item x="554"/>
        <item x="126"/>
        <item x="555"/>
        <item x="556"/>
        <item x="557"/>
        <item x="562"/>
        <item x="510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90"/>
        <item x="591"/>
        <item x="592"/>
        <item x="593"/>
        <item x="594"/>
        <item x="595"/>
        <item x="155"/>
        <item x="596"/>
        <item x="597"/>
        <item x="599"/>
        <item x="600"/>
        <item x="602"/>
        <item x="603"/>
        <item x="604"/>
        <item x="605"/>
        <item x="606"/>
        <item x="607"/>
        <item x="608"/>
        <item x="618"/>
        <item x="619"/>
        <item x="620"/>
        <item x="629"/>
        <item x="630"/>
        <item x="631"/>
        <item x="501"/>
        <item x="632"/>
        <item x="633"/>
        <item x="523"/>
        <item x="634"/>
        <item x="635"/>
        <item x="636"/>
        <item x="637"/>
        <item x="638"/>
        <item x="639"/>
        <item x="640"/>
        <item x="641"/>
        <item x="418"/>
        <item x="642"/>
        <item x="643"/>
        <item x="499"/>
        <item x="644"/>
        <item x="645"/>
        <item x="646"/>
        <item x="647"/>
        <item x="648"/>
        <item x="649"/>
        <item x="650"/>
        <item x="164"/>
        <item x="653"/>
        <item x="68"/>
        <item x="559"/>
        <item x="615"/>
        <item x="654"/>
        <item x="655"/>
        <item x="656"/>
        <item x="657"/>
        <item x="658"/>
        <item x="659"/>
        <item x="651"/>
        <item x="664"/>
        <item x="665"/>
        <item x="666"/>
        <item x="667"/>
        <item x="668"/>
        <item x="669"/>
        <item x="670"/>
        <item x="675"/>
        <item x="680"/>
        <item x="681"/>
        <item x="682"/>
        <item x="51"/>
        <item x="187"/>
        <item x="683"/>
        <item x="538"/>
        <item x="684"/>
        <item x="685"/>
        <item x="199"/>
        <item x="687"/>
        <item x="686"/>
        <item x="688"/>
        <item x="689"/>
        <item x="690"/>
        <item x="691"/>
        <item x="502"/>
        <item x="692"/>
        <item x="693"/>
        <item x="696"/>
        <item x="697"/>
        <item x="698"/>
        <item x="161"/>
        <item x="699"/>
        <item x="558"/>
        <item x="202"/>
        <item x="700"/>
        <item x="701"/>
        <item x="702"/>
        <item x="703"/>
        <item x="459"/>
        <item x="704"/>
        <item x="705"/>
        <item x="625"/>
        <item x="709"/>
        <item x="710"/>
        <item x="711"/>
        <item x="712"/>
        <item x="713"/>
        <item x="716"/>
        <item x="561"/>
        <item x="717"/>
        <item x="723"/>
        <item x="722"/>
        <item x="724"/>
        <item x="725"/>
        <item x="715"/>
        <item x="726"/>
        <item x="727"/>
        <item x="729"/>
        <item x="728"/>
        <item x="730"/>
        <item x="731"/>
        <item x="733"/>
        <item x="732"/>
        <item x="734"/>
        <item x="735"/>
        <item x="736"/>
        <item x="740"/>
        <item x="745"/>
        <item x="498"/>
        <item x="754"/>
        <item x="755"/>
        <item x="756"/>
        <item x="62"/>
        <item x="757"/>
        <item x="411"/>
        <item x="758"/>
        <item x="759"/>
        <item x="760"/>
        <item x="761"/>
        <item x="762"/>
        <item x="695"/>
        <item x="763"/>
        <item x="764"/>
        <item x="765"/>
        <item x="768"/>
        <item x="769"/>
        <item x="770"/>
        <item x="771"/>
        <item x="772"/>
        <item x="779"/>
        <item x="780"/>
        <item x="781"/>
        <item x="185"/>
        <item x="782"/>
        <item x="783"/>
        <item x="163"/>
        <item x="777"/>
        <item x="738"/>
        <item x="627"/>
        <item x="784"/>
        <item x="785"/>
        <item x="786"/>
        <item x="204"/>
        <item x="787"/>
        <item x="788"/>
        <item x="789"/>
        <item x="790"/>
        <item x="791"/>
        <item x="792"/>
        <item x="793"/>
        <item x="160"/>
        <item x="796"/>
        <item x="170"/>
        <item x="797"/>
        <item x="798"/>
        <item x="799"/>
        <item x="800"/>
        <item x="678"/>
        <item x="807"/>
        <item x="808"/>
        <item x="809"/>
        <item x="810"/>
        <item x="200"/>
        <item x="811"/>
        <item x="812"/>
        <item x="813"/>
        <item x="814"/>
        <item x="815"/>
        <item x="816"/>
        <item x="817"/>
        <item x="624"/>
        <item x="818"/>
        <item x="412"/>
        <item x="819"/>
        <item x="820"/>
        <item x="821"/>
        <item x="822"/>
        <item x="552"/>
        <item x="823"/>
        <item x="824"/>
        <item x="825"/>
        <item x="622"/>
        <item x="363"/>
        <item x="826"/>
        <item x="278"/>
        <item x="827"/>
        <item x="828"/>
        <item x="829"/>
        <item x="830"/>
        <item x="623"/>
        <item x="529"/>
        <item x="831"/>
        <item x="832"/>
        <item x="833"/>
        <item x="834"/>
        <item x="708"/>
        <item x="835"/>
        <item x="836"/>
        <item x="837"/>
        <item x="838"/>
        <item x="839"/>
        <item x="842"/>
        <item x="379"/>
        <item x="847"/>
        <item x="848"/>
        <item x="850"/>
        <item x="853"/>
        <item x="854"/>
        <item x="855"/>
        <item x="805"/>
        <item x="856"/>
        <item x="857"/>
        <item x="858"/>
        <item x="671"/>
        <item x="875"/>
        <item x="876"/>
        <item x="121"/>
        <item x="877"/>
        <item x="878"/>
        <item x="879"/>
        <item x="484"/>
        <item x="881"/>
        <item x="882"/>
        <item x="614"/>
        <item x="883"/>
        <item x="884"/>
        <item x="885"/>
        <item x="886"/>
        <item x="512"/>
        <item x="887"/>
        <item x="888"/>
        <item x="890"/>
        <item x="891"/>
        <item x="892"/>
        <item x="895"/>
        <item x="896"/>
        <item x="897"/>
        <item x="898"/>
        <item x="899"/>
        <item x="901"/>
        <item x="900"/>
        <item x="902"/>
        <item x="903"/>
        <item x="904"/>
        <item x="905"/>
        <item x="120"/>
        <item x="122"/>
        <item x="123"/>
        <item x="125"/>
        <item x="128"/>
        <item x="127"/>
        <item x="129"/>
        <item x="154"/>
        <item x="156"/>
        <item x="157"/>
        <item x="158"/>
        <item x="162"/>
        <item x="166"/>
        <item x="167"/>
        <item x="169"/>
        <item x="181"/>
        <item x="182"/>
        <item x="184"/>
        <item x="183"/>
        <item x="195"/>
        <item x="196"/>
        <item x="198"/>
        <item x="201"/>
        <item x="258"/>
        <item x="384"/>
        <item x="385"/>
        <item x="386"/>
        <item x="387"/>
        <item x="388"/>
        <item x="389"/>
        <item x="390"/>
        <item x="391"/>
        <item x="408"/>
        <item x="409"/>
        <item x="453"/>
        <item x="457"/>
        <item x="458"/>
        <item x="485"/>
        <item x="500"/>
        <item x="524"/>
        <item x="525"/>
        <item x="526"/>
        <item x="527"/>
        <item x="528"/>
        <item x="530"/>
        <item x="531"/>
        <item x="532"/>
        <item x="533"/>
        <item x="534"/>
        <item x="537"/>
        <item x="539"/>
        <item x="540"/>
        <item x="546"/>
        <item x="553"/>
        <item x="560"/>
        <item x="587"/>
        <item x="588"/>
        <item x="589"/>
        <item x="598"/>
        <item x="609"/>
        <item x="610"/>
        <item x="611"/>
        <item x="621"/>
        <item x="660"/>
        <item x="661"/>
        <item x="662"/>
        <item x="663"/>
        <item x="66"/>
        <item x="672"/>
        <item x="673"/>
        <item x="674"/>
        <item x="694"/>
        <item x="718"/>
        <item x="719"/>
        <item x="720"/>
        <item x="721"/>
        <item x="739"/>
        <item x="741"/>
        <item x="742"/>
        <item x="743"/>
        <item x="744"/>
        <item x="748"/>
        <item x="749"/>
        <item x="750"/>
        <item x="766"/>
        <item x="767"/>
        <item x="776"/>
        <item x="778"/>
        <item x="214"/>
        <item x="339"/>
        <item x="64"/>
        <item x="341"/>
        <item x="416"/>
        <item x="365"/>
        <item x="417"/>
        <item x="482"/>
        <item x="612"/>
        <item x="613"/>
        <item x="617"/>
        <item x="616"/>
        <item x="626"/>
        <item x="628"/>
        <item x="804"/>
        <item x="806"/>
        <item x="511"/>
        <item x="840"/>
        <item x="841"/>
        <item x="844"/>
        <item x="843"/>
        <item x="845"/>
        <item x="846"/>
        <item x="849"/>
        <item x="851"/>
        <item x="852"/>
        <item x="859"/>
        <item x="860"/>
        <item x="861"/>
        <item x="869"/>
        <item x="870"/>
        <item x="871"/>
        <item x="872"/>
        <item x="873"/>
        <item x="874"/>
        <item x="880"/>
        <item x="889"/>
        <item x="893"/>
        <item x="894"/>
        <item x="275"/>
        <item x="277"/>
        <item x="279"/>
        <item x="413"/>
        <item x="508"/>
        <item x="509"/>
        <item x="513"/>
        <item x="601"/>
        <item x="652"/>
        <item x="676"/>
        <item x="677"/>
        <item x="679"/>
        <item x="706"/>
        <item x="707"/>
        <item x="714"/>
        <item x="751"/>
        <item x="752"/>
        <item x="753"/>
        <item x="773"/>
        <item x="774"/>
        <item x="775"/>
        <item x="794"/>
        <item x="795"/>
        <item x="801"/>
        <item x="802"/>
        <item x="803"/>
        <item x="374"/>
        <item x="747"/>
        <item x="863"/>
        <item x="862"/>
        <item x="864"/>
        <item x="865"/>
        <item x="866"/>
        <item x="867"/>
        <item x="868"/>
        <item x="361"/>
        <item x="362"/>
        <item x="364"/>
        <item x="366"/>
        <item x="368"/>
        <item x="370"/>
        <item x="371"/>
        <item x="373"/>
        <item x="372"/>
        <item x="737"/>
        <item x="746"/>
        <item x="906"/>
        <item x="49"/>
        <item x="52"/>
        <item x="54"/>
        <item x="53"/>
        <item x="55"/>
        <item x="56"/>
        <item x="58"/>
        <item x="59"/>
        <item x="63"/>
        <item x="65"/>
        <item x="69"/>
        <item x="377"/>
        <item x="378"/>
      </items>
    </pivotField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axis="axisPage" compact="0" outline="0" showAll="0">
      <items count="3">
        <item x="1"/>
        <item x="0"/>
        <item t="default"/>
      </items>
    </pivotField>
    <pivotField name=" Panel" axis="axisRow" compact="0" outline="0" showAll="0" sortType="ascending">
      <items count="13">
        <item sd="0" x="7"/>
        <item sd="0" x="4"/>
        <item sd="0" x="10"/>
        <item sd="0" x="5"/>
        <item sd="0" x="9"/>
        <item sd="0" x="1"/>
        <item sd="0" x="3"/>
        <item sd="0" x="6"/>
        <item sd="0" x="2"/>
        <item sd="0" x="8"/>
        <item sd="0" x="11"/>
        <item sd="0" x="0"/>
        <item t="default" sd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2"/>
        <item m="1" x="4"/>
        <item m="1" x="5"/>
        <item h="1" x="3"/>
        <item x="1"/>
        <item x="0"/>
      </items>
    </pivotField>
    <pivotField axis="axisPage" compact="0" outline="0" multipleItemSelectionAllowed="1" showAll="0" defaultSubtotal="0">
      <items count="4">
        <item x="1"/>
        <item h="1" x="0"/>
        <item h="1" x="3"/>
        <item h="1" x="2"/>
      </items>
    </pivotField>
    <pivotField compact="0" outline="0" showAll="0" defaultSubtotal="0"/>
    <pivotField axis="axisPage" compact="0" outline="0" showAll="0" defaultSubtotal="0">
      <items count="68">
        <item x="30"/>
        <item x="65"/>
        <item x="37"/>
        <item x="56"/>
        <item x="28"/>
        <item x="57"/>
        <item x="60"/>
        <item x="59"/>
        <item x="13"/>
        <item x="16"/>
        <item x="55"/>
        <item x="46"/>
        <item x="58"/>
        <item x="39"/>
        <item x="63"/>
        <item x="50"/>
        <item x="67"/>
        <item x="25"/>
        <item x="54"/>
        <item x="14"/>
        <item x="21"/>
        <item x="40"/>
        <item x="38"/>
        <item x="36"/>
        <item x="2"/>
        <item x="10"/>
        <item x="42"/>
        <item x="51"/>
        <item x="61"/>
        <item x="52"/>
        <item x="24"/>
        <item x="22"/>
        <item x="9"/>
        <item x="47"/>
        <item x="34"/>
        <item x="4"/>
        <item x="43"/>
        <item x="48"/>
        <item x="29"/>
        <item x="1"/>
        <item x="62"/>
        <item x="64"/>
        <item x="5"/>
        <item x="23"/>
        <item x="33"/>
        <item x="32"/>
        <item x="0"/>
        <item x="18"/>
        <item x="66"/>
        <item x="44"/>
        <item x="35"/>
        <item x="19"/>
        <item x="49"/>
        <item x="15"/>
        <item x="11"/>
        <item x="45"/>
        <item x="7"/>
        <item x="27"/>
        <item x="20"/>
        <item x="26"/>
        <item x="41"/>
        <item x="53"/>
        <item x="31"/>
        <item x="6"/>
        <item x="17"/>
        <item x="12"/>
        <item x="8"/>
        <item x="3"/>
      </items>
    </pivotField>
    <pivotField dataField="1" compact="0" outline="0" dragToRow="0" dragToCol="0" dragToPage="0" showAll="0" defaultSubtotal="0"/>
  </pivotFields>
  <rowFields count="4">
    <field x="43"/>
    <field x="3"/>
    <field x="1"/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9">
    <pageField fld="7" hier="-1"/>
    <pageField fld="55" hier="-1"/>
    <pageField fld="40" hier="-1"/>
    <pageField fld="42" hier="-1"/>
    <pageField fld="12" hier="-1"/>
    <pageField fld="56" hier="-1"/>
    <pageField fld="4" hier="-1"/>
    <pageField fld="5" hier="-1"/>
    <pageField fld="58" hier="-1"/>
  </pageFields>
  <dataFields count="3">
    <dataField name="Total Number of Supplier" fld="59" baseField="0" baseItem="0"/>
    <dataField name="Count of document signed" fld="8" subtotal="count" baseField="0" baseItem="0"/>
    <dataField name="Count of document not signed" fld="9" subtotal="count" baseField="0" baseItem="0"/>
  </dataFields>
  <formats count="31">
    <format dxfId="30">
      <pivotArea field="43" type="button" dataOnly="0" labelOnly="1" outline="0" axis="axisRow" fieldPosition="0"/>
    </format>
    <format dxfId="29">
      <pivotArea field="3" type="button" dataOnly="0" labelOnly="1" outline="0" axis="axisRow" fieldPosition="1"/>
    </format>
    <format dxfId="28">
      <pivotArea field="1" type="button" dataOnly="0" labelOnly="1" outline="0" axis="axisRow" fieldPosition="2"/>
    </format>
    <format dxfId="27">
      <pivotArea field="2" type="button" dataOnly="0" labelOnly="1" outline="0" axis="axisRow" fieldPosition="3"/>
    </format>
    <format dxfId="26">
      <pivotArea field="43" type="button" dataOnly="0" labelOnly="1" outline="0" axis="axisRow" fieldPosition="0"/>
    </format>
    <format dxfId="25">
      <pivotArea field="3" type="button" dataOnly="0" labelOnly="1" outline="0" axis="axisRow" fieldPosition="1"/>
    </format>
    <format dxfId="24">
      <pivotArea field="1" type="button" dataOnly="0" labelOnly="1" outline="0" axis="axisRow" fieldPosition="2"/>
    </format>
    <format dxfId="23">
      <pivotArea field="2" type="button" dataOnly="0" labelOnly="1" outline="0" axis="axisRow" fieldPosition="3"/>
    </format>
    <format dxfId="22">
      <pivotArea field="43" type="button" dataOnly="0" labelOnly="1" outline="0" axis="axisRow" fieldPosition="0"/>
    </format>
    <format dxfId="21">
      <pivotArea field="3" type="button" dataOnly="0" labelOnly="1" outline="0" axis="axisRow" fieldPosition="1"/>
    </format>
    <format dxfId="20">
      <pivotArea field="1" type="button" dataOnly="0" labelOnly="1" outline="0" axis="axisRow" fieldPosition="2"/>
    </format>
    <format dxfId="19">
      <pivotArea field="2" type="button" dataOnly="0" labelOnly="1" outline="0" axis="axisRow" fieldPosition="3"/>
    </format>
    <format dxfId="18">
      <pivotArea field="43" type="button" dataOnly="0" labelOnly="1" outline="0" axis="axisRow" fieldPosition="0"/>
    </format>
    <format dxfId="17">
      <pivotArea field="3" type="button" dataOnly="0" labelOnly="1" outline="0" axis="axisRow" fieldPosition="1"/>
    </format>
    <format dxfId="16">
      <pivotArea field="1" type="button" dataOnly="0" labelOnly="1" outline="0" axis="axisRow" fieldPosition="2"/>
    </format>
    <format dxfId="15">
      <pivotArea field="2" type="button" dataOnly="0" labelOnly="1" outline="0" axis="axisRow" fieldPosition="3"/>
    </format>
    <format dxfId="1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3" minRefreshableVersion="3" showCalcMbrs="0" itemPrintTitles="1" createdVersion="3" indent="0" compact="0" compactData="0" gridDropZones="1" multipleFieldFilters="0">
  <location ref="E26:K33" firstHeaderRow="1" firstDataRow="2" firstDataCol="4" rowPageCount="9" colPageCount="1"/>
  <pivotFields count="60">
    <pivotField compact="0" outline="0" showAll="0" defaultSubtotal="0"/>
    <pivotField axis="axisRow" compact="0" outline="0" showAll="0" defaultSubtotal="0">
      <items count="573">
        <item sd="0" x="157"/>
        <item sd="0" x="208"/>
        <item sd="0" x="127"/>
        <item sd="0" x="7"/>
        <item sd="0" x="34"/>
        <item sd="0" x="60"/>
        <item sd="0" x="104"/>
        <item sd="0" x="229"/>
        <item sd="0" x="255"/>
        <item sd="0" x="211"/>
        <item sd="0" x="52"/>
        <item sd="0" x="8"/>
        <item sd="0" x="88"/>
        <item sd="0" x="219"/>
        <item sd="0" x="146"/>
        <item sd="0" x="234"/>
        <item sd="0" x="124"/>
        <item sd="0" x="240"/>
        <item sd="0" x="28"/>
        <item sd="0" x="4"/>
        <item sd="0" x="266"/>
        <item sd="0" x="168"/>
        <item sd="0" x="221"/>
        <item sd="0" x="0"/>
        <item sd="0" x="13"/>
        <item sd="0" x="138"/>
        <item sd="0" x="37"/>
        <item sd="0" x="137"/>
        <item sd="0" x="148"/>
        <item sd="0" x="61"/>
        <item sd="0" x="128"/>
        <item sd="0" x="177"/>
        <item sd="0" x="271"/>
        <item sd="0" x="68"/>
        <item sd="0" x="225"/>
        <item sd="0" x="265"/>
        <item sd="0" x="11"/>
        <item sd="0" x="112"/>
        <item sd="0" x="170"/>
        <item sd="0" x="207"/>
        <item sd="0" x="236"/>
        <item sd="0" x="51"/>
        <item sd="0" x="86"/>
        <item sd="0" x="233"/>
        <item sd="0" x="16"/>
        <item sd="0" x="5"/>
        <item sd="0" x="238"/>
        <item sd="0" x="72"/>
        <item sd="0" x="153"/>
        <item sd="0" x="92"/>
        <item sd="0" x="14"/>
        <item sd="0" x="106"/>
        <item sd="0" x="131"/>
        <item sd="0" x="230"/>
        <item sd="0" x="94"/>
        <item sd="0" x="2"/>
        <item sd="0" x="178"/>
        <item sd="0" x="1"/>
        <item sd="0" x="204"/>
        <item sd="0" x="164"/>
        <item sd="0" x="74"/>
        <item sd="0" x="185"/>
        <item sd="0" x="82"/>
        <item sd="0" x="63"/>
        <item sd="0" x="180"/>
        <item sd="0" x="25"/>
        <item sd="0" x="262"/>
        <item sd="0" x="113"/>
        <item sd="0" x="145"/>
        <item sd="0" x="192"/>
        <item sd="0" x="103"/>
        <item sd="0" x="220"/>
        <item sd="0" x="136"/>
        <item sd="0" x="40"/>
        <item sd="0" x="59"/>
        <item sd="0" x="10"/>
        <item sd="0" x="100"/>
        <item sd="0" x="64"/>
        <item sd="0" x="30"/>
        <item sd="0" x="160"/>
        <item sd="0" x="80"/>
        <item sd="0" x="57"/>
        <item sd="0" x="150"/>
        <item sd="0" x="115"/>
        <item sd="0" x="228"/>
        <item sd="0" x="187"/>
        <item sd="0" x="194"/>
        <item sd="0" x="22"/>
        <item sd="0" x="209"/>
        <item sd="0" x="141"/>
        <item sd="0" x="190"/>
        <item sd="0" x="23"/>
        <item sd="0" x="205"/>
        <item sd="0" x="31"/>
        <item sd="0" x="161"/>
        <item sd="0" x="6"/>
        <item sd="0" x="110"/>
        <item sd="0" x="12"/>
        <item sd="0" x="19"/>
        <item sd="0" x="47"/>
        <item sd="0" x="152"/>
        <item sd="0" x="134"/>
        <item sd="0" x="117"/>
        <item sd="0" x="159"/>
        <item sd="0" x="83"/>
        <item sd="0" x="275"/>
        <item sd="0" x="15"/>
        <item sd="0" x="223"/>
        <item sd="0" x="243"/>
        <item sd="0" x="54"/>
        <item sd="0" x="73"/>
        <item sd="0" x="274"/>
        <item sd="0" x="9"/>
        <item sd="0" x="118"/>
        <item sd="0" x="246"/>
        <item sd="0" x="174"/>
        <item sd="0" x="269"/>
        <item sd="0" x="78"/>
        <item sd="0" x="218"/>
        <item sd="0" x="56"/>
        <item sd="0" x="237"/>
        <item sd="0" x="18"/>
        <item sd="0" x="232"/>
        <item sd="0" x="126"/>
        <item sd="0" x="90"/>
        <item sd="0" x="156"/>
        <item sd="0" x="199"/>
        <item sd="0" x="254"/>
        <item sd="0" x="272"/>
        <item sd="0" x="166"/>
        <item sd="0" x="17"/>
        <item sd="0" x="212"/>
        <item sd="0" x="38"/>
        <item sd="0" x="196"/>
        <item sd="0" x="46"/>
        <item sd="0" x="235"/>
        <item sd="0" x="267"/>
        <item sd="0" x="239"/>
        <item sd="0" x="198"/>
        <item sd="0" x="96"/>
        <item sd="0" x="151"/>
        <item sd="0" x="242"/>
        <item sd="0" x="175"/>
        <item sd="0" x="24"/>
        <item sd="0" x="3"/>
        <item sd="0" x="191"/>
        <item sd="0" x="20"/>
        <item sd="0" x="36"/>
        <item sd="0" x="39"/>
        <item sd="0" x="41"/>
        <item sd="0" x="43"/>
        <item sd="0" x="49"/>
        <item sd="0" x="53"/>
        <item sd="0" x="55"/>
        <item sd="0" x="69"/>
        <item sd="0" x="81"/>
        <item sd="0" x="85"/>
        <item sd="0" x="91"/>
        <item sd="0" x="93"/>
        <item sd="0" x="95"/>
        <item sd="0" x="98"/>
        <item sd="0" x="101"/>
        <item sd="0" x="123"/>
        <item sd="0" x="125"/>
        <item sd="0" x="132"/>
        <item sd="0" x="155"/>
        <item sd="0" x="169"/>
        <item sd="0" x="173"/>
        <item sd="0" x="176"/>
        <item sd="0" x="183"/>
        <item sd="0" x="203"/>
        <item sd="0" x="206"/>
        <item sd="0" x="213"/>
        <item sd="0" x="222"/>
        <item sd="0" x="231"/>
        <item sd="0" x="250"/>
        <item sd="0" x="251"/>
        <item sd="0" x="263"/>
        <item sd="0" x="273"/>
        <item sd="0" x="21"/>
        <item sd="0" x="26"/>
        <item sd="0" x="27"/>
        <item sd="0" x="29"/>
        <item sd="0" x="32"/>
        <item sd="0" x="33"/>
        <item sd="0" x="42"/>
        <item sd="0" x="44"/>
        <item sd="0" x="45"/>
        <item sd="0" x="50"/>
        <item sd="0" x="70"/>
        <item sd="0" x="71"/>
        <item sd="0" x="76"/>
        <item sd="0" x="84"/>
        <item sd="0" x="87"/>
        <item sd="0" x="89"/>
        <item sd="0" x="99"/>
        <item sd="0" x="102"/>
        <item sd="0" x="107"/>
        <item sd="0" x="108"/>
        <item sd="0" x="109"/>
        <item sd="0" x="111"/>
        <item sd="0" x="114"/>
        <item sd="0" x="116"/>
        <item sd="0" x="120"/>
        <item sd="0" x="129"/>
        <item sd="0" x="130"/>
        <item sd="0" x="133"/>
        <item sd="0" x="139"/>
        <item sd="0" x="143"/>
        <item sd="0" x="158"/>
        <item sd="0" x="162"/>
        <item sd="0" x="163"/>
        <item sd="0" x="171"/>
        <item sd="0" x="179"/>
        <item sd="0" x="188"/>
        <item sd="0" x="189"/>
        <item sd="0" x="193"/>
        <item sd="0" x="195"/>
        <item sd="0" x="197"/>
        <item sd="0" x="201"/>
        <item sd="0" x="210"/>
        <item sd="0" x="216"/>
        <item sd="0" x="227"/>
        <item sd="0" x="244"/>
        <item sd="0" x="248"/>
        <item sd="0" x="249"/>
        <item sd="0" x="252"/>
        <item sd="0" x="253"/>
        <item sd="0" x="257"/>
        <item sd="0" x="260"/>
        <item sd="0" x="261"/>
        <item sd="0" x="264"/>
        <item sd="0" x="268"/>
        <item sd="0" x="270"/>
        <item sd="0" x="35"/>
        <item sd="0" x="62"/>
        <item sd="0" x="75"/>
        <item sd="0" x="79"/>
        <item sd="0" x="97"/>
        <item sd="0" x="140"/>
        <item sd="0" x="144"/>
        <item sd="0" x="172"/>
        <item sd="0" x="182"/>
        <item sd="0" x="181"/>
        <item sd="0" x="241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7"/>
        <item x="247"/>
        <item x="256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</items>
    </pivotField>
    <pivotField axis="axisRow" compact="0" outline="0" showAll="0" defaultSubtotal="0">
      <items count="561">
        <item x="0"/>
        <item x="1"/>
        <item x="2"/>
        <item x="5"/>
        <item x="7"/>
        <item x="9"/>
        <item x="10"/>
        <item x="11"/>
        <item x="12"/>
        <item x="175"/>
        <item x="14"/>
        <item x="19"/>
        <item x="23"/>
        <item x="24"/>
        <item x="25"/>
        <item x="28"/>
        <item x="30"/>
        <item x="31"/>
        <item x="34"/>
        <item x="37"/>
        <item x="6"/>
        <item x="38"/>
        <item x="47"/>
        <item x="52"/>
        <item x="51"/>
        <item x="54"/>
        <item x="59"/>
        <item x="61"/>
        <item x="64"/>
        <item x="60"/>
        <item x="72"/>
        <item x="74"/>
        <item x="117"/>
        <item x="134"/>
        <item x="164"/>
        <item x="3"/>
        <item x="78"/>
        <item x="82"/>
        <item x="86"/>
        <item x="88"/>
        <item x="196"/>
        <item x="57"/>
        <item x="63"/>
        <item x="209"/>
        <item x="83"/>
        <item x="96"/>
        <item x="103"/>
        <item x="104"/>
        <item x="106"/>
        <item x="112"/>
        <item x="113"/>
        <item x="15"/>
        <item x="124"/>
        <item x="136"/>
        <item x="194"/>
        <item x="22"/>
        <item x="73"/>
        <item x="127"/>
        <item x="128"/>
        <item x="131"/>
        <item x="8"/>
        <item x="137"/>
        <item x="138"/>
        <item x="141"/>
        <item x="145"/>
        <item x="146"/>
        <item x="148"/>
        <item x="150"/>
        <item x="151"/>
        <item x="152"/>
        <item x="153"/>
        <item x="156"/>
        <item x="157"/>
        <item x="159"/>
        <item x="160"/>
        <item x="161"/>
        <item x="166"/>
        <item x="168"/>
        <item x="170"/>
        <item x="92"/>
        <item x="100"/>
        <item x="110"/>
        <item x="174"/>
        <item x="177"/>
        <item x="178"/>
        <item x="180"/>
        <item x="266"/>
        <item x="185"/>
        <item x="187"/>
        <item x="191"/>
        <item x="192"/>
        <item x="237"/>
        <item x="199"/>
        <item x="204"/>
        <item x="80"/>
        <item x="267"/>
        <item x="269"/>
        <item x="190"/>
        <item x="17"/>
        <item x="126"/>
        <item x="207"/>
        <item x="208"/>
        <item x="211"/>
        <item x="212"/>
        <item x="218"/>
        <item x="219"/>
        <item x="220"/>
        <item x="221"/>
        <item x="223"/>
        <item x="68"/>
        <item x="115"/>
        <item x="205"/>
        <item x="225"/>
        <item x="239"/>
        <item x="18"/>
        <item x="228"/>
        <item x="229"/>
        <item x="230"/>
        <item x="232"/>
        <item x="233"/>
        <item x="234"/>
        <item x="236"/>
        <item x="238"/>
        <item x="240"/>
        <item x="242"/>
        <item x="243"/>
        <item x="246"/>
        <item x="4"/>
        <item x="254"/>
        <item x="255"/>
        <item x="262"/>
        <item x="13"/>
        <item x="118"/>
        <item x="265"/>
        <item x="271"/>
        <item x="272"/>
        <item x="56"/>
        <item x="94"/>
        <item x="40"/>
        <item x="46"/>
        <item x="198"/>
        <item x="16"/>
        <item x="274"/>
        <item x="90"/>
        <item x="235"/>
        <item x="275"/>
        <item x="20"/>
        <item x="36"/>
        <item x="39"/>
        <item x="41"/>
        <item x="43"/>
        <item x="49"/>
        <item x="53"/>
        <item x="55"/>
        <item x="69"/>
        <item x="81"/>
        <item x="85"/>
        <item x="91"/>
        <item x="93"/>
        <item x="95"/>
        <item x="98"/>
        <item x="101"/>
        <item x="123"/>
        <item x="125"/>
        <item x="132"/>
        <item x="155"/>
        <item x="169"/>
        <item x="173"/>
        <item x="176"/>
        <item x="183"/>
        <item x="203"/>
        <item x="206"/>
        <item x="213"/>
        <item x="222"/>
        <item x="231"/>
        <item x="250"/>
        <item x="251"/>
        <item x="263"/>
        <item x="273"/>
        <item x="21"/>
        <item x="26"/>
        <item x="27"/>
        <item x="29"/>
        <item x="32"/>
        <item x="33"/>
        <item x="42"/>
        <item x="44"/>
        <item x="45"/>
        <item x="50"/>
        <item x="70"/>
        <item x="71"/>
        <item x="76"/>
        <item x="84"/>
        <item x="87"/>
        <item x="89"/>
        <item x="99"/>
        <item x="102"/>
        <item x="107"/>
        <item x="108"/>
        <item x="109"/>
        <item x="111"/>
        <item x="114"/>
        <item x="116"/>
        <item x="120"/>
        <item x="129"/>
        <item x="130"/>
        <item x="133"/>
        <item x="139"/>
        <item x="143"/>
        <item x="158"/>
        <item x="162"/>
        <item x="163"/>
        <item x="171"/>
        <item x="179"/>
        <item x="188"/>
        <item x="189"/>
        <item x="193"/>
        <item x="195"/>
        <item x="197"/>
        <item x="201"/>
        <item x="210"/>
        <item x="216"/>
        <item x="227"/>
        <item x="244"/>
        <item x="248"/>
        <item x="249"/>
        <item x="252"/>
        <item x="253"/>
        <item x="257"/>
        <item x="260"/>
        <item x="261"/>
        <item x="264"/>
        <item x="268"/>
        <item x="270"/>
        <item x="35"/>
        <item x="62"/>
        <item x="75"/>
        <item x="79"/>
        <item x="97"/>
        <item x="140"/>
        <item x="144"/>
        <item x="172"/>
        <item x="182"/>
        <item x="181"/>
        <item x="241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7"/>
        <item x="247"/>
        <item x="256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</items>
    </pivotField>
    <pivotField axis="axisRow" compact="0" outline="0" showAll="0" defaultSubtotal="0">
      <items count="38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9"/>
        <item sd="0" x="20"/>
        <item sd="0" x="21"/>
        <item sd="0" x="24"/>
        <item sd="0" x="26"/>
        <item sd="0" x="27"/>
        <item sd="0" x="30"/>
        <item sd="0" x="33"/>
        <item sd="0" x="34"/>
        <item sd="0" x="36"/>
        <item sd="0" x="41"/>
        <item sd="0" x="42"/>
        <item sd="0" x="45"/>
        <item sd="0" x="46"/>
        <item sd="0" x="48"/>
        <item sd="0" x="50"/>
        <item sd="0" x="51"/>
        <item sd="0" x="52"/>
        <item sd="0" x="53"/>
        <item sd="0" x="54"/>
        <item sd="0" x="56"/>
        <item sd="0" x="57"/>
        <item sd="0" x="61"/>
        <item sd="0" x="65"/>
        <item sd="0" x="66"/>
        <item sd="0" x="67"/>
        <item sd="0" x="71"/>
        <item sd="0" x="73"/>
        <item sd="0" x="75"/>
        <item sd="0" x="78"/>
        <item sd="0" x="80"/>
        <item sd="0" x="82"/>
        <item sd="0" x="84"/>
        <item sd="0" x="86"/>
        <item sd="0" x="88"/>
        <item sd="0" x="92"/>
        <item sd="0" x="95"/>
        <item sd="0" x="96"/>
        <item sd="0" x="98"/>
        <item sd="0" x="102"/>
        <item sd="0" x="104"/>
        <item sd="0" x="105"/>
        <item sd="0" x="107"/>
        <item sd="0" x="109"/>
        <item sd="0" x="110"/>
        <item sd="0" x="116"/>
        <item sd="0" x="118"/>
        <item sd="0" x="119"/>
        <item sd="0" x="120"/>
        <item sd="0" x="123"/>
        <item sd="0" x="126"/>
        <item sd="0" x="128"/>
        <item sd="0" x="129"/>
        <item sd="0" x="130"/>
        <item sd="0" x="133"/>
        <item sd="0" x="137"/>
        <item sd="0" x="138"/>
        <item sd="0" x="140"/>
        <item sd="0" x="141"/>
        <item sd="0" x="142"/>
        <item sd="0" x="143"/>
        <item sd="0" x="144"/>
        <item sd="0" x="147"/>
        <item sd="0" x="148"/>
        <item sd="0" x="150"/>
        <item sd="0" x="151"/>
        <item sd="0" x="152"/>
        <item sd="0" x="154"/>
        <item sd="0" x="156"/>
        <item sd="0" x="158"/>
        <item sd="0" x="160"/>
        <item sd="0" x="164"/>
        <item sd="0" x="165"/>
        <item sd="0" x="167"/>
        <item sd="0" x="168"/>
        <item sd="0" x="170"/>
        <item sd="0" x="173"/>
        <item sd="0" x="175"/>
        <item sd="0" x="178"/>
        <item sd="0" x="179"/>
        <item sd="0" x="180"/>
        <item sd="0" x="182"/>
        <item sd="0" x="184"/>
        <item sd="0" x="186"/>
        <item sd="0" x="187"/>
        <item sd="0" x="192"/>
        <item sd="0" x="194"/>
        <item sd="0" x="195"/>
        <item sd="0" x="196"/>
        <item sd="0" x="198"/>
        <item sd="0" x="199"/>
        <item sd="0" x="204"/>
        <item sd="0" x="205"/>
        <item sd="0" x="206"/>
        <item sd="0" x="207"/>
        <item sd="0" x="209"/>
        <item sd="0" x="211"/>
        <item sd="0" x="214"/>
        <item sd="0" x="215"/>
        <item sd="0" x="216"/>
        <item sd="0" x="218"/>
        <item sd="0" x="219"/>
        <item sd="0" x="220"/>
        <item sd="0" x="221"/>
        <item sd="0" x="222"/>
        <item sd="0" m="1" x="381"/>
        <item sd="0" x="223"/>
        <item sd="0" x="224"/>
        <item sd="0" x="225"/>
        <item sd="0" x="227"/>
        <item sd="0" x="228"/>
        <item sd="0" x="231"/>
        <item sd="0" x="237"/>
        <item sd="0" x="238"/>
        <item sd="0" x="244"/>
        <item sd="0" x="247"/>
        <item sd="0" x="248"/>
        <item sd="0" x="249"/>
        <item sd="0" x="251"/>
        <item sd="0" x="253"/>
        <item sd="0" x="254"/>
        <item sd="0" x="256"/>
        <item sd="0" x="257"/>
        <item sd="0" x="17"/>
        <item sd="0" x="32"/>
        <item sd="0" x="35"/>
        <item sd="0" x="37"/>
        <item sd="0" x="39"/>
        <item sd="0" x="44"/>
        <item sd="0" x="47"/>
        <item sd="0" x="49"/>
        <item sd="0" x="62"/>
        <item sd="0" x="74"/>
        <item sd="0" x="77"/>
        <item sd="0" x="83"/>
        <item sd="0" x="85"/>
        <item sd="0" x="87"/>
        <item sd="0" x="90"/>
        <item sd="0" x="93"/>
        <item sd="0" x="115"/>
        <item sd="0" x="117"/>
        <item sd="0" x="124"/>
        <item sd="0" x="146"/>
        <item sd="0" x="159"/>
        <item sd="0" x="163"/>
        <item sd="0" x="166"/>
        <item sd="0" x="172"/>
        <item sd="0" x="191"/>
        <item sd="0" x="193"/>
        <item sd="0" x="200"/>
        <item sd="0" x="208"/>
        <item sd="0" x="217"/>
        <item sd="0" x="233"/>
        <item sd="0" x="234"/>
        <item sd="0" x="245"/>
        <item sd="0" x="255"/>
        <item sd="0" x="18"/>
        <item sd="0" x="22"/>
        <item sd="0" x="23"/>
        <item sd="0" x="25"/>
        <item sd="0" x="28"/>
        <item sd="0" x="29"/>
        <item sd="0" x="38"/>
        <item sd="0" x="40"/>
        <item sd="0" x="63"/>
        <item sd="0" x="64"/>
        <item sd="0" x="69"/>
        <item sd="0" x="76"/>
        <item sd="0" x="79"/>
        <item sd="0" x="81"/>
        <item sd="0" x="91"/>
        <item sd="0" x="94"/>
        <item sd="0" x="99"/>
        <item sd="0" x="100"/>
        <item sd="0" x="101"/>
        <item sd="0" x="103"/>
        <item sd="0" x="106"/>
        <item sd="0" x="108"/>
        <item sd="0" x="112"/>
        <item sd="0" x="121"/>
        <item sd="0" x="122"/>
        <item sd="0" x="125"/>
        <item sd="0" x="131"/>
        <item sd="0" x="135"/>
        <item sd="0" x="149"/>
        <item sd="0" x="153"/>
        <item sd="0" x="161"/>
        <item sd="0" x="169"/>
        <item sd="0" x="176"/>
        <item sd="0" x="177"/>
        <item sd="0" x="181"/>
        <item sd="0" x="183"/>
        <item sd="0" x="185"/>
        <item sd="0" x="189"/>
        <item sd="0" x="197"/>
        <item sd="0" x="203"/>
        <item sd="0" x="213"/>
        <item sd="0" x="229"/>
        <item sd="0" x="232"/>
        <item sd="0" x="235"/>
        <item sd="0" x="236"/>
        <item sd="0" x="239"/>
        <item sd="0" x="242"/>
        <item sd="0" x="243"/>
        <item sd="0" x="246"/>
        <item sd="0" x="250"/>
        <item sd="0" x="252"/>
        <item sd="0" x="31"/>
        <item sd="0" x="55"/>
        <item sd="0" x="68"/>
        <item sd="0" x="72"/>
        <item sd="0" x="89"/>
        <item sd="0" x="132"/>
        <item sd="0" x="136"/>
        <item sd="0" x="162"/>
        <item sd="0" x="171"/>
        <item sd="0" x="226"/>
        <item sd="0" x="43"/>
        <item sd="0" x="70"/>
        <item sd="0" x="97"/>
        <item sd="0" x="111"/>
        <item sd="0" x="113"/>
        <item sd="0" x="114"/>
        <item sd="0" x="127"/>
        <item sd="0" x="134"/>
        <item sd="0" x="145"/>
        <item sd="0" x="155"/>
        <item sd="0" x="157"/>
        <item sd="0" x="174"/>
        <item sd="0" x="190"/>
        <item sd="0" x="201"/>
        <item sd="0" x="202"/>
        <item sd="0" x="210"/>
        <item sd="0" x="212"/>
        <item sd="0" x="230"/>
        <item sd="0" x="240"/>
        <item sd="0" x="241"/>
        <item sd="0" x="58"/>
        <item sd="0" x="59"/>
        <item sd="0" x="60"/>
        <item sd="0" x="139"/>
        <item sd="0" x="188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</items>
    </pivotField>
    <pivotField axis="axisPage" compact="0" outline="0" showAll="0" defaultSubtotal="0">
      <items count="10">
        <item x="3"/>
        <item x="0"/>
        <item x="2"/>
        <item x="5"/>
        <item x="1"/>
        <item x="4"/>
        <item x="6"/>
        <item x="7"/>
        <item x="8"/>
        <item x="9"/>
      </items>
    </pivotField>
    <pivotField axis="axisPage" compact="0" outline="0" showAll="0" defaultSubtotal="0">
      <items count="25">
        <item x="22"/>
        <item x="13"/>
        <item x="15"/>
        <item x="1"/>
        <item x="6"/>
        <item x="11"/>
        <item x="9"/>
        <item x="23"/>
        <item x="2"/>
        <item x="3"/>
        <item x="12"/>
        <item x="4"/>
        <item x="18"/>
        <item x="0"/>
        <item x="17"/>
        <item x="5"/>
        <item x="24"/>
        <item x="14"/>
        <item x="20"/>
        <item x="16"/>
        <item x="10"/>
        <item x="7"/>
        <item x="19"/>
        <item x="8"/>
        <item x="21"/>
      </items>
    </pivotField>
    <pivotField compact="0" outline="0" showAll="0"/>
    <pivotField axis="axisPage" compact="0" outline="0" multipleItemSelectionAllowed="1" showAll="0">
      <items count="25">
        <item x="21"/>
        <item x="4"/>
        <item x="5"/>
        <item x="6"/>
        <item x="10"/>
        <item x="7"/>
        <item x="11"/>
        <item x="0"/>
        <item x="12"/>
        <item x="13"/>
        <item x="14"/>
        <item x="20"/>
        <item x="9"/>
        <item x="15"/>
        <item x="19"/>
        <item x="16"/>
        <item x="8"/>
        <item x="1"/>
        <item x="2"/>
        <item x="17"/>
        <item x="22"/>
        <item x="3"/>
        <item x="18"/>
        <item x="23"/>
        <item t="default"/>
      </items>
    </pivotField>
    <pivotField dataField="1" compact="0" outline="0" showAll="0" defaultSubtotal="0"/>
    <pivotField dataField="1" compact="0" outline="0" showAll="0" defaultSubtotal="0"/>
    <pivotField compact="0" outline="0" showAll="0"/>
    <pivotField compact="0" outline="0" showAll="0"/>
    <pivotField axis="axisPage" compact="0" numFmtId="14" outline="0" showAll="0" defaultSubtotal="0">
      <items count="908">
        <item x="0"/>
        <item x="1"/>
        <item x="2"/>
        <item x="3"/>
        <item x="4"/>
        <item x="5"/>
        <item x="6"/>
        <item x="7"/>
        <item x="8"/>
        <item x="9"/>
        <item x="10"/>
        <item x="12"/>
        <item x="11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7"/>
        <item x="26"/>
        <item x="28"/>
        <item x="29"/>
        <item x="30"/>
        <item x="31"/>
        <item x="32"/>
        <item x="33"/>
        <item x="34"/>
        <item x="35"/>
        <item x="36"/>
        <item x="38"/>
        <item x="37"/>
        <item x="39"/>
        <item x="40"/>
        <item x="41"/>
        <item x="42"/>
        <item x="43"/>
        <item x="44"/>
        <item x="46"/>
        <item x="45"/>
        <item x="47"/>
        <item x="48"/>
        <item x="50"/>
        <item x="76"/>
        <item x="77"/>
        <item x="74"/>
        <item x="78"/>
        <item x="79"/>
        <item x="72"/>
        <item x="80"/>
        <item x="81"/>
        <item x="82"/>
        <item x="83"/>
        <item x="84"/>
        <item x="85"/>
        <item x="86"/>
        <item x="88"/>
        <item x="87"/>
        <item x="89"/>
        <item x="91"/>
        <item x="90"/>
        <item x="92"/>
        <item x="93"/>
        <item x="94"/>
        <item x="95"/>
        <item x="96"/>
        <item x="97"/>
        <item x="98"/>
        <item x="99"/>
        <item x="100"/>
        <item x="101"/>
        <item x="102"/>
        <item x="67"/>
        <item x="103"/>
        <item x="104"/>
        <item x="105"/>
        <item x="106"/>
        <item x="107"/>
        <item x="108"/>
        <item x="109"/>
        <item x="110"/>
        <item x="112"/>
        <item x="111"/>
        <item x="113"/>
        <item x="114"/>
        <item x="115"/>
        <item x="116"/>
        <item x="118"/>
        <item x="117"/>
        <item x="119"/>
        <item x="131"/>
        <item x="132"/>
        <item x="133"/>
        <item x="134"/>
        <item x="135"/>
        <item x="136"/>
        <item x="137"/>
        <item x="75"/>
        <item x="139"/>
        <item x="138"/>
        <item x="140"/>
        <item x="141"/>
        <item x="142"/>
        <item x="143"/>
        <item x="144"/>
        <item x="145"/>
        <item x="130"/>
        <item x="146"/>
        <item x="147"/>
        <item x="148"/>
        <item x="149"/>
        <item x="150"/>
        <item x="151"/>
        <item x="152"/>
        <item x="171"/>
        <item x="172"/>
        <item x="173"/>
        <item x="174"/>
        <item x="175"/>
        <item x="176"/>
        <item x="177"/>
        <item x="178"/>
        <item x="179"/>
        <item x="180"/>
        <item x="153"/>
        <item x="188"/>
        <item x="189"/>
        <item x="190"/>
        <item x="191"/>
        <item x="192"/>
        <item x="193"/>
        <item x="194"/>
        <item x="206"/>
        <item x="207"/>
        <item x="208"/>
        <item x="73"/>
        <item x="209"/>
        <item x="210"/>
        <item x="211"/>
        <item x="212"/>
        <item x="197"/>
        <item x="217"/>
        <item x="218"/>
        <item x="219"/>
        <item x="220"/>
        <item x="221"/>
        <item x="222"/>
        <item x="223"/>
        <item x="225"/>
        <item x="224"/>
        <item x="228"/>
        <item x="227"/>
        <item x="226"/>
        <item x="229"/>
        <item x="231"/>
        <item x="234"/>
        <item x="235"/>
        <item x="236"/>
        <item x="237"/>
        <item x="230"/>
        <item x="233"/>
        <item x="232"/>
        <item x="238"/>
        <item x="239"/>
        <item x="240"/>
        <item x="241"/>
        <item x="242"/>
        <item x="71"/>
        <item x="243"/>
        <item x="244"/>
        <item x="159"/>
        <item x="60"/>
        <item x="245"/>
        <item x="246"/>
        <item x="247"/>
        <item x="248"/>
        <item x="249"/>
        <item x="251"/>
        <item x="250"/>
        <item x="252"/>
        <item x="253"/>
        <item x="254"/>
        <item x="255"/>
        <item x="168"/>
        <item x="256"/>
        <item x="257"/>
        <item x="259"/>
        <item x="260"/>
        <item x="261"/>
        <item x="266"/>
        <item x="267"/>
        <item x="268"/>
        <item x="269"/>
        <item x="271"/>
        <item x="270"/>
        <item x="272"/>
        <item x="273"/>
        <item x="280"/>
        <item x="281"/>
        <item x="282"/>
        <item x="283"/>
        <item x="284"/>
        <item x="286"/>
        <item x="285"/>
        <item x="287"/>
        <item x="263"/>
        <item x="288"/>
        <item x="289"/>
        <item x="290"/>
        <item x="291"/>
        <item x="294"/>
        <item x="292"/>
        <item x="293"/>
        <item x="295"/>
        <item x="296"/>
        <item x="297"/>
        <item x="298"/>
        <item x="299"/>
        <item x="300"/>
        <item x="301"/>
        <item x="203"/>
        <item x="302"/>
        <item x="303"/>
        <item x="304"/>
        <item x="213"/>
        <item x="305"/>
        <item x="276"/>
        <item x="308"/>
        <item x="307"/>
        <item x="306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124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7"/>
        <item x="335"/>
        <item x="336"/>
        <item x="338"/>
        <item x="342"/>
        <item x="343"/>
        <item x="344"/>
        <item x="345"/>
        <item x="346"/>
        <item x="347"/>
        <item x="349"/>
        <item x="348"/>
        <item x="350"/>
        <item x="265"/>
        <item x="351"/>
        <item x="352"/>
        <item x="353"/>
        <item x="354"/>
        <item x="355"/>
        <item x="70"/>
        <item x="356"/>
        <item x="358"/>
        <item x="357"/>
        <item x="359"/>
        <item x="376"/>
        <item x="216"/>
        <item x="380"/>
        <item x="381"/>
        <item x="382"/>
        <item x="383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15"/>
        <item x="419"/>
        <item x="420"/>
        <item x="421"/>
        <item x="422"/>
        <item x="423"/>
        <item x="425"/>
        <item x="424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8"/>
        <item x="437"/>
        <item x="439"/>
        <item x="440"/>
        <item x="444"/>
        <item x="443"/>
        <item x="442"/>
        <item x="441"/>
        <item x="445"/>
        <item x="446"/>
        <item x="447"/>
        <item x="448"/>
        <item x="57"/>
        <item x="449"/>
        <item x="274"/>
        <item x="450"/>
        <item x="451"/>
        <item x="410"/>
        <item x="452"/>
        <item x="454"/>
        <item x="455"/>
        <item x="456"/>
        <item x="460"/>
        <item x="461"/>
        <item x="463"/>
        <item x="462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215"/>
        <item x="475"/>
        <item x="476"/>
        <item x="477"/>
        <item x="479"/>
        <item x="478"/>
        <item x="369"/>
        <item x="186"/>
        <item x="480"/>
        <item x="481"/>
        <item x="483"/>
        <item x="486"/>
        <item x="487"/>
        <item x="488"/>
        <item x="489"/>
        <item x="491"/>
        <item x="490"/>
        <item m="1" x="907"/>
        <item x="492"/>
        <item x="493"/>
        <item x="494"/>
        <item x="262"/>
        <item x="495"/>
        <item x="496"/>
        <item x="497"/>
        <item x="367"/>
        <item x="503"/>
        <item x="360"/>
        <item x="504"/>
        <item x="264"/>
        <item x="505"/>
        <item x="506"/>
        <item x="507"/>
        <item x="514"/>
        <item x="518"/>
        <item x="517"/>
        <item x="520"/>
        <item x="516"/>
        <item x="519"/>
        <item x="515"/>
        <item x="521"/>
        <item x="522"/>
        <item x="535"/>
        <item x="414"/>
        <item x="536"/>
        <item x="61"/>
        <item x="541"/>
        <item x="542"/>
        <item x="543"/>
        <item x="165"/>
        <item x="375"/>
        <item x="544"/>
        <item x="545"/>
        <item x="548"/>
        <item x="547"/>
        <item x="549"/>
        <item x="550"/>
        <item x="205"/>
        <item x="551"/>
        <item x="340"/>
        <item x="554"/>
        <item x="126"/>
        <item x="555"/>
        <item x="556"/>
        <item x="557"/>
        <item x="562"/>
        <item x="510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90"/>
        <item x="591"/>
        <item x="592"/>
        <item x="593"/>
        <item x="594"/>
        <item x="595"/>
        <item x="155"/>
        <item x="596"/>
        <item x="597"/>
        <item x="599"/>
        <item x="600"/>
        <item x="602"/>
        <item x="603"/>
        <item x="604"/>
        <item x="605"/>
        <item x="606"/>
        <item x="607"/>
        <item x="608"/>
        <item x="618"/>
        <item x="619"/>
        <item x="620"/>
        <item x="629"/>
        <item x="630"/>
        <item x="631"/>
        <item x="501"/>
        <item x="632"/>
        <item x="633"/>
        <item x="523"/>
        <item x="634"/>
        <item x="635"/>
        <item x="636"/>
        <item x="637"/>
        <item x="638"/>
        <item x="639"/>
        <item x="640"/>
        <item x="641"/>
        <item x="418"/>
        <item x="642"/>
        <item x="643"/>
        <item x="499"/>
        <item x="644"/>
        <item x="645"/>
        <item x="646"/>
        <item x="647"/>
        <item x="648"/>
        <item x="649"/>
        <item x="650"/>
        <item x="164"/>
        <item x="653"/>
        <item x="68"/>
        <item x="559"/>
        <item x="615"/>
        <item x="654"/>
        <item x="655"/>
        <item x="656"/>
        <item x="657"/>
        <item x="658"/>
        <item x="659"/>
        <item x="651"/>
        <item x="664"/>
        <item x="665"/>
        <item x="666"/>
        <item x="667"/>
        <item x="668"/>
        <item x="669"/>
        <item x="670"/>
        <item x="675"/>
        <item x="680"/>
        <item x="681"/>
        <item x="682"/>
        <item x="51"/>
        <item x="187"/>
        <item x="683"/>
        <item x="538"/>
        <item x="684"/>
        <item x="685"/>
        <item x="199"/>
        <item x="687"/>
        <item x="686"/>
        <item x="688"/>
        <item x="689"/>
        <item x="690"/>
        <item x="691"/>
        <item x="502"/>
        <item x="692"/>
        <item x="693"/>
        <item x="696"/>
        <item x="697"/>
        <item x="698"/>
        <item x="161"/>
        <item x="699"/>
        <item x="558"/>
        <item x="202"/>
        <item x="700"/>
        <item x="701"/>
        <item x="702"/>
        <item x="703"/>
        <item x="459"/>
        <item x="704"/>
        <item x="705"/>
        <item x="625"/>
        <item x="709"/>
        <item x="710"/>
        <item x="711"/>
        <item x="712"/>
        <item x="713"/>
        <item x="716"/>
        <item x="561"/>
        <item x="717"/>
        <item x="723"/>
        <item x="722"/>
        <item x="724"/>
        <item x="725"/>
        <item x="715"/>
        <item x="726"/>
        <item x="727"/>
        <item x="729"/>
        <item x="728"/>
        <item x="730"/>
        <item x="731"/>
        <item x="733"/>
        <item x="732"/>
        <item x="734"/>
        <item x="735"/>
        <item x="736"/>
        <item x="740"/>
        <item x="745"/>
        <item x="498"/>
        <item x="754"/>
        <item x="755"/>
        <item x="756"/>
        <item x="62"/>
        <item x="757"/>
        <item x="411"/>
        <item x="758"/>
        <item x="759"/>
        <item x="760"/>
        <item x="761"/>
        <item x="762"/>
        <item x="695"/>
        <item x="763"/>
        <item x="764"/>
        <item x="765"/>
        <item x="768"/>
        <item x="769"/>
        <item x="770"/>
        <item x="771"/>
        <item x="772"/>
        <item x="779"/>
        <item x="780"/>
        <item x="781"/>
        <item x="185"/>
        <item x="782"/>
        <item x="783"/>
        <item x="163"/>
        <item x="777"/>
        <item x="738"/>
        <item x="627"/>
        <item x="784"/>
        <item x="785"/>
        <item x="786"/>
        <item x="204"/>
        <item x="787"/>
        <item x="788"/>
        <item x="789"/>
        <item x="790"/>
        <item x="791"/>
        <item x="792"/>
        <item x="793"/>
        <item x="160"/>
        <item x="796"/>
        <item x="170"/>
        <item x="797"/>
        <item x="798"/>
        <item x="799"/>
        <item x="800"/>
        <item x="678"/>
        <item x="807"/>
        <item x="808"/>
        <item x="809"/>
        <item x="810"/>
        <item x="200"/>
        <item x="811"/>
        <item x="812"/>
        <item x="813"/>
        <item x="814"/>
        <item x="815"/>
        <item x="816"/>
        <item x="817"/>
        <item x="624"/>
        <item x="818"/>
        <item x="412"/>
        <item x="819"/>
        <item x="820"/>
        <item x="821"/>
        <item x="822"/>
        <item x="552"/>
        <item x="823"/>
        <item x="824"/>
        <item x="825"/>
        <item x="622"/>
        <item x="363"/>
        <item x="826"/>
        <item x="278"/>
        <item x="827"/>
        <item x="828"/>
        <item x="829"/>
        <item x="830"/>
        <item x="623"/>
        <item x="529"/>
        <item x="831"/>
        <item x="832"/>
        <item x="833"/>
        <item x="834"/>
        <item x="708"/>
        <item x="835"/>
        <item x="836"/>
        <item x="837"/>
        <item x="838"/>
        <item x="839"/>
        <item x="842"/>
        <item x="379"/>
        <item x="847"/>
        <item x="848"/>
        <item x="850"/>
        <item x="853"/>
        <item x="854"/>
        <item x="855"/>
        <item x="805"/>
        <item x="856"/>
        <item x="857"/>
        <item x="858"/>
        <item x="671"/>
        <item x="875"/>
        <item x="876"/>
        <item x="121"/>
        <item x="877"/>
        <item x="878"/>
        <item x="879"/>
        <item x="484"/>
        <item x="881"/>
        <item x="882"/>
        <item x="614"/>
        <item x="883"/>
        <item x="884"/>
        <item x="885"/>
        <item x="886"/>
        <item x="512"/>
        <item x="887"/>
        <item x="888"/>
        <item x="890"/>
        <item x="891"/>
        <item x="892"/>
        <item x="895"/>
        <item x="896"/>
        <item x="897"/>
        <item x="898"/>
        <item x="899"/>
        <item x="901"/>
        <item x="900"/>
        <item x="902"/>
        <item x="903"/>
        <item x="904"/>
        <item x="905"/>
        <item x="120"/>
        <item x="122"/>
        <item x="123"/>
        <item x="125"/>
        <item x="128"/>
        <item x="127"/>
        <item x="129"/>
        <item x="154"/>
        <item x="156"/>
        <item x="157"/>
        <item x="158"/>
        <item x="162"/>
        <item x="166"/>
        <item x="167"/>
        <item x="169"/>
        <item x="181"/>
        <item x="182"/>
        <item x="184"/>
        <item x="183"/>
        <item x="195"/>
        <item x="196"/>
        <item x="198"/>
        <item x="201"/>
        <item x="258"/>
        <item x="384"/>
        <item x="385"/>
        <item x="386"/>
        <item x="387"/>
        <item x="388"/>
        <item x="389"/>
        <item x="390"/>
        <item x="391"/>
        <item x="408"/>
        <item x="409"/>
        <item x="453"/>
        <item x="457"/>
        <item x="458"/>
        <item x="485"/>
        <item x="500"/>
        <item x="524"/>
        <item x="525"/>
        <item x="526"/>
        <item x="527"/>
        <item x="528"/>
        <item x="530"/>
        <item x="531"/>
        <item x="532"/>
        <item x="533"/>
        <item x="534"/>
        <item x="537"/>
        <item x="539"/>
        <item x="540"/>
        <item x="546"/>
        <item x="553"/>
        <item x="560"/>
        <item x="587"/>
        <item x="588"/>
        <item x="589"/>
        <item x="598"/>
        <item x="609"/>
        <item x="610"/>
        <item x="611"/>
        <item x="621"/>
        <item x="660"/>
        <item x="661"/>
        <item x="662"/>
        <item x="663"/>
        <item x="66"/>
        <item x="672"/>
        <item x="673"/>
        <item x="674"/>
        <item x="694"/>
        <item x="718"/>
        <item x="719"/>
        <item x="720"/>
        <item x="721"/>
        <item x="739"/>
        <item x="741"/>
        <item x="742"/>
        <item x="743"/>
        <item x="744"/>
        <item x="748"/>
        <item x="749"/>
        <item x="750"/>
        <item x="766"/>
        <item x="767"/>
        <item x="776"/>
        <item x="778"/>
        <item x="806"/>
        <item x="843"/>
        <item x="844"/>
        <item x="845"/>
        <item x="846"/>
        <item x="849"/>
        <item x="852"/>
        <item x="859"/>
        <item x="860"/>
        <item x="861"/>
        <item x="869"/>
        <item x="870"/>
        <item x="871"/>
        <item x="872"/>
        <item x="873"/>
        <item x="874"/>
        <item x="880"/>
        <item x="889"/>
        <item x="893"/>
        <item x="894"/>
        <item x="214"/>
        <item x="339"/>
        <item x="64"/>
        <item x="341"/>
        <item x="416"/>
        <item x="365"/>
        <item x="417"/>
        <item x="482"/>
        <item x="612"/>
        <item x="613"/>
        <item x="617"/>
        <item x="616"/>
        <item x="626"/>
        <item x="628"/>
        <item x="804"/>
        <item x="511"/>
        <item x="840"/>
        <item x="841"/>
        <item x="851"/>
        <item x="275"/>
        <item x="277"/>
        <item x="279"/>
        <item x="413"/>
        <item x="508"/>
        <item x="509"/>
        <item x="513"/>
        <item x="601"/>
        <item x="652"/>
        <item x="676"/>
        <item x="677"/>
        <item x="679"/>
        <item x="706"/>
        <item x="707"/>
        <item x="714"/>
        <item x="751"/>
        <item x="752"/>
        <item x="753"/>
        <item x="773"/>
        <item x="774"/>
        <item x="775"/>
        <item x="794"/>
        <item x="795"/>
        <item x="801"/>
        <item x="802"/>
        <item x="803"/>
        <item x="374"/>
        <item x="747"/>
        <item x="863"/>
        <item x="862"/>
        <item x="864"/>
        <item x="865"/>
        <item x="866"/>
        <item x="867"/>
        <item x="868"/>
        <item x="361"/>
        <item x="362"/>
        <item x="364"/>
        <item x="366"/>
        <item x="368"/>
        <item x="370"/>
        <item x="371"/>
        <item x="373"/>
        <item x="372"/>
        <item x="737"/>
        <item x="746"/>
        <item x="906"/>
        <item x="49"/>
        <item x="52"/>
        <item x="54"/>
        <item x="53"/>
        <item x="55"/>
        <item x="56"/>
        <item x="58"/>
        <item x="59"/>
        <item x="63"/>
        <item x="65"/>
        <item x="69"/>
        <item x="377"/>
        <item x="378"/>
      </items>
    </pivotField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axis="axisPage" compact="0" outline="0" showAll="0">
      <items count="3">
        <item x="1"/>
        <item x="0"/>
        <item t="default"/>
      </items>
    </pivotField>
    <pivotField name="Panel" axis="axisRow" compact="0" outline="0" showAll="0">
      <items count="6">
        <item sd="0" x="2"/>
        <item sd="0" x="3"/>
        <item sd="0" x="1"/>
        <item sd="0" x="4"/>
        <item sd="0" x="0"/>
        <item t="default" sd="0"/>
      </items>
    </pivotField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multipleItemSelectionAllowed="1" showAll="0" defaultSubtotal="0"/>
    <pivotField axis="axisPage" compact="0" outline="0" multipleItemSelectionAllowed="1" showAll="0" defaultSubtotal="0">
      <items count="6">
        <item x="0"/>
        <item x="1"/>
        <item h="1" x="2"/>
        <item m="1" x="5"/>
        <item h="1" m="1" x="4"/>
        <item x="3"/>
      </items>
    </pivotField>
    <pivotField axis="axisPage" compact="0" outline="0" multipleItemSelectionAllowed="1" showAll="0" defaultSubtotal="0">
      <items count="4">
        <item x="1"/>
        <item h="1" x="0"/>
        <item h="1" x="3"/>
        <item h="1" x="2"/>
      </items>
    </pivotField>
    <pivotField compact="0" outline="0" showAll="0" defaultSubtotal="0"/>
    <pivotField axis="axisPage" compact="0" outline="0" multipleItemSelectionAllowed="1" showAll="0" defaultSubtotal="0">
      <items count="68">
        <item x="30"/>
        <item x="37"/>
        <item x="56"/>
        <item x="28"/>
        <item x="57"/>
        <item x="59"/>
        <item x="13"/>
        <item x="55"/>
        <item x="46"/>
        <item x="58"/>
        <item x="39"/>
        <item x="63"/>
        <item x="50"/>
        <item x="25"/>
        <item x="54"/>
        <item x="14"/>
        <item x="21"/>
        <item x="40"/>
        <item x="38"/>
        <item x="36"/>
        <item x="2"/>
        <item x="10"/>
        <item x="42"/>
        <item x="51"/>
        <item x="61"/>
        <item x="52"/>
        <item x="24"/>
        <item x="22"/>
        <item x="9"/>
        <item x="47"/>
        <item x="34"/>
        <item x="4"/>
        <item x="43"/>
        <item x="48"/>
        <item x="29"/>
        <item x="1"/>
        <item x="62"/>
        <item x="5"/>
        <item x="23"/>
        <item x="33"/>
        <item x="32"/>
        <item x="0"/>
        <item x="18"/>
        <item x="44"/>
        <item x="35"/>
        <item x="19"/>
        <item x="49"/>
        <item x="15"/>
        <item x="11"/>
        <item x="45"/>
        <item x="7"/>
        <item x="20"/>
        <item x="26"/>
        <item x="41"/>
        <item x="53"/>
        <item x="31"/>
        <item x="6"/>
        <item x="17"/>
        <item x="12"/>
        <item x="8"/>
        <item x="3"/>
        <item x="27"/>
        <item x="60"/>
        <item x="64"/>
        <item x="65"/>
        <item x="66"/>
        <item x="67"/>
        <item x="16"/>
      </items>
    </pivotField>
    <pivotField dataField="1" compact="0" outline="0" dragToRow="0" dragToCol="0" dragToPage="0" showAll="0" defaultSubtotal="0"/>
  </pivotFields>
  <rowFields count="4">
    <field x="41"/>
    <field x="3"/>
    <field x="1"/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9">
    <pageField fld="7" hier="-1"/>
    <pageField fld="55" hier="-1"/>
    <pageField fld="40" hier="-1"/>
    <pageField fld="42" hier="-1"/>
    <pageField fld="12" hier="-1"/>
    <pageField fld="56" hier="-1"/>
    <pageField fld="4" hier="-1"/>
    <pageField fld="5" hier="-1"/>
    <pageField fld="58" hier="-1"/>
  </pageFields>
  <dataFields count="3">
    <dataField name="Total Number of Supplier" fld="59" baseField="0" baseItem="0"/>
    <dataField name="Count of document signed" fld="8" subtotal="count" baseField="0" baseItem="0"/>
    <dataField name="Count of document not signed" fld="9" subtotal="count" baseField="0" baseItem="0"/>
  </dataFields>
  <formats count="29">
    <format dxfId="59">
      <pivotArea field="41" type="button" dataOnly="0" labelOnly="1" outline="0" axis="axisRow" fieldPosition="0"/>
    </format>
    <format dxfId="58">
      <pivotArea field="3" type="button" dataOnly="0" labelOnly="1" outline="0" axis="axisRow" fieldPosition="1"/>
    </format>
    <format dxfId="57">
      <pivotArea field="1" type="button" dataOnly="0" labelOnly="1" outline="0" axis="axisRow" fieldPosition="2"/>
    </format>
    <format dxfId="56">
      <pivotArea field="2" type="button" dataOnly="0" labelOnly="1" outline="0" axis="axisRow" fieldPosition="3"/>
    </format>
    <format dxfId="55">
      <pivotArea field="41" type="button" dataOnly="0" labelOnly="1" outline="0" axis="axisRow" fieldPosition="0"/>
    </format>
    <format dxfId="54">
      <pivotArea field="3" type="button" dataOnly="0" labelOnly="1" outline="0" axis="axisRow" fieldPosition="1"/>
    </format>
    <format dxfId="53">
      <pivotArea field="1" type="button" dataOnly="0" labelOnly="1" outline="0" axis="axisRow" fieldPosition="2"/>
    </format>
    <format dxfId="52">
      <pivotArea field="2" type="button" dataOnly="0" labelOnly="1" outline="0" axis="axisRow" fieldPosition="3"/>
    </format>
    <format dxfId="51">
      <pivotArea field="41" type="button" dataOnly="0" labelOnly="1" outline="0" axis="axisRow" fieldPosition="0"/>
    </format>
    <format dxfId="50">
      <pivotArea field="3" type="button" dataOnly="0" labelOnly="1" outline="0" axis="axisRow" fieldPosition="1"/>
    </format>
    <format dxfId="49">
      <pivotArea field="1" type="button" dataOnly="0" labelOnly="1" outline="0" axis="axisRow" fieldPosition="2"/>
    </format>
    <format dxfId="48">
      <pivotArea field="2" type="button" dataOnly="0" labelOnly="1" outline="0" axis="axisRow" fieldPosition="3"/>
    </format>
    <format dxfId="4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3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ExternalData_4" connectionId="1" autoFormatId="16" applyNumberFormats="0" applyBorderFormats="0" applyFontFormats="1" applyPatternFormats="1" applyAlignmentFormats="0" applyWidthHeightFormats="0">
  <queryTableRefresh nextId="60">
    <queryTableFields count="59">
      <queryTableField id="1" name="id"/>
      <queryTableField id="2" name="vendorcode"/>
      <queryTableField id="3" name="vendorname"/>
      <queryTableField id="4" name="shortname"/>
      <queryTableField id="5" name="spm"/>
      <queryTableField id="6" name="pm"/>
      <queryTableField id="7" name="documentid"/>
      <queryTableField id="8" name="doctypename"/>
      <queryTableField id="9" name="countbydoc"/>
      <queryTableField id="58" dataBound="0" fillFormulas="1"/>
      <queryTableField id="10" name="levelname"/>
      <queryTableField id="11" name="expireddate"/>
      <queryTableField id="12" name="docdate"/>
      <queryTableField id="13" name="docname"/>
      <queryTableField id="14" name="docext"/>
      <queryTableField id="15" name="uploaddate"/>
      <queryTableField id="16" name="userid"/>
      <queryTableField id="17" name="remarks"/>
      <queryTableField id="18" name="version"/>
      <queryTableField id="19" name="paymentterm"/>
      <queryTableField id="20" name="leadtime"/>
      <queryTableField id="21" name="sasl"/>
      <queryTableField id="22" name="nqsu"/>
      <queryTableField id="23" name="projectname"/>
      <queryTableField id="24" name="auditby"/>
      <queryTableField id="25" name="audittype"/>
      <queryTableField id="26" name="auditgrade"/>
      <queryTableField id="27" name="score"/>
      <queryTableField id="28" name="myyear"/>
      <queryTableField id="29" name="turnovery"/>
      <queryTableField id="30" name="turnovery1"/>
      <queryTableField id="31" name="turnovery2"/>
      <queryTableField id="32" name="turnovery3"/>
      <queryTableField id="33" name="turnovery4"/>
      <queryTableField id="34" name="ratioy"/>
      <queryTableField id="35" name="ratioy1"/>
      <queryTableField id="36" name="ratioy2"/>
      <queryTableField id="37" name="ratioy3"/>
      <queryTableField id="38" name="ratioy4"/>
      <queryTableField id="39" name="category"/>
      <queryTableField id="40" name="panelstatus1"/>
      <queryTableField id="41" name="paneldescription1"/>
      <queryTableField id="42" name="panelstatus2"/>
      <queryTableField id="43" name="paneldescription2"/>
      <queryTableField id="44" name="generalcontract"/>
      <queryTableField id="45" name="qualityappendix"/>
      <queryTableField id="46" name="supplychainappendix"/>
      <queryTableField id="47" name="countcontractisfull"/>
      <queryTableField id="48" name="countcontractfull"/>
      <queryTableField id="49" name="countcontractnotfull"/>
      <queryTableField id="50" name="fp"/>
      <queryTableField id="51" name="cp"/>
      <queryTableField id="52" name="sp"/>
      <queryTableField id="53" name="mould"/>
      <queryTableField id="54" name="groupact"/>
      <queryTableField id="59" dataBound="0" fillFormulas="1"/>
      <queryTableField id="55" name="statusname"/>
      <queryTableField id="56" name="rank"/>
      <queryTableField id="57" name="sbuname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FF0000"/>
    <outlinePr summaryBelow="0" summaryRight="0"/>
  </sheetPr>
  <dimension ref="A1:DF40"/>
  <sheetViews>
    <sheetView showGridLines="0" tabSelected="1" workbookViewId="0">
      <selection activeCell="Z15" sqref="Z15"/>
    </sheetView>
  </sheetViews>
  <sheetFormatPr defaultRowHeight="15" outlineLevelRow="1" outlineLevelCol="1"/>
  <cols>
    <col min="1" max="1" width="1.5703125" customWidth="1"/>
    <col min="2" max="2" width="7.7109375" customWidth="1"/>
    <col min="3" max="3" width="12.42578125" customWidth="1"/>
    <col min="4" max="4" width="2.42578125" customWidth="1" collapsed="1"/>
    <col min="5" max="5" width="15.7109375" hidden="1" customWidth="1" outlineLevel="1"/>
    <col min="6" max="6" width="20.28515625" hidden="1" customWidth="1" outlineLevel="1"/>
    <col min="7" max="7" width="16.140625" hidden="1" customWidth="1" outlineLevel="1"/>
    <col min="8" max="8" width="18.28515625" hidden="1" customWidth="1" outlineLevel="1"/>
    <col min="9" max="9" width="10.5703125" hidden="1" customWidth="1" outlineLevel="1"/>
    <col min="10" max="10" width="11.85546875" hidden="1" customWidth="1" outlineLevel="1"/>
    <col min="11" max="11" width="14" hidden="1" customWidth="1" outlineLevel="1"/>
    <col min="12" max="14" width="4.85546875" hidden="1" customWidth="1" outlineLevel="1"/>
    <col min="15" max="15" width="6.7109375" customWidth="1"/>
    <col min="16" max="16" width="12.42578125" customWidth="1"/>
    <col min="17" max="17" width="2.42578125" customWidth="1" collapsed="1"/>
    <col min="18" max="18" width="21.42578125" hidden="1" customWidth="1" outlineLevel="1"/>
    <col min="19" max="19" width="17.42578125" hidden="1" customWidth="1" outlineLevel="1"/>
    <col min="20" max="20" width="16.28515625" hidden="1" customWidth="1" outlineLevel="1"/>
    <col min="21" max="21" width="19.85546875" hidden="1" customWidth="1" outlineLevel="1"/>
    <col min="22" max="22" width="13.28515625" hidden="1" customWidth="1" outlineLevel="1"/>
    <col min="23" max="23" width="12.5703125" hidden="1" customWidth="1" outlineLevel="1"/>
    <col min="24" max="24" width="16.5703125" hidden="1" customWidth="1" outlineLevel="1"/>
    <col min="25" max="25" width="16" hidden="1" customWidth="1" outlineLevel="1"/>
    <col min="26" max="26" width="16.85546875" hidden="1" customWidth="1" outlineLevel="1"/>
    <col min="27" max="27" width="16.28515625" hidden="1" customWidth="1" outlineLevel="1"/>
  </cols>
  <sheetData>
    <row r="1" spans="2:21" ht="9" customHeight="1"/>
    <row r="2" spans="2:21" ht="21">
      <c r="B2" s="11" t="s">
        <v>189</v>
      </c>
      <c r="D2" s="11"/>
    </row>
    <row r="3" spans="2:21">
      <c r="B3" s="13"/>
      <c r="D3" s="13"/>
    </row>
    <row r="4" spans="2:21" ht="26.25" customHeight="1">
      <c r="B4" s="13"/>
      <c r="D4" s="13"/>
    </row>
    <row r="5" spans="2:21" ht="11.25" customHeight="1"/>
    <row r="6" spans="2:21" ht="30">
      <c r="C6" s="8" t="s">
        <v>35</v>
      </c>
      <c r="P6" s="9" t="s">
        <v>36</v>
      </c>
    </row>
    <row r="7" spans="2:21">
      <c r="C7" s="7"/>
      <c r="P7" s="10"/>
    </row>
    <row r="8" spans="2:21" ht="30">
      <c r="C8" s="7"/>
      <c r="E8" s="5"/>
      <c r="F8" s="15" t="s">
        <v>38</v>
      </c>
      <c r="G8" s="15" t="s">
        <v>181</v>
      </c>
      <c r="H8" s="15" t="s">
        <v>182</v>
      </c>
      <c r="P8" s="10"/>
      <c r="R8" s="5"/>
      <c r="S8" s="17" t="s">
        <v>38</v>
      </c>
      <c r="T8" s="17" t="s">
        <v>181</v>
      </c>
      <c r="U8" s="17" t="s">
        <v>182</v>
      </c>
    </row>
    <row r="9" spans="2:21">
      <c r="C9" s="7"/>
      <c r="E9" s="6" t="s">
        <v>39</v>
      </c>
      <c r="F9" s="20">
        <f>IFERROR(GETPIVOTDATA("Total Number of Supplier",$E$26),0)</f>
        <v>69</v>
      </c>
      <c r="G9" s="14">
        <f>IFERROR(GETPIVOTDATA("Count of document signed",$E$26),0)</f>
        <v>69</v>
      </c>
      <c r="H9" s="16">
        <f>IFERROR(G9/F9,0)</f>
        <v>1</v>
      </c>
      <c r="P9" s="10"/>
      <c r="R9" s="6" t="s">
        <v>39</v>
      </c>
      <c r="S9" s="20">
        <f>IFERROR(GETPIVOTDATA("Total Number of Supplier",$R$26),0)</f>
        <v>109</v>
      </c>
      <c r="T9" s="14">
        <f>IFERROR(GETPIVOTDATA("Count of document signed",$R$26),0)</f>
        <v>105</v>
      </c>
      <c r="U9" s="16">
        <f>IFERROR(T9/S9,0)</f>
        <v>0.96330275229357798</v>
      </c>
    </row>
    <row r="10" spans="2:21">
      <c r="C10" s="7"/>
      <c r="E10" s="6" t="s">
        <v>40</v>
      </c>
      <c r="F10" s="20">
        <f>IFERROR(GETPIVOTDATA("Total Number of Supplier",$E$26,"Panel","A"),0)+IFERROR(GETPIVOTDATA("Total Number of Supplier",$E$26,"Panel","B"),0)+IFERROR(GETPIVOTDATA("Total Number of Supplier",$E$26,"Panel","C"),0)+IFERROR(GETPIVOTDATA("Total Number of Supplier",$E$26,"Panel","D"),0)</f>
        <v>37</v>
      </c>
      <c r="G10" s="14">
        <f>IFERROR(GETPIVOTDATA("Count of document signed",$E$26,"Panel","A"),0)+IFERROR(GETPIVOTDATA("Count of document signed",$E$26,"Panel","B"),0)+IFERROR(GETPIVOTDATA("Count of document signed",$E$26,"Panel","C"),0)+IFERROR(GETPIVOTDATA("Count of document signed",$E$26,"Panel","D"),0)</f>
        <v>37</v>
      </c>
      <c r="H10" s="16">
        <f>IFERROR(G10/F10,0)</f>
        <v>1</v>
      </c>
      <c r="P10" s="10"/>
      <c r="R10" s="6" t="s">
        <v>40</v>
      </c>
      <c r="S10" s="20">
        <f>IFERROR(GETPIVOTDATA("Total Number of Supplier",$R$26),0)-IFERROR(GETPIVOTDATA("Total Number of Supplier",$R$26," Panel",),0)</f>
        <v>50</v>
      </c>
      <c r="T10" s="14">
        <f>IFERROR(GETPIVOTDATA("Count of document signed",$R$26),0)-IFERROR(GETPIVOTDATA("Count of document signed",$R$26," Panel",),0)</f>
        <v>50</v>
      </c>
      <c r="U10" s="16">
        <f>IFERROR(T10/S10,0)</f>
        <v>1</v>
      </c>
    </row>
    <row r="11" spans="2:21">
      <c r="C11" s="7"/>
      <c r="E11" s="6" t="s">
        <v>41</v>
      </c>
      <c r="F11" s="20">
        <f>IFERROR(GETPIVOTDATA("Total Number of Supplier",$E$26,"Panel","A"),0)+IFERROR(GETPIVOTDATA("Total Number of Supplier",$E$26,"Panel","B"),0)</f>
        <v>31</v>
      </c>
      <c r="G11" s="14">
        <f>IFERROR(GETPIVOTDATA("Count of document signed",$E$26,"Panel","A"),0)+IFERROR(GETPIVOTDATA("Count of document signed",$E$26,"Panel","B"),0)</f>
        <v>31</v>
      </c>
      <c r="H11" s="16">
        <f>IFERROR(G11/F11,0)</f>
        <v>1</v>
      </c>
      <c r="P11" s="10"/>
      <c r="R11" s="6" t="s">
        <v>41</v>
      </c>
      <c r="S11" s="20">
        <f>IFERROR(GETPIVOTDATA("Total Number of Supplier",$R$26," Panel","DESIGNER A"),0)+IFERROR(GETPIVOTDATA("Total Number of Supplier",$R$26," Panel","DESIGNER B"),0)+IFERROR(GETPIVOTDATA("Total Number of Supplier",$R$26," Panel","EXPERT A"),0)+IFERROR(GETPIVOTDATA("Total Number of Supplier",$R$26," Panel","EXPERT B"),0)+IFERROR(GETPIVOTDATA("Total Number of Supplier",$R$26," Panel","MANUFACTURER A"),0)+IFERROR(GETPIVOTDATA("Total Number of Supplier",$R$26," Panel","MANUFACTURER B"),0)+IFERROR(GETPIVOTDATA("Total Number of Supplier",$R$26," Panel","SUBCONTRACTOR A"),0)+IFERROR(GETPIVOTDATA("Total Number of Supplier",$R$26," Panel","SUBCONTRACTOR B"),0)</f>
        <v>39</v>
      </c>
      <c r="T11" s="14">
        <f>IFERROR(GETPIVOTDATA("Count of document signed",$R$26," Panel","DESIGNER A"),0)+IFERROR(GETPIVOTDATA("Count of document signed",$R$26," Panel","DESIGNER B"),0)+IFERROR(GETPIVOTDATA("Count of document signed",$R$26," Panel","EXPERT A"),0)+IFERROR(GETPIVOTDATA("Count of document signed",$R$26," Panel","EXPERT B"),0)+IFERROR(GETPIVOTDATA("Count of document signed",$R$26," Panel","MANUFACTURER A"),0)+IFERROR(GETPIVOTDATA("Count of document signed",$R$26," Panel","MANUFACTURER B"),0)+IFERROR(GETPIVOTDATA("Count of document signed",$R$26," Panel","SUBCONTRACTOR A"),0)</f>
        <v>39</v>
      </c>
      <c r="U11" s="16">
        <f>IFERROR(T11/S11,0)</f>
        <v>1</v>
      </c>
    </row>
    <row r="12" spans="2:21" ht="15.75" thickBot="1">
      <c r="C12" s="7"/>
      <c r="P12" s="10"/>
    </row>
    <row r="13" spans="2:21">
      <c r="C13" s="7"/>
      <c r="E13" s="4" t="s">
        <v>192</v>
      </c>
      <c r="F13" s="12"/>
      <c r="H13" s="30" t="s">
        <v>174</v>
      </c>
      <c r="P13" s="10"/>
      <c r="R13" s="4" t="s">
        <v>191</v>
      </c>
      <c r="S13" s="12"/>
      <c r="U13" s="30" t="s">
        <v>174</v>
      </c>
    </row>
    <row r="14" spans="2:21" ht="15.75" thickBot="1">
      <c r="H14" s="31" t="s">
        <v>175</v>
      </c>
      <c r="U14" s="31" t="s">
        <v>175</v>
      </c>
    </row>
    <row r="15" spans="2:21" collapsed="1">
      <c r="E15" s="6" t="s">
        <v>34</v>
      </c>
      <c r="R15" s="6" t="s">
        <v>34</v>
      </c>
    </row>
    <row r="16" spans="2:21" hidden="1" outlineLevel="1">
      <c r="E16" s="1" t="s">
        <v>47</v>
      </c>
      <c r="F16" t="s">
        <v>30</v>
      </c>
      <c r="R16" s="1" t="s">
        <v>47</v>
      </c>
      <c r="S16" t="s">
        <v>30</v>
      </c>
    </row>
    <row r="17" spans="5:24" hidden="1" outlineLevel="1">
      <c r="E17" s="1" t="s">
        <v>183</v>
      </c>
      <c r="F17" t="s">
        <v>32</v>
      </c>
      <c r="R17" s="1" t="s">
        <v>183</v>
      </c>
      <c r="S17" t="s">
        <v>32</v>
      </c>
    </row>
    <row r="18" spans="5:24" hidden="1" outlineLevel="1">
      <c r="E18" s="1" t="s">
        <v>26</v>
      </c>
      <c r="F18" t="s">
        <v>30</v>
      </c>
      <c r="R18" s="1" t="s">
        <v>26</v>
      </c>
      <c r="S18" t="s">
        <v>30</v>
      </c>
    </row>
    <row r="19" spans="5:24" hidden="1" outlineLevel="1">
      <c r="E19" s="1" t="s">
        <v>28</v>
      </c>
      <c r="F19" t="s">
        <v>30</v>
      </c>
      <c r="R19" s="1" t="s">
        <v>28</v>
      </c>
      <c r="S19" t="s">
        <v>30</v>
      </c>
    </row>
    <row r="20" spans="5:24" hidden="1" outlineLevel="1">
      <c r="E20" s="1" t="s">
        <v>4</v>
      </c>
      <c r="F20" t="s">
        <v>30</v>
      </c>
      <c r="R20" s="1" t="s">
        <v>4</v>
      </c>
      <c r="S20" t="s">
        <v>30</v>
      </c>
    </row>
    <row r="21" spans="5:24" hidden="1" outlineLevel="1">
      <c r="E21" s="1" t="s">
        <v>77</v>
      </c>
      <c r="F21" t="s">
        <v>79</v>
      </c>
      <c r="R21" s="1" t="s">
        <v>77</v>
      </c>
      <c r="S21" t="s">
        <v>79</v>
      </c>
    </row>
    <row r="22" spans="5:24" hidden="1" outlineLevel="1">
      <c r="E22" s="1" t="s">
        <v>44</v>
      </c>
      <c r="F22" t="s">
        <v>30</v>
      </c>
      <c r="R22" s="1" t="s">
        <v>44</v>
      </c>
      <c r="S22" t="s">
        <v>30</v>
      </c>
    </row>
    <row r="23" spans="5:24" hidden="1" outlineLevel="1">
      <c r="E23" s="1" t="s">
        <v>45</v>
      </c>
      <c r="F23" t="s">
        <v>30</v>
      </c>
      <c r="R23" s="1" t="s">
        <v>45</v>
      </c>
      <c r="S23" t="s">
        <v>30</v>
      </c>
    </row>
    <row r="24" spans="5:24" hidden="1" outlineLevel="1">
      <c r="E24" s="1" t="s">
        <v>87</v>
      </c>
      <c r="F24" t="s">
        <v>30</v>
      </c>
      <c r="R24" s="1" t="s">
        <v>87</v>
      </c>
      <c r="S24" t="s">
        <v>30</v>
      </c>
    </row>
    <row r="26" spans="5:24">
      <c r="I26" s="1" t="s">
        <v>33</v>
      </c>
      <c r="V26" s="1" t="s">
        <v>33</v>
      </c>
    </row>
    <row r="27" spans="5:24" ht="45">
      <c r="E27" s="19" t="s">
        <v>37</v>
      </c>
      <c r="F27" s="19" t="s">
        <v>2</v>
      </c>
      <c r="G27" s="19" t="s">
        <v>0</v>
      </c>
      <c r="H27" s="19" t="s">
        <v>1</v>
      </c>
      <c r="I27" s="33" t="s">
        <v>180</v>
      </c>
      <c r="J27" s="32" t="s">
        <v>178</v>
      </c>
      <c r="K27" s="39" t="s">
        <v>179</v>
      </c>
      <c r="R27" s="18" t="s">
        <v>42</v>
      </c>
      <c r="S27" s="18" t="s">
        <v>2</v>
      </c>
      <c r="T27" s="18" t="s">
        <v>0</v>
      </c>
      <c r="U27" s="18" t="s">
        <v>1</v>
      </c>
      <c r="V27" s="33" t="s">
        <v>180</v>
      </c>
      <c r="W27" s="35" t="s">
        <v>178</v>
      </c>
      <c r="X27" s="38" t="s">
        <v>179</v>
      </c>
    </row>
    <row r="28" spans="5:24">
      <c r="E28" t="s">
        <v>13</v>
      </c>
      <c r="I28" s="2">
        <v>18</v>
      </c>
      <c r="J28" s="2">
        <v>18</v>
      </c>
      <c r="K28" s="2"/>
      <c r="R28" t="s">
        <v>22</v>
      </c>
      <c r="V28" s="2">
        <v>3</v>
      </c>
      <c r="W28" s="2">
        <v>3</v>
      </c>
      <c r="X28" s="2"/>
    </row>
    <row r="29" spans="5:24">
      <c r="E29" t="s">
        <v>12</v>
      </c>
      <c r="I29" s="2">
        <v>13</v>
      </c>
      <c r="J29" s="2">
        <v>13</v>
      </c>
      <c r="K29" s="2"/>
      <c r="R29" t="s">
        <v>25</v>
      </c>
      <c r="V29" s="2">
        <v>2</v>
      </c>
      <c r="W29" s="2">
        <v>2</v>
      </c>
      <c r="X29" s="2"/>
    </row>
    <row r="30" spans="5:24">
      <c r="E30" t="s">
        <v>20</v>
      </c>
      <c r="I30" s="2">
        <v>5</v>
      </c>
      <c r="J30" s="2">
        <v>5</v>
      </c>
      <c r="K30" s="2"/>
      <c r="R30" t="s">
        <v>177</v>
      </c>
      <c r="V30" s="2">
        <v>1</v>
      </c>
      <c r="W30" s="2">
        <v>1</v>
      </c>
      <c r="X30" s="2"/>
    </row>
    <row r="31" spans="5:24">
      <c r="E31" t="s">
        <v>18</v>
      </c>
      <c r="I31" s="2">
        <v>1</v>
      </c>
      <c r="J31" s="2">
        <v>1</v>
      </c>
      <c r="K31" s="2"/>
      <c r="R31" t="s">
        <v>15</v>
      </c>
      <c r="V31" s="2">
        <v>3</v>
      </c>
      <c r="W31" s="2">
        <v>3</v>
      </c>
      <c r="X31" s="2"/>
    </row>
    <row r="32" spans="5:24">
      <c r="E32" t="s">
        <v>80</v>
      </c>
      <c r="I32" s="2">
        <v>32</v>
      </c>
      <c r="J32" s="2">
        <v>32</v>
      </c>
      <c r="K32" s="2"/>
      <c r="R32" t="s">
        <v>23</v>
      </c>
      <c r="V32" s="2">
        <v>1</v>
      </c>
      <c r="W32" s="2">
        <v>1</v>
      </c>
      <c r="X32" s="2"/>
    </row>
    <row r="33" spans="1:110" s="3" customFormat="1">
      <c r="A33" s="5"/>
      <c r="B33" s="5"/>
      <c r="C33" s="5"/>
      <c r="D33" s="5"/>
      <c r="E33" t="s">
        <v>31</v>
      </c>
      <c r="F33"/>
      <c r="G33"/>
      <c r="H33"/>
      <c r="I33" s="2">
        <v>69</v>
      </c>
      <c r="J33" s="2">
        <v>69</v>
      </c>
      <c r="K33" s="2"/>
      <c r="L33"/>
      <c r="M33"/>
      <c r="N33"/>
      <c r="O33"/>
      <c r="P33"/>
      <c r="Q33"/>
      <c r="R33" t="s">
        <v>16</v>
      </c>
      <c r="S33"/>
      <c r="T33"/>
      <c r="U33"/>
      <c r="V33" s="2">
        <v>13</v>
      </c>
      <c r="W33" s="2">
        <v>13</v>
      </c>
      <c r="X33" s="2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</row>
    <row r="34" spans="1:110">
      <c r="R34" t="s">
        <v>14</v>
      </c>
      <c r="V34" s="2">
        <v>15</v>
      </c>
      <c r="W34" s="2">
        <v>15</v>
      </c>
      <c r="X34" s="2"/>
    </row>
    <row r="35" spans="1:110">
      <c r="R35" t="s">
        <v>21</v>
      </c>
      <c r="V35" s="2">
        <v>6</v>
      </c>
      <c r="W35" s="2">
        <v>6</v>
      </c>
      <c r="X35" s="2"/>
    </row>
    <row r="36" spans="1:110">
      <c r="R36" t="s">
        <v>17</v>
      </c>
      <c r="V36" s="2">
        <v>3</v>
      </c>
      <c r="W36" s="2">
        <v>3</v>
      </c>
      <c r="X36" s="2"/>
    </row>
    <row r="37" spans="1:110">
      <c r="R37" t="s">
        <v>19</v>
      </c>
      <c r="V37" s="2">
        <v>2</v>
      </c>
      <c r="W37" s="2">
        <v>2</v>
      </c>
      <c r="X37" s="2"/>
    </row>
    <row r="38" spans="1:110">
      <c r="R38" t="s">
        <v>24</v>
      </c>
      <c r="V38" s="2">
        <v>1</v>
      </c>
      <c r="W38" s="2">
        <v>1</v>
      </c>
      <c r="X38" s="2"/>
    </row>
    <row r="39" spans="1:110">
      <c r="R39" t="s">
        <v>80</v>
      </c>
      <c r="V39" s="2">
        <v>59</v>
      </c>
      <c r="W39" s="2">
        <v>55</v>
      </c>
      <c r="X39" s="2">
        <v>4</v>
      </c>
    </row>
    <row r="40" spans="1:110">
      <c r="R40" t="s">
        <v>31</v>
      </c>
      <c r="V40" s="2">
        <v>109</v>
      </c>
      <c r="W40" s="2">
        <v>105</v>
      </c>
      <c r="X40" s="2">
        <v>4</v>
      </c>
    </row>
  </sheetData>
  <pageMargins left="0.7" right="0.7" top="0.75" bottom="0.75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/>
  <dimension ref="A1:BG3117"/>
  <sheetViews>
    <sheetView workbookViewId="0">
      <selection activeCell="B31" sqref="B31"/>
    </sheetView>
  </sheetViews>
  <sheetFormatPr defaultRowHeight="15"/>
  <cols>
    <col min="1" max="1" width="5" bestFit="1" customWidth="1"/>
    <col min="2" max="2" width="13.85546875" bestFit="1" customWidth="1"/>
    <col min="3" max="3" width="43.28515625" bestFit="1" customWidth="1"/>
    <col min="4" max="4" width="33.28515625" bestFit="1" customWidth="1"/>
    <col min="5" max="5" width="16.7109375" bestFit="1" customWidth="1"/>
    <col min="6" max="6" width="21.7109375" bestFit="1" customWidth="1"/>
    <col min="7" max="7" width="14" bestFit="1" customWidth="1"/>
    <col min="8" max="8" width="48.28515625" bestFit="1" customWidth="1"/>
    <col min="9" max="9" width="13.5703125" bestFit="1" customWidth="1"/>
    <col min="10" max="10" width="13.5703125" customWidth="1"/>
    <col min="11" max="11" width="16" bestFit="1" customWidth="1"/>
    <col min="12" max="12" width="14.140625" bestFit="1" customWidth="1"/>
    <col min="13" max="13" width="10.7109375" bestFit="1" customWidth="1"/>
    <col min="14" max="14" width="84.85546875" bestFit="1" customWidth="1"/>
    <col min="15" max="15" width="9.28515625" bestFit="1" customWidth="1"/>
    <col min="16" max="16" width="13.42578125" bestFit="1" customWidth="1"/>
    <col min="17" max="17" width="8.85546875" bestFit="1" customWidth="1"/>
    <col min="18" max="18" width="57.140625" bestFit="1" customWidth="1"/>
    <col min="19" max="19" width="19.28515625" bestFit="1" customWidth="1"/>
    <col min="20" max="20" width="57.85546875" bestFit="1" customWidth="1"/>
    <col min="21" max="21" width="11.28515625" bestFit="1" customWidth="1"/>
    <col min="22" max="22" width="6.5703125" bestFit="1" customWidth="1"/>
    <col min="23" max="23" width="7.5703125" bestFit="1" customWidth="1"/>
    <col min="24" max="24" width="35.140625" bestFit="1" customWidth="1"/>
    <col min="25" max="25" width="10" bestFit="1" customWidth="1"/>
    <col min="26" max="26" width="11.85546875" bestFit="1" customWidth="1"/>
    <col min="27" max="27" width="12.85546875" bestFit="1" customWidth="1"/>
    <col min="28" max="28" width="8" bestFit="1" customWidth="1"/>
    <col min="29" max="29" width="9.85546875" bestFit="1" customWidth="1"/>
    <col min="30" max="30" width="12" bestFit="1" customWidth="1"/>
    <col min="31" max="34" width="13" bestFit="1" customWidth="1"/>
    <col min="35" max="35" width="8.42578125" bestFit="1" customWidth="1"/>
    <col min="36" max="39" width="9.42578125" bestFit="1" customWidth="1"/>
    <col min="40" max="40" width="27.140625" bestFit="1" customWidth="1"/>
    <col min="41" max="41" width="14.5703125" bestFit="1" customWidth="1"/>
    <col min="42" max="42" width="19.5703125" bestFit="1" customWidth="1"/>
    <col min="43" max="43" width="14.5703125" bestFit="1" customWidth="1"/>
    <col min="44" max="44" width="19.5703125" bestFit="1" customWidth="1"/>
    <col min="45" max="45" width="17.28515625" bestFit="1" customWidth="1"/>
    <col min="46" max="46" width="17.85546875" bestFit="1" customWidth="1"/>
    <col min="47" max="47" width="22.42578125" bestFit="1" customWidth="1"/>
    <col min="48" max="48" width="20.140625" bestFit="1" customWidth="1"/>
    <col min="49" max="49" width="18.5703125" bestFit="1" customWidth="1"/>
    <col min="50" max="50" width="21.7109375" bestFit="1" customWidth="1"/>
    <col min="51" max="51" width="5.140625" bestFit="1" customWidth="1"/>
    <col min="52" max="53" width="5.28515625" bestFit="1" customWidth="1"/>
    <col min="54" max="54" width="9" bestFit="1" customWidth="1"/>
    <col min="55" max="55" width="20.28515625" bestFit="1" customWidth="1"/>
    <col min="56" max="56" width="20.28515625" customWidth="1"/>
    <col min="57" max="57" width="25.28515625" bestFit="1" customWidth="1"/>
    <col min="58" max="58" width="7.140625" bestFit="1" customWidth="1"/>
    <col min="59" max="59" width="119.5703125" bestFit="1" customWidth="1"/>
  </cols>
  <sheetData>
    <row r="1" spans="1:59">
      <c r="A1" s="26"/>
      <c r="B1" s="26"/>
      <c r="C1" s="26"/>
      <c r="D1" s="26"/>
      <c r="E1" s="26"/>
      <c r="F1" s="26"/>
      <c r="G1" s="26"/>
      <c r="H1" s="26"/>
      <c r="I1" s="26"/>
      <c r="J1" s="34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  <c r="BC1" s="26"/>
      <c r="BD1" s="34"/>
      <c r="BE1" s="26"/>
      <c r="BF1" s="26"/>
      <c r="BG1" s="26"/>
    </row>
    <row r="2" spans="1:59">
      <c r="L2" s="21"/>
      <c r="M2" s="21"/>
      <c r="P2" s="21"/>
    </row>
    <row r="3" spans="1:59">
      <c r="L3" s="21"/>
      <c r="M3" s="21"/>
      <c r="P3" s="21"/>
    </row>
    <row r="4" spans="1:59">
      <c r="L4" s="21"/>
      <c r="M4" s="21"/>
      <c r="P4" s="21"/>
    </row>
    <row r="5" spans="1:59">
      <c r="L5" s="21"/>
      <c r="M5" s="21"/>
      <c r="P5" s="21"/>
    </row>
    <row r="6" spans="1:59">
      <c r="L6" s="21"/>
      <c r="M6" s="21"/>
      <c r="P6" s="21"/>
    </row>
    <row r="7" spans="1:59">
      <c r="L7" s="21"/>
      <c r="M7" s="21"/>
      <c r="P7" s="21"/>
    </row>
    <row r="8" spans="1:59">
      <c r="L8" s="21"/>
      <c r="M8" s="21"/>
      <c r="P8" s="21"/>
    </row>
    <row r="9" spans="1:59">
      <c r="L9" s="21"/>
      <c r="M9" s="21"/>
      <c r="P9" s="21"/>
    </row>
    <row r="10" spans="1:59">
      <c r="L10" s="21"/>
      <c r="M10" s="21"/>
      <c r="P10" s="21"/>
    </row>
    <row r="11" spans="1:59">
      <c r="L11" s="21"/>
      <c r="M11" s="21"/>
      <c r="P11" s="21"/>
    </row>
    <row r="12" spans="1:59">
      <c r="L12" s="21"/>
      <c r="M12" s="21"/>
      <c r="P12" s="21"/>
    </row>
    <row r="13" spans="1:59">
      <c r="L13" s="21"/>
      <c r="M13" s="21"/>
      <c r="P13" s="21"/>
    </row>
    <row r="14" spans="1:59">
      <c r="L14" s="21"/>
      <c r="M14" s="21"/>
      <c r="P14" s="21"/>
    </row>
    <row r="15" spans="1:59">
      <c r="L15" s="21"/>
      <c r="M15" s="21"/>
      <c r="P15" s="21"/>
    </row>
    <row r="16" spans="1:59">
      <c r="L16" s="21"/>
      <c r="M16" s="21"/>
      <c r="P16" s="21"/>
    </row>
    <row r="17" spans="12:16">
      <c r="L17" s="21"/>
      <c r="M17" s="21"/>
      <c r="P17" s="21"/>
    </row>
    <row r="18" spans="12:16">
      <c r="L18" s="21"/>
      <c r="M18" s="21"/>
      <c r="P18" s="21"/>
    </row>
    <row r="19" spans="12:16">
      <c r="L19" s="21"/>
      <c r="M19" s="21"/>
      <c r="P19" s="21"/>
    </row>
    <row r="20" spans="12:16">
      <c r="L20" s="21"/>
      <c r="M20" s="21"/>
      <c r="P20" s="21"/>
    </row>
    <row r="21" spans="12:16">
      <c r="L21" s="21"/>
      <c r="M21" s="21"/>
      <c r="P21" s="21"/>
    </row>
    <row r="22" spans="12:16">
      <c r="L22" s="21"/>
      <c r="M22" s="21"/>
      <c r="P22" s="21"/>
    </row>
    <row r="23" spans="12:16">
      <c r="L23" s="21"/>
      <c r="M23" s="21"/>
      <c r="P23" s="21"/>
    </row>
    <row r="24" spans="12:16">
      <c r="L24" s="21"/>
      <c r="M24" s="21"/>
      <c r="P24" s="21"/>
    </row>
    <row r="25" spans="12:16">
      <c r="L25" s="21"/>
      <c r="M25" s="21"/>
      <c r="P25" s="21"/>
    </row>
    <row r="26" spans="12:16">
      <c r="L26" s="21"/>
      <c r="M26" s="21"/>
      <c r="P26" s="21"/>
    </row>
    <row r="27" spans="12:16">
      <c r="L27" s="21"/>
      <c r="M27" s="21"/>
      <c r="P27" s="21"/>
    </row>
    <row r="28" spans="12:16">
      <c r="L28" s="21"/>
      <c r="M28" s="21"/>
      <c r="P28" s="21"/>
    </row>
    <row r="29" spans="12:16">
      <c r="L29" s="21"/>
      <c r="M29" s="21"/>
      <c r="P29" s="21"/>
    </row>
    <row r="30" spans="12:16">
      <c r="L30" s="21"/>
      <c r="M30" s="21"/>
      <c r="P30" s="21"/>
    </row>
    <row r="31" spans="12:16">
      <c r="L31" s="21"/>
      <c r="M31" s="21"/>
      <c r="P31" s="21"/>
    </row>
    <row r="32" spans="12:16">
      <c r="L32" s="21"/>
      <c r="M32" s="21"/>
      <c r="P32" s="21"/>
    </row>
    <row r="33" spans="12:16">
      <c r="L33" s="21"/>
      <c r="M33" s="21"/>
      <c r="P33" s="21"/>
    </row>
    <row r="34" spans="12:16">
      <c r="L34" s="21"/>
      <c r="M34" s="21"/>
      <c r="P34" s="21"/>
    </row>
    <row r="35" spans="12:16">
      <c r="L35" s="21"/>
      <c r="M35" s="21"/>
      <c r="P35" s="21"/>
    </row>
    <row r="36" spans="12:16">
      <c r="L36" s="21"/>
      <c r="M36" s="21"/>
      <c r="P36" s="21"/>
    </row>
    <row r="37" spans="12:16">
      <c r="L37" s="21"/>
      <c r="M37" s="21"/>
      <c r="P37" s="21"/>
    </row>
    <row r="38" spans="12:16">
      <c r="L38" s="21"/>
      <c r="M38" s="21"/>
      <c r="P38" s="21"/>
    </row>
    <row r="39" spans="12:16">
      <c r="L39" s="21"/>
      <c r="M39" s="21"/>
      <c r="P39" s="21"/>
    </row>
    <row r="40" spans="12:16">
      <c r="L40" s="21"/>
      <c r="M40" s="21"/>
      <c r="P40" s="21"/>
    </row>
    <row r="41" spans="12:16">
      <c r="L41" s="21"/>
      <c r="M41" s="21"/>
      <c r="P41" s="21"/>
    </row>
    <row r="42" spans="12:16">
      <c r="L42" s="21"/>
      <c r="M42" s="21"/>
      <c r="P42" s="21"/>
    </row>
    <row r="43" spans="12:16">
      <c r="L43" s="21"/>
      <c r="M43" s="21"/>
      <c r="P43" s="21"/>
    </row>
    <row r="44" spans="12:16">
      <c r="L44" s="21"/>
      <c r="M44" s="21"/>
      <c r="P44" s="21"/>
    </row>
    <row r="45" spans="12:16">
      <c r="L45" s="21"/>
      <c r="M45" s="21"/>
      <c r="P45" s="21"/>
    </row>
    <row r="46" spans="12:16">
      <c r="L46" s="21"/>
      <c r="M46" s="21"/>
      <c r="P46" s="21"/>
    </row>
    <row r="47" spans="12:16">
      <c r="L47" s="21"/>
      <c r="M47" s="21"/>
      <c r="P47" s="21"/>
    </row>
    <row r="48" spans="12:16">
      <c r="L48" s="21"/>
      <c r="M48" s="21"/>
      <c r="P48" s="21"/>
    </row>
    <row r="49" spans="12:16">
      <c r="L49" s="21"/>
      <c r="M49" s="21"/>
      <c r="P49" s="21"/>
    </row>
    <row r="50" spans="12:16">
      <c r="L50" s="21"/>
      <c r="M50" s="21"/>
      <c r="P50" s="21"/>
    </row>
    <row r="51" spans="12:16">
      <c r="L51" s="21"/>
      <c r="M51" s="21"/>
      <c r="P51" s="21"/>
    </row>
    <row r="52" spans="12:16">
      <c r="L52" s="21"/>
      <c r="M52" s="21"/>
      <c r="P52" s="21"/>
    </row>
    <row r="53" spans="12:16">
      <c r="L53" s="21"/>
      <c r="M53" s="21"/>
      <c r="P53" s="21"/>
    </row>
    <row r="54" spans="12:16">
      <c r="L54" s="21"/>
      <c r="M54" s="21"/>
      <c r="P54" s="21"/>
    </row>
    <row r="55" spans="12:16">
      <c r="L55" s="21"/>
      <c r="M55" s="21"/>
      <c r="P55" s="21"/>
    </row>
    <row r="56" spans="12:16">
      <c r="L56" s="21"/>
      <c r="M56" s="21"/>
      <c r="P56" s="21"/>
    </row>
    <row r="57" spans="12:16">
      <c r="L57" s="21"/>
      <c r="M57" s="21"/>
      <c r="P57" s="21"/>
    </row>
    <row r="58" spans="12:16">
      <c r="L58" s="21"/>
      <c r="M58" s="21"/>
      <c r="P58" s="21"/>
    </row>
    <row r="59" spans="12:16">
      <c r="L59" s="21"/>
      <c r="M59" s="21"/>
      <c r="P59" s="21"/>
    </row>
    <row r="60" spans="12:16">
      <c r="L60" s="21"/>
      <c r="M60" s="21"/>
      <c r="P60" s="21"/>
    </row>
    <row r="61" spans="12:16">
      <c r="L61" s="21"/>
      <c r="M61" s="21"/>
      <c r="P61" s="21"/>
    </row>
    <row r="62" spans="12:16">
      <c r="L62" s="21"/>
      <c r="M62" s="21"/>
      <c r="P62" s="21"/>
    </row>
    <row r="63" spans="12:16">
      <c r="L63" s="21"/>
      <c r="M63" s="21"/>
      <c r="P63" s="21"/>
    </row>
    <row r="64" spans="12:16">
      <c r="L64" s="21"/>
      <c r="M64" s="21"/>
      <c r="P64" s="21"/>
    </row>
    <row r="65" spans="12:16">
      <c r="L65" s="21"/>
      <c r="M65" s="21"/>
      <c r="P65" s="21"/>
    </row>
    <row r="66" spans="12:16">
      <c r="L66" s="21"/>
      <c r="M66" s="21"/>
      <c r="P66" s="21"/>
    </row>
    <row r="67" spans="12:16">
      <c r="L67" s="21"/>
      <c r="M67" s="21"/>
      <c r="P67" s="21"/>
    </row>
    <row r="68" spans="12:16">
      <c r="L68" s="21"/>
      <c r="M68" s="21"/>
      <c r="P68" s="21"/>
    </row>
    <row r="69" spans="12:16">
      <c r="L69" s="21"/>
      <c r="M69" s="21"/>
      <c r="P69" s="21"/>
    </row>
    <row r="70" spans="12:16">
      <c r="L70" s="21"/>
      <c r="M70" s="21"/>
      <c r="P70" s="21"/>
    </row>
    <row r="71" spans="12:16">
      <c r="L71" s="21"/>
      <c r="M71" s="21"/>
      <c r="P71" s="21"/>
    </row>
    <row r="72" spans="12:16">
      <c r="L72" s="21"/>
      <c r="M72" s="21"/>
      <c r="P72" s="21"/>
    </row>
    <row r="73" spans="12:16">
      <c r="L73" s="21"/>
      <c r="M73" s="21"/>
      <c r="P73" s="21"/>
    </row>
    <row r="74" spans="12:16">
      <c r="L74" s="21"/>
      <c r="M74" s="21"/>
      <c r="P74" s="21"/>
    </row>
    <row r="75" spans="12:16">
      <c r="L75" s="21"/>
      <c r="M75" s="21"/>
      <c r="P75" s="21"/>
    </row>
    <row r="76" spans="12:16">
      <c r="L76" s="21"/>
      <c r="M76" s="21"/>
      <c r="P76" s="21"/>
    </row>
    <row r="77" spans="12:16">
      <c r="L77" s="21"/>
      <c r="M77" s="21"/>
      <c r="P77" s="21"/>
    </row>
    <row r="78" spans="12:16">
      <c r="L78" s="21"/>
      <c r="M78" s="21"/>
      <c r="P78" s="21"/>
    </row>
    <row r="79" spans="12:16">
      <c r="L79" s="21"/>
      <c r="M79" s="21"/>
      <c r="P79" s="21"/>
    </row>
    <row r="80" spans="12:16">
      <c r="L80" s="21"/>
      <c r="M80" s="21"/>
      <c r="P80" s="21"/>
    </row>
    <row r="81" spans="12:16">
      <c r="L81" s="21"/>
      <c r="M81" s="21"/>
      <c r="P81" s="21"/>
    </row>
    <row r="82" spans="12:16">
      <c r="L82" s="21"/>
      <c r="M82" s="21"/>
      <c r="P82" s="21"/>
    </row>
    <row r="83" spans="12:16">
      <c r="L83" s="21"/>
      <c r="M83" s="21"/>
      <c r="P83" s="21"/>
    </row>
    <row r="84" spans="12:16">
      <c r="L84" s="21"/>
      <c r="M84" s="21"/>
      <c r="P84" s="21"/>
    </row>
    <row r="85" spans="12:16">
      <c r="L85" s="21"/>
      <c r="M85" s="21"/>
      <c r="P85" s="21"/>
    </row>
    <row r="86" spans="12:16">
      <c r="L86" s="21"/>
      <c r="M86" s="21"/>
      <c r="P86" s="21"/>
    </row>
    <row r="87" spans="12:16">
      <c r="L87" s="21"/>
      <c r="M87" s="21"/>
      <c r="P87" s="21"/>
    </row>
    <row r="88" spans="12:16">
      <c r="L88" s="21"/>
      <c r="M88" s="21"/>
      <c r="P88" s="21"/>
    </row>
    <row r="89" spans="12:16">
      <c r="L89" s="21"/>
      <c r="M89" s="21"/>
      <c r="P89" s="21"/>
    </row>
    <row r="90" spans="12:16">
      <c r="L90" s="21"/>
      <c r="M90" s="21"/>
      <c r="P90" s="21"/>
    </row>
    <row r="91" spans="12:16">
      <c r="L91" s="21"/>
      <c r="M91" s="21"/>
      <c r="P91" s="21"/>
    </row>
    <row r="92" spans="12:16">
      <c r="L92" s="21"/>
      <c r="M92" s="21"/>
      <c r="P92" s="21"/>
    </row>
    <row r="93" spans="12:16">
      <c r="L93" s="21"/>
      <c r="M93" s="21"/>
      <c r="P93" s="21"/>
    </row>
    <row r="94" spans="12:16">
      <c r="L94" s="21"/>
      <c r="M94" s="21"/>
      <c r="P94" s="21"/>
    </row>
    <row r="95" spans="12:16">
      <c r="L95" s="21"/>
      <c r="M95" s="21"/>
      <c r="P95" s="21"/>
    </row>
    <row r="96" spans="12:16">
      <c r="L96" s="21"/>
      <c r="M96" s="21"/>
      <c r="P96" s="21"/>
    </row>
    <row r="97" spans="12:16">
      <c r="L97" s="21"/>
      <c r="M97" s="21"/>
      <c r="P97" s="21"/>
    </row>
    <row r="98" spans="12:16">
      <c r="L98" s="21"/>
      <c r="M98" s="21"/>
      <c r="P98" s="21"/>
    </row>
    <row r="99" spans="12:16">
      <c r="L99" s="21"/>
      <c r="M99" s="21"/>
      <c r="P99" s="21"/>
    </row>
    <row r="100" spans="12:16">
      <c r="L100" s="21"/>
      <c r="M100" s="21"/>
      <c r="P100" s="21"/>
    </row>
    <row r="101" spans="12:16">
      <c r="L101" s="21"/>
      <c r="M101" s="21"/>
      <c r="P101" s="21"/>
    </row>
    <row r="102" spans="12:16">
      <c r="L102" s="21"/>
      <c r="M102" s="21"/>
      <c r="P102" s="21"/>
    </row>
    <row r="103" spans="12:16">
      <c r="L103" s="21"/>
      <c r="M103" s="21"/>
      <c r="P103" s="21"/>
    </row>
    <row r="104" spans="12:16">
      <c r="L104" s="21"/>
      <c r="M104" s="21"/>
      <c r="P104" s="21"/>
    </row>
    <row r="105" spans="12:16">
      <c r="L105" s="21"/>
      <c r="M105" s="21"/>
      <c r="P105" s="21"/>
    </row>
    <row r="106" spans="12:16">
      <c r="L106" s="21"/>
      <c r="M106" s="21"/>
      <c r="P106" s="21"/>
    </row>
    <row r="107" spans="12:16">
      <c r="L107" s="21"/>
      <c r="M107" s="21"/>
      <c r="P107" s="21"/>
    </row>
    <row r="108" spans="12:16">
      <c r="L108" s="21"/>
      <c r="M108" s="21"/>
      <c r="P108" s="21"/>
    </row>
    <row r="109" spans="12:16">
      <c r="L109" s="21"/>
      <c r="M109" s="21"/>
      <c r="P109" s="21"/>
    </row>
    <row r="110" spans="12:16">
      <c r="L110" s="21"/>
      <c r="M110" s="21"/>
      <c r="P110" s="21"/>
    </row>
    <row r="111" spans="12:16">
      <c r="L111" s="21"/>
      <c r="M111" s="21"/>
      <c r="P111" s="21"/>
    </row>
    <row r="112" spans="12:16">
      <c r="L112" s="21"/>
      <c r="M112" s="21"/>
      <c r="P112" s="21"/>
    </row>
    <row r="113" spans="12:16">
      <c r="L113" s="21"/>
      <c r="M113" s="21"/>
      <c r="P113" s="21"/>
    </row>
    <row r="114" spans="12:16">
      <c r="L114" s="21"/>
      <c r="M114" s="21"/>
      <c r="P114" s="21"/>
    </row>
    <row r="115" spans="12:16">
      <c r="L115" s="21"/>
      <c r="M115" s="21"/>
      <c r="P115" s="21"/>
    </row>
    <row r="116" spans="12:16">
      <c r="L116" s="21"/>
      <c r="M116" s="21"/>
      <c r="P116" s="21"/>
    </row>
    <row r="117" spans="12:16">
      <c r="L117" s="21"/>
      <c r="M117" s="21"/>
      <c r="P117" s="21"/>
    </row>
    <row r="118" spans="12:16">
      <c r="L118" s="21"/>
      <c r="M118" s="21"/>
      <c r="P118" s="21"/>
    </row>
    <row r="119" spans="12:16">
      <c r="L119" s="21"/>
      <c r="M119" s="21"/>
      <c r="P119" s="21"/>
    </row>
    <row r="120" spans="12:16">
      <c r="L120" s="21"/>
      <c r="M120" s="21"/>
      <c r="P120" s="21"/>
    </row>
    <row r="121" spans="12:16">
      <c r="L121" s="21"/>
      <c r="M121" s="21"/>
      <c r="P121" s="21"/>
    </row>
    <row r="122" spans="12:16">
      <c r="L122" s="21"/>
      <c r="M122" s="21"/>
      <c r="P122" s="21"/>
    </row>
    <row r="123" spans="12:16">
      <c r="L123" s="21"/>
      <c r="M123" s="21"/>
      <c r="P123" s="21"/>
    </row>
    <row r="124" spans="12:16">
      <c r="L124" s="21"/>
      <c r="M124" s="21"/>
      <c r="P124" s="21"/>
    </row>
    <row r="125" spans="12:16">
      <c r="L125" s="21"/>
      <c r="M125" s="21"/>
      <c r="P125" s="21"/>
    </row>
    <row r="126" spans="12:16">
      <c r="L126" s="21"/>
      <c r="M126" s="21"/>
      <c r="P126" s="21"/>
    </row>
    <row r="127" spans="12:16">
      <c r="L127" s="21"/>
      <c r="M127" s="21"/>
      <c r="P127" s="21"/>
    </row>
    <row r="128" spans="12:16">
      <c r="L128" s="21"/>
      <c r="M128" s="21"/>
      <c r="P128" s="21"/>
    </row>
    <row r="129" spans="12:16">
      <c r="L129" s="21"/>
      <c r="M129" s="21"/>
      <c r="P129" s="21"/>
    </row>
    <row r="130" spans="12:16">
      <c r="L130" s="21"/>
      <c r="M130" s="21"/>
      <c r="P130" s="21"/>
    </row>
    <row r="131" spans="12:16">
      <c r="L131" s="21"/>
      <c r="M131" s="21"/>
      <c r="P131" s="21"/>
    </row>
    <row r="132" spans="12:16">
      <c r="L132" s="21"/>
      <c r="M132" s="21"/>
      <c r="P132" s="21"/>
    </row>
    <row r="133" spans="12:16">
      <c r="L133" s="21"/>
      <c r="M133" s="21"/>
      <c r="P133" s="21"/>
    </row>
    <row r="134" spans="12:16">
      <c r="L134" s="21"/>
      <c r="M134" s="21"/>
      <c r="P134" s="21"/>
    </row>
    <row r="135" spans="12:16">
      <c r="L135" s="21"/>
      <c r="M135" s="21"/>
      <c r="P135" s="21"/>
    </row>
    <row r="136" spans="12:16">
      <c r="L136" s="21"/>
      <c r="M136" s="21"/>
      <c r="P136" s="21"/>
    </row>
    <row r="137" spans="12:16">
      <c r="L137" s="21"/>
      <c r="M137" s="21"/>
      <c r="P137" s="21"/>
    </row>
    <row r="138" spans="12:16">
      <c r="L138" s="21"/>
      <c r="M138" s="21"/>
      <c r="P138" s="21"/>
    </row>
    <row r="139" spans="12:16">
      <c r="L139" s="21"/>
      <c r="M139" s="21"/>
      <c r="P139" s="21"/>
    </row>
    <row r="140" spans="12:16">
      <c r="L140" s="21"/>
      <c r="M140" s="21"/>
      <c r="P140" s="21"/>
    </row>
    <row r="141" spans="12:16">
      <c r="L141" s="21"/>
      <c r="M141" s="21"/>
      <c r="P141" s="21"/>
    </row>
    <row r="142" spans="12:16">
      <c r="L142" s="21"/>
      <c r="M142" s="21"/>
      <c r="P142" s="21"/>
    </row>
    <row r="143" spans="12:16">
      <c r="L143" s="21"/>
      <c r="M143" s="21"/>
      <c r="P143" s="21"/>
    </row>
    <row r="144" spans="12:16">
      <c r="L144" s="21"/>
      <c r="M144" s="21"/>
      <c r="P144" s="21"/>
    </row>
    <row r="145" spans="12:16">
      <c r="L145" s="21"/>
      <c r="M145" s="21"/>
      <c r="P145" s="21"/>
    </row>
    <row r="146" spans="12:16">
      <c r="L146" s="21"/>
      <c r="M146" s="21"/>
      <c r="P146" s="21"/>
    </row>
    <row r="147" spans="12:16">
      <c r="L147" s="21"/>
      <c r="M147" s="21"/>
      <c r="P147" s="21"/>
    </row>
    <row r="148" spans="12:16">
      <c r="L148" s="21"/>
      <c r="M148" s="21"/>
      <c r="P148" s="21"/>
    </row>
    <row r="149" spans="12:16">
      <c r="L149" s="21"/>
      <c r="M149" s="21"/>
      <c r="P149" s="21"/>
    </row>
    <row r="150" spans="12:16">
      <c r="L150" s="21"/>
      <c r="M150" s="21"/>
      <c r="P150" s="21"/>
    </row>
    <row r="151" spans="12:16">
      <c r="L151" s="21"/>
      <c r="M151" s="21"/>
      <c r="P151" s="21"/>
    </row>
    <row r="152" spans="12:16">
      <c r="L152" s="21"/>
      <c r="M152" s="21"/>
      <c r="P152" s="21"/>
    </row>
    <row r="153" spans="12:16">
      <c r="L153" s="21"/>
      <c r="M153" s="21"/>
      <c r="P153" s="21"/>
    </row>
    <row r="154" spans="12:16">
      <c r="L154" s="21"/>
      <c r="M154" s="21"/>
      <c r="P154" s="21"/>
    </row>
    <row r="155" spans="12:16">
      <c r="L155" s="21"/>
      <c r="M155" s="21"/>
      <c r="P155" s="21"/>
    </row>
    <row r="156" spans="12:16">
      <c r="L156" s="21"/>
      <c r="M156" s="21"/>
      <c r="P156" s="21"/>
    </row>
    <row r="157" spans="12:16">
      <c r="L157" s="21"/>
      <c r="M157" s="21"/>
      <c r="P157" s="21"/>
    </row>
    <row r="158" spans="12:16">
      <c r="L158" s="21"/>
      <c r="M158" s="21"/>
      <c r="P158" s="21"/>
    </row>
    <row r="159" spans="12:16">
      <c r="L159" s="21"/>
      <c r="M159" s="21"/>
      <c r="P159" s="21"/>
    </row>
    <row r="160" spans="12:16">
      <c r="L160" s="21"/>
      <c r="M160" s="21"/>
      <c r="P160" s="21"/>
    </row>
    <row r="161" spans="12:16">
      <c r="L161" s="21"/>
      <c r="M161" s="21"/>
      <c r="P161" s="21"/>
    </row>
    <row r="162" spans="12:16">
      <c r="L162" s="21"/>
      <c r="M162" s="21"/>
      <c r="P162" s="21"/>
    </row>
    <row r="163" spans="12:16">
      <c r="L163" s="21"/>
      <c r="M163" s="21"/>
      <c r="P163" s="21"/>
    </row>
    <row r="164" spans="12:16">
      <c r="L164" s="21"/>
      <c r="M164" s="21"/>
      <c r="P164" s="21"/>
    </row>
    <row r="165" spans="12:16">
      <c r="L165" s="21"/>
      <c r="M165" s="21"/>
      <c r="P165" s="21"/>
    </row>
    <row r="166" spans="12:16">
      <c r="L166" s="21"/>
      <c r="M166" s="21"/>
      <c r="P166" s="21"/>
    </row>
    <row r="167" spans="12:16">
      <c r="L167" s="21"/>
      <c r="M167" s="21"/>
      <c r="P167" s="21"/>
    </row>
    <row r="168" spans="12:16">
      <c r="L168" s="21"/>
      <c r="M168" s="21"/>
      <c r="P168" s="21"/>
    </row>
    <row r="169" spans="12:16">
      <c r="L169" s="21"/>
      <c r="M169" s="21"/>
      <c r="P169" s="21"/>
    </row>
    <row r="170" spans="12:16">
      <c r="L170" s="21"/>
      <c r="M170" s="21"/>
      <c r="P170" s="21"/>
    </row>
    <row r="171" spans="12:16">
      <c r="L171" s="21"/>
      <c r="M171" s="21"/>
      <c r="P171" s="21"/>
    </row>
    <row r="172" spans="12:16">
      <c r="L172" s="21"/>
      <c r="M172" s="21"/>
      <c r="P172" s="21"/>
    </row>
    <row r="173" spans="12:16">
      <c r="L173" s="21"/>
      <c r="M173" s="21"/>
      <c r="P173" s="21"/>
    </row>
    <row r="174" spans="12:16">
      <c r="L174" s="21"/>
      <c r="M174" s="21"/>
      <c r="P174" s="21"/>
    </row>
    <row r="175" spans="12:16">
      <c r="L175" s="21"/>
      <c r="M175" s="21"/>
      <c r="P175" s="21"/>
    </row>
    <row r="176" spans="12:16">
      <c r="L176" s="21"/>
      <c r="M176" s="21"/>
      <c r="P176" s="21"/>
    </row>
    <row r="177" spans="12:16">
      <c r="L177" s="21"/>
      <c r="M177" s="21"/>
      <c r="P177" s="21"/>
    </row>
    <row r="178" spans="12:16">
      <c r="L178" s="21"/>
      <c r="M178" s="21"/>
      <c r="P178" s="21"/>
    </row>
    <row r="179" spans="12:16">
      <c r="L179" s="21"/>
      <c r="M179" s="21"/>
      <c r="P179" s="21"/>
    </row>
    <row r="180" spans="12:16">
      <c r="L180" s="21"/>
      <c r="M180" s="21"/>
      <c r="P180" s="21"/>
    </row>
    <row r="181" spans="12:16">
      <c r="L181" s="21"/>
      <c r="M181" s="21"/>
      <c r="P181" s="21"/>
    </row>
    <row r="182" spans="12:16">
      <c r="L182" s="21"/>
      <c r="M182" s="21"/>
      <c r="P182" s="21"/>
    </row>
    <row r="183" spans="12:16">
      <c r="L183" s="21"/>
      <c r="M183" s="21"/>
      <c r="P183" s="21"/>
    </row>
    <row r="184" spans="12:16">
      <c r="L184" s="21"/>
      <c r="M184" s="21"/>
      <c r="P184" s="21"/>
    </row>
    <row r="185" spans="12:16">
      <c r="L185" s="21"/>
      <c r="M185" s="21"/>
      <c r="P185" s="21"/>
    </row>
    <row r="186" spans="12:16">
      <c r="L186" s="21"/>
      <c r="M186" s="21"/>
      <c r="P186" s="21"/>
    </row>
    <row r="187" spans="12:16">
      <c r="L187" s="21"/>
      <c r="M187" s="21"/>
      <c r="P187" s="21"/>
    </row>
    <row r="188" spans="12:16">
      <c r="L188" s="21"/>
      <c r="M188" s="21"/>
      <c r="P188" s="21"/>
    </row>
    <row r="189" spans="12:16">
      <c r="L189" s="21"/>
      <c r="M189" s="21"/>
      <c r="P189" s="21"/>
    </row>
    <row r="190" spans="12:16">
      <c r="L190" s="21"/>
      <c r="M190" s="21"/>
      <c r="P190" s="21"/>
    </row>
    <row r="191" spans="12:16">
      <c r="L191" s="21"/>
      <c r="M191" s="21"/>
      <c r="P191" s="21"/>
    </row>
    <row r="192" spans="12:16">
      <c r="L192" s="21"/>
      <c r="M192" s="21"/>
      <c r="P192" s="21"/>
    </row>
    <row r="193" spans="12:16">
      <c r="L193" s="21"/>
      <c r="M193" s="21"/>
      <c r="P193" s="21"/>
    </row>
    <row r="194" spans="12:16">
      <c r="L194" s="21"/>
      <c r="M194" s="21"/>
      <c r="P194" s="21"/>
    </row>
    <row r="195" spans="12:16">
      <c r="L195" s="21"/>
      <c r="M195" s="21"/>
      <c r="P195" s="21"/>
    </row>
    <row r="196" spans="12:16">
      <c r="L196" s="21"/>
      <c r="M196" s="21"/>
      <c r="P196" s="21"/>
    </row>
    <row r="197" spans="12:16">
      <c r="L197" s="21"/>
      <c r="M197" s="21"/>
      <c r="P197" s="21"/>
    </row>
    <row r="198" spans="12:16">
      <c r="L198" s="21"/>
      <c r="M198" s="21"/>
      <c r="P198" s="21"/>
    </row>
    <row r="199" spans="12:16">
      <c r="L199" s="21"/>
      <c r="M199" s="21"/>
      <c r="P199" s="21"/>
    </row>
    <row r="200" spans="12:16">
      <c r="L200" s="21"/>
      <c r="M200" s="21"/>
      <c r="P200" s="21"/>
    </row>
    <row r="201" spans="12:16">
      <c r="L201" s="21"/>
      <c r="M201" s="21"/>
      <c r="P201" s="21"/>
    </row>
    <row r="202" spans="12:16">
      <c r="L202" s="21"/>
      <c r="M202" s="21"/>
      <c r="P202" s="21"/>
    </row>
    <row r="203" spans="12:16">
      <c r="L203" s="21"/>
      <c r="M203" s="21"/>
      <c r="P203" s="21"/>
    </row>
    <row r="204" spans="12:16">
      <c r="L204" s="21"/>
      <c r="M204" s="21"/>
      <c r="P204" s="21"/>
    </row>
    <row r="205" spans="12:16">
      <c r="L205" s="21"/>
      <c r="M205" s="21"/>
      <c r="P205" s="21"/>
    </row>
    <row r="206" spans="12:16">
      <c r="L206" s="21"/>
      <c r="M206" s="21"/>
      <c r="P206" s="21"/>
    </row>
    <row r="207" spans="12:16">
      <c r="L207" s="21"/>
      <c r="M207" s="21"/>
      <c r="P207" s="21"/>
    </row>
    <row r="208" spans="12:16">
      <c r="L208" s="21"/>
      <c r="M208" s="21"/>
      <c r="P208" s="21"/>
    </row>
    <row r="209" spans="12:16">
      <c r="L209" s="21"/>
      <c r="M209" s="21"/>
      <c r="P209" s="21"/>
    </row>
    <row r="210" spans="12:16">
      <c r="L210" s="21"/>
      <c r="M210" s="21"/>
      <c r="P210" s="21"/>
    </row>
    <row r="211" spans="12:16">
      <c r="L211" s="21"/>
      <c r="M211" s="21"/>
      <c r="P211" s="21"/>
    </row>
    <row r="212" spans="12:16">
      <c r="L212" s="21"/>
      <c r="M212" s="21"/>
      <c r="P212" s="21"/>
    </row>
    <row r="213" spans="12:16">
      <c r="L213" s="21"/>
      <c r="M213" s="21"/>
      <c r="P213" s="21"/>
    </row>
    <row r="214" spans="12:16">
      <c r="L214" s="21"/>
      <c r="M214" s="21"/>
      <c r="P214" s="21"/>
    </row>
    <row r="215" spans="12:16">
      <c r="L215" s="21"/>
      <c r="M215" s="21"/>
      <c r="P215" s="21"/>
    </row>
    <row r="216" spans="12:16">
      <c r="L216" s="21"/>
      <c r="M216" s="21"/>
      <c r="P216" s="21"/>
    </row>
    <row r="217" spans="12:16">
      <c r="L217" s="21"/>
      <c r="M217" s="21"/>
      <c r="P217" s="21"/>
    </row>
    <row r="218" spans="12:16">
      <c r="L218" s="21"/>
      <c r="M218" s="21"/>
      <c r="P218" s="21"/>
    </row>
    <row r="219" spans="12:16">
      <c r="L219" s="21"/>
      <c r="M219" s="21"/>
      <c r="P219" s="21"/>
    </row>
    <row r="220" spans="12:16">
      <c r="L220" s="21"/>
      <c r="M220" s="21"/>
      <c r="P220" s="21"/>
    </row>
    <row r="221" spans="12:16">
      <c r="L221" s="21"/>
      <c r="M221" s="21"/>
      <c r="P221" s="21"/>
    </row>
    <row r="222" spans="12:16">
      <c r="L222" s="21"/>
      <c r="M222" s="21"/>
      <c r="P222" s="21"/>
    </row>
    <row r="223" spans="12:16">
      <c r="L223" s="21"/>
      <c r="M223" s="21"/>
      <c r="P223" s="21"/>
    </row>
    <row r="224" spans="12:16">
      <c r="L224" s="21"/>
      <c r="M224" s="21"/>
      <c r="P224" s="21"/>
    </row>
    <row r="225" spans="12:16">
      <c r="L225" s="21"/>
      <c r="M225" s="21"/>
      <c r="P225" s="21"/>
    </row>
    <row r="226" spans="12:16">
      <c r="L226" s="21"/>
      <c r="M226" s="21"/>
      <c r="P226" s="21"/>
    </row>
    <row r="227" spans="12:16">
      <c r="L227" s="21"/>
      <c r="M227" s="21"/>
      <c r="P227" s="21"/>
    </row>
    <row r="228" spans="12:16">
      <c r="L228" s="21"/>
      <c r="M228" s="21"/>
      <c r="P228" s="21"/>
    </row>
    <row r="229" spans="12:16">
      <c r="L229" s="21"/>
      <c r="M229" s="21"/>
      <c r="P229" s="21"/>
    </row>
    <row r="230" spans="12:16">
      <c r="L230" s="21"/>
      <c r="M230" s="21"/>
      <c r="P230" s="21"/>
    </row>
    <row r="231" spans="12:16">
      <c r="L231" s="21"/>
      <c r="M231" s="21"/>
      <c r="P231" s="21"/>
    </row>
    <row r="232" spans="12:16">
      <c r="L232" s="21"/>
      <c r="M232" s="21"/>
      <c r="P232" s="21"/>
    </row>
    <row r="233" spans="12:16">
      <c r="L233" s="21"/>
      <c r="M233" s="21"/>
      <c r="P233" s="21"/>
    </row>
    <row r="234" spans="12:16">
      <c r="L234" s="21"/>
      <c r="M234" s="21"/>
      <c r="P234" s="21"/>
    </row>
    <row r="235" spans="12:16">
      <c r="L235" s="21"/>
      <c r="M235" s="21"/>
      <c r="P235" s="21"/>
    </row>
    <row r="236" spans="12:16">
      <c r="L236" s="21"/>
      <c r="M236" s="21"/>
      <c r="P236" s="21"/>
    </row>
    <row r="237" spans="12:16">
      <c r="L237" s="21"/>
      <c r="M237" s="21"/>
      <c r="P237" s="21"/>
    </row>
    <row r="238" spans="12:16">
      <c r="L238" s="21"/>
      <c r="M238" s="21"/>
      <c r="P238" s="21"/>
    </row>
    <row r="239" spans="12:16">
      <c r="L239" s="21"/>
      <c r="M239" s="21"/>
      <c r="P239" s="21"/>
    </row>
    <row r="240" spans="12:16">
      <c r="L240" s="21"/>
      <c r="M240" s="21"/>
      <c r="P240" s="21"/>
    </row>
    <row r="241" spans="12:16">
      <c r="L241" s="21"/>
      <c r="M241" s="21"/>
      <c r="P241" s="21"/>
    </row>
    <row r="242" spans="12:16">
      <c r="L242" s="21"/>
      <c r="M242" s="21"/>
      <c r="P242" s="21"/>
    </row>
    <row r="243" spans="12:16">
      <c r="L243" s="21"/>
      <c r="M243" s="21"/>
      <c r="P243" s="21"/>
    </row>
    <row r="244" spans="12:16">
      <c r="L244" s="21"/>
      <c r="M244" s="21"/>
      <c r="P244" s="21"/>
    </row>
    <row r="245" spans="12:16">
      <c r="L245" s="21"/>
      <c r="M245" s="21"/>
      <c r="P245" s="21"/>
    </row>
    <row r="246" spans="12:16">
      <c r="L246" s="21"/>
      <c r="M246" s="21"/>
      <c r="P246" s="21"/>
    </row>
    <row r="247" spans="12:16">
      <c r="L247" s="21"/>
      <c r="M247" s="21"/>
      <c r="P247" s="21"/>
    </row>
    <row r="248" spans="12:16">
      <c r="L248" s="21"/>
      <c r="M248" s="21"/>
      <c r="P248" s="21"/>
    </row>
    <row r="249" spans="12:16">
      <c r="L249" s="21"/>
      <c r="M249" s="21"/>
      <c r="P249" s="21"/>
    </row>
    <row r="250" spans="12:16">
      <c r="L250" s="21"/>
      <c r="M250" s="21"/>
      <c r="P250" s="21"/>
    </row>
    <row r="251" spans="12:16">
      <c r="L251" s="21"/>
      <c r="M251" s="21"/>
      <c r="P251" s="21"/>
    </row>
    <row r="252" spans="12:16">
      <c r="L252" s="21"/>
      <c r="M252" s="21"/>
      <c r="P252" s="21"/>
    </row>
    <row r="253" spans="12:16">
      <c r="L253" s="21"/>
      <c r="M253" s="21"/>
      <c r="P253" s="21"/>
    </row>
    <row r="254" spans="12:16">
      <c r="L254" s="21"/>
      <c r="M254" s="21"/>
      <c r="P254" s="21"/>
    </row>
    <row r="255" spans="12:16">
      <c r="L255" s="21"/>
      <c r="M255" s="21"/>
      <c r="P255" s="21"/>
    </row>
    <row r="256" spans="12:16">
      <c r="L256" s="21"/>
      <c r="M256" s="21"/>
      <c r="P256" s="21"/>
    </row>
    <row r="257" spans="12:16">
      <c r="L257" s="21"/>
      <c r="M257" s="21"/>
      <c r="P257" s="21"/>
    </row>
    <row r="258" spans="12:16">
      <c r="L258" s="21"/>
      <c r="M258" s="21"/>
      <c r="P258" s="21"/>
    </row>
    <row r="259" spans="12:16">
      <c r="L259" s="21"/>
      <c r="M259" s="21"/>
      <c r="P259" s="21"/>
    </row>
    <row r="260" spans="12:16">
      <c r="L260" s="21"/>
      <c r="M260" s="21"/>
      <c r="P260" s="21"/>
    </row>
    <row r="261" spans="12:16">
      <c r="L261" s="21"/>
      <c r="M261" s="21"/>
      <c r="P261" s="21"/>
    </row>
    <row r="262" spans="12:16">
      <c r="L262" s="21"/>
      <c r="M262" s="21"/>
      <c r="P262" s="21"/>
    </row>
    <row r="263" spans="12:16">
      <c r="L263" s="21"/>
      <c r="M263" s="21"/>
      <c r="P263" s="21"/>
    </row>
    <row r="264" spans="12:16">
      <c r="L264" s="21"/>
      <c r="M264" s="21"/>
      <c r="P264" s="21"/>
    </row>
    <row r="265" spans="12:16">
      <c r="L265" s="21"/>
      <c r="M265" s="21"/>
      <c r="P265" s="21"/>
    </row>
    <row r="266" spans="12:16">
      <c r="L266" s="21"/>
      <c r="M266" s="21"/>
      <c r="P266" s="21"/>
    </row>
    <row r="267" spans="12:16">
      <c r="L267" s="21"/>
      <c r="M267" s="21"/>
      <c r="P267" s="21"/>
    </row>
    <row r="268" spans="12:16">
      <c r="L268" s="21"/>
      <c r="M268" s="21"/>
      <c r="P268" s="21"/>
    </row>
    <row r="269" spans="12:16">
      <c r="L269" s="21"/>
      <c r="M269" s="21"/>
      <c r="P269" s="21"/>
    </row>
    <row r="270" spans="12:16">
      <c r="L270" s="21"/>
      <c r="M270" s="21"/>
      <c r="P270" s="21"/>
    </row>
    <row r="271" spans="12:16">
      <c r="L271" s="21"/>
      <c r="M271" s="21"/>
      <c r="P271" s="21"/>
    </row>
    <row r="272" spans="12:16">
      <c r="L272" s="21"/>
      <c r="M272" s="21"/>
      <c r="P272" s="21"/>
    </row>
    <row r="273" spans="12:16">
      <c r="L273" s="21"/>
      <c r="M273" s="21"/>
      <c r="P273" s="21"/>
    </row>
    <row r="274" spans="12:16">
      <c r="L274" s="21"/>
      <c r="M274" s="21"/>
      <c r="P274" s="21"/>
    </row>
    <row r="275" spans="12:16">
      <c r="L275" s="21"/>
      <c r="M275" s="21"/>
      <c r="P275" s="21"/>
    </row>
    <row r="276" spans="12:16">
      <c r="L276" s="21"/>
      <c r="M276" s="21"/>
      <c r="P276" s="21"/>
    </row>
    <row r="277" spans="12:16">
      <c r="L277" s="21"/>
      <c r="M277" s="21"/>
      <c r="P277" s="21"/>
    </row>
    <row r="278" spans="12:16">
      <c r="L278" s="21"/>
      <c r="M278" s="21"/>
      <c r="P278" s="21"/>
    </row>
    <row r="279" spans="12:16">
      <c r="L279" s="21"/>
      <c r="M279" s="21"/>
      <c r="P279" s="21"/>
    </row>
    <row r="280" spans="12:16">
      <c r="L280" s="21"/>
      <c r="M280" s="21"/>
      <c r="P280" s="21"/>
    </row>
    <row r="281" spans="12:16">
      <c r="L281" s="21"/>
      <c r="M281" s="21"/>
      <c r="P281" s="21"/>
    </row>
    <row r="282" spans="12:16">
      <c r="L282" s="21"/>
      <c r="M282" s="21"/>
      <c r="P282" s="21"/>
    </row>
    <row r="283" spans="12:16">
      <c r="L283" s="21"/>
      <c r="M283" s="21"/>
      <c r="P283" s="21"/>
    </row>
    <row r="284" spans="12:16">
      <c r="L284" s="21"/>
      <c r="M284" s="21"/>
      <c r="P284" s="21"/>
    </row>
    <row r="285" spans="12:16">
      <c r="L285" s="21"/>
      <c r="M285" s="21"/>
      <c r="P285" s="21"/>
    </row>
    <row r="286" spans="12:16">
      <c r="L286" s="21"/>
      <c r="M286" s="21"/>
      <c r="P286" s="21"/>
    </row>
    <row r="287" spans="12:16">
      <c r="L287" s="21"/>
      <c r="M287" s="21"/>
      <c r="P287" s="21"/>
    </row>
    <row r="288" spans="12:16">
      <c r="L288" s="21"/>
      <c r="M288" s="21"/>
      <c r="P288" s="21"/>
    </row>
    <row r="289" spans="12:16">
      <c r="L289" s="21"/>
      <c r="M289" s="21"/>
      <c r="P289" s="21"/>
    </row>
    <row r="290" spans="12:16">
      <c r="L290" s="21"/>
      <c r="M290" s="21"/>
      <c r="P290" s="21"/>
    </row>
    <row r="291" spans="12:16">
      <c r="L291" s="21"/>
      <c r="M291" s="21"/>
      <c r="P291" s="21"/>
    </row>
    <row r="292" spans="12:16">
      <c r="L292" s="21"/>
      <c r="M292" s="21"/>
      <c r="P292" s="21"/>
    </row>
    <row r="293" spans="12:16">
      <c r="L293" s="21"/>
      <c r="M293" s="21"/>
      <c r="P293" s="21"/>
    </row>
    <row r="294" spans="12:16">
      <c r="L294" s="21"/>
      <c r="M294" s="21"/>
      <c r="P294" s="21"/>
    </row>
    <row r="295" spans="12:16">
      <c r="L295" s="21"/>
      <c r="M295" s="21"/>
      <c r="P295" s="21"/>
    </row>
    <row r="296" spans="12:16">
      <c r="L296" s="21"/>
      <c r="M296" s="21"/>
      <c r="P296" s="21"/>
    </row>
    <row r="297" spans="12:16">
      <c r="L297" s="21"/>
      <c r="M297" s="21"/>
      <c r="P297" s="21"/>
    </row>
    <row r="298" spans="12:16">
      <c r="L298" s="21"/>
      <c r="M298" s="21"/>
      <c r="P298" s="21"/>
    </row>
    <row r="299" spans="12:16">
      <c r="L299" s="21"/>
      <c r="M299" s="21"/>
      <c r="P299" s="21"/>
    </row>
    <row r="300" spans="12:16">
      <c r="L300" s="21"/>
      <c r="M300" s="21"/>
      <c r="P300" s="21"/>
    </row>
    <row r="301" spans="12:16">
      <c r="L301" s="21"/>
      <c r="M301" s="21"/>
      <c r="P301" s="21"/>
    </row>
    <row r="302" spans="12:16">
      <c r="L302" s="21"/>
      <c r="M302" s="21"/>
      <c r="P302" s="21"/>
    </row>
    <row r="303" spans="12:16">
      <c r="L303" s="21"/>
      <c r="M303" s="21"/>
      <c r="P303" s="21"/>
    </row>
    <row r="304" spans="12:16">
      <c r="L304" s="21"/>
      <c r="M304" s="21"/>
      <c r="P304" s="21"/>
    </row>
    <row r="305" spans="12:16">
      <c r="L305" s="21"/>
      <c r="M305" s="21"/>
      <c r="P305" s="21"/>
    </row>
    <row r="306" spans="12:16">
      <c r="L306" s="21"/>
      <c r="M306" s="21"/>
      <c r="P306" s="21"/>
    </row>
    <row r="307" spans="12:16">
      <c r="L307" s="21"/>
      <c r="M307" s="21"/>
      <c r="P307" s="21"/>
    </row>
    <row r="308" spans="12:16">
      <c r="L308" s="21"/>
      <c r="M308" s="21"/>
      <c r="P308" s="21"/>
    </row>
    <row r="309" spans="12:16">
      <c r="L309" s="21"/>
      <c r="M309" s="21"/>
      <c r="P309" s="21"/>
    </row>
    <row r="310" spans="12:16">
      <c r="L310" s="21"/>
      <c r="M310" s="21"/>
      <c r="P310" s="21"/>
    </row>
    <row r="311" spans="12:16">
      <c r="L311" s="21"/>
      <c r="M311" s="21"/>
      <c r="P311" s="21"/>
    </row>
    <row r="312" spans="12:16">
      <c r="L312" s="21"/>
      <c r="M312" s="21"/>
      <c r="P312" s="21"/>
    </row>
    <row r="313" spans="12:16">
      <c r="L313" s="21"/>
      <c r="M313" s="21"/>
      <c r="P313" s="21"/>
    </row>
    <row r="314" spans="12:16">
      <c r="L314" s="21"/>
      <c r="M314" s="21"/>
      <c r="P314" s="21"/>
    </row>
    <row r="315" spans="12:16">
      <c r="L315" s="21"/>
      <c r="M315" s="21"/>
      <c r="P315" s="21"/>
    </row>
    <row r="316" spans="12:16">
      <c r="L316" s="21"/>
      <c r="M316" s="21"/>
      <c r="P316" s="21"/>
    </row>
    <row r="317" spans="12:16">
      <c r="L317" s="21"/>
      <c r="M317" s="21"/>
      <c r="P317" s="21"/>
    </row>
    <row r="318" spans="12:16">
      <c r="L318" s="21"/>
      <c r="M318" s="21"/>
      <c r="P318" s="21"/>
    </row>
    <row r="319" spans="12:16">
      <c r="L319" s="21"/>
      <c r="M319" s="21"/>
      <c r="P319" s="21"/>
    </row>
    <row r="320" spans="12:16">
      <c r="L320" s="21"/>
      <c r="M320" s="21"/>
      <c r="P320" s="21"/>
    </row>
    <row r="321" spans="12:16">
      <c r="L321" s="21"/>
      <c r="M321" s="21"/>
      <c r="P321" s="21"/>
    </row>
    <row r="322" spans="12:16">
      <c r="L322" s="21"/>
      <c r="M322" s="21"/>
      <c r="P322" s="21"/>
    </row>
    <row r="323" spans="12:16">
      <c r="L323" s="21"/>
      <c r="M323" s="21"/>
      <c r="P323" s="21"/>
    </row>
    <row r="324" spans="12:16">
      <c r="L324" s="21"/>
      <c r="M324" s="21"/>
      <c r="P324" s="21"/>
    </row>
    <row r="325" spans="12:16">
      <c r="L325" s="21"/>
      <c r="M325" s="21"/>
      <c r="P325" s="21"/>
    </row>
    <row r="326" spans="12:16">
      <c r="L326" s="21"/>
      <c r="M326" s="21"/>
      <c r="P326" s="21"/>
    </row>
    <row r="327" spans="12:16">
      <c r="L327" s="21"/>
      <c r="M327" s="21"/>
      <c r="P327" s="21"/>
    </row>
    <row r="328" spans="12:16">
      <c r="L328" s="21"/>
      <c r="M328" s="21"/>
      <c r="P328" s="21"/>
    </row>
    <row r="329" spans="12:16">
      <c r="L329" s="21"/>
      <c r="M329" s="21"/>
      <c r="P329" s="21"/>
    </row>
    <row r="330" spans="12:16">
      <c r="L330" s="21"/>
      <c r="M330" s="21"/>
      <c r="P330" s="21"/>
    </row>
    <row r="331" spans="12:16">
      <c r="L331" s="21"/>
      <c r="M331" s="21"/>
      <c r="P331" s="21"/>
    </row>
    <row r="332" spans="12:16">
      <c r="L332" s="21"/>
      <c r="M332" s="21"/>
      <c r="P332" s="21"/>
    </row>
    <row r="333" spans="12:16">
      <c r="L333" s="21"/>
      <c r="M333" s="21"/>
      <c r="P333" s="21"/>
    </row>
    <row r="334" spans="12:16">
      <c r="L334" s="21"/>
      <c r="M334" s="21"/>
      <c r="P334" s="21"/>
    </row>
    <row r="335" spans="12:16">
      <c r="L335" s="21"/>
      <c r="M335" s="21"/>
      <c r="P335" s="21"/>
    </row>
    <row r="336" spans="12:16">
      <c r="L336" s="21"/>
      <c r="M336" s="21"/>
      <c r="P336" s="21"/>
    </row>
    <row r="337" spans="12:16">
      <c r="L337" s="21"/>
      <c r="M337" s="21"/>
      <c r="P337" s="21"/>
    </row>
    <row r="338" spans="12:16">
      <c r="L338" s="21"/>
      <c r="M338" s="21"/>
      <c r="P338" s="21"/>
    </row>
    <row r="339" spans="12:16">
      <c r="L339" s="21"/>
      <c r="M339" s="21"/>
      <c r="P339" s="21"/>
    </row>
    <row r="340" spans="12:16">
      <c r="L340" s="21"/>
      <c r="M340" s="21"/>
      <c r="P340" s="21"/>
    </row>
    <row r="341" spans="12:16">
      <c r="L341" s="21"/>
      <c r="M341" s="21"/>
      <c r="P341" s="21"/>
    </row>
    <row r="342" spans="12:16">
      <c r="L342" s="21"/>
      <c r="M342" s="21"/>
      <c r="P342" s="21"/>
    </row>
    <row r="343" spans="12:16">
      <c r="L343" s="21"/>
      <c r="M343" s="21"/>
      <c r="P343" s="21"/>
    </row>
    <row r="344" spans="12:16">
      <c r="L344" s="21"/>
      <c r="M344" s="21"/>
      <c r="P344" s="21"/>
    </row>
    <row r="345" spans="12:16">
      <c r="L345" s="21"/>
      <c r="M345" s="21"/>
      <c r="P345" s="21"/>
    </row>
    <row r="346" spans="12:16">
      <c r="L346" s="21"/>
      <c r="M346" s="21"/>
      <c r="P346" s="21"/>
    </row>
    <row r="347" spans="12:16">
      <c r="L347" s="21"/>
      <c r="M347" s="21"/>
      <c r="P347" s="21"/>
    </row>
    <row r="348" spans="12:16">
      <c r="L348" s="21"/>
      <c r="M348" s="21"/>
      <c r="P348" s="21"/>
    </row>
    <row r="349" spans="12:16">
      <c r="L349" s="21"/>
      <c r="M349" s="21"/>
      <c r="P349" s="21"/>
    </row>
    <row r="350" spans="12:16">
      <c r="L350" s="21"/>
      <c r="M350" s="21"/>
      <c r="P350" s="21"/>
    </row>
    <row r="351" spans="12:16">
      <c r="L351" s="21"/>
      <c r="M351" s="21"/>
      <c r="P351" s="21"/>
    </row>
    <row r="352" spans="12:16">
      <c r="L352" s="21"/>
      <c r="M352" s="21"/>
      <c r="P352" s="21"/>
    </row>
    <row r="353" spans="12:16">
      <c r="L353" s="21"/>
      <c r="M353" s="21"/>
      <c r="P353" s="21"/>
    </row>
    <row r="354" spans="12:16">
      <c r="L354" s="21"/>
      <c r="M354" s="21"/>
      <c r="P354" s="21"/>
    </row>
    <row r="355" spans="12:16">
      <c r="L355" s="21"/>
      <c r="M355" s="21"/>
      <c r="P355" s="21"/>
    </row>
    <row r="356" spans="12:16">
      <c r="L356" s="21"/>
      <c r="M356" s="21"/>
      <c r="P356" s="21"/>
    </row>
    <row r="357" spans="12:16">
      <c r="L357" s="21"/>
      <c r="M357" s="21"/>
      <c r="P357" s="21"/>
    </row>
    <row r="358" spans="12:16">
      <c r="L358" s="21"/>
      <c r="M358" s="21"/>
      <c r="P358" s="21"/>
    </row>
    <row r="359" spans="12:16">
      <c r="L359" s="21"/>
      <c r="M359" s="21"/>
      <c r="P359" s="21"/>
    </row>
    <row r="360" spans="12:16">
      <c r="L360" s="21"/>
      <c r="M360" s="21"/>
      <c r="P360" s="21"/>
    </row>
    <row r="361" spans="12:16">
      <c r="L361" s="21"/>
      <c r="M361" s="21"/>
      <c r="P361" s="21"/>
    </row>
    <row r="362" spans="12:16">
      <c r="L362" s="21"/>
      <c r="M362" s="21"/>
      <c r="P362" s="21"/>
    </row>
    <row r="363" spans="12:16">
      <c r="L363" s="21"/>
      <c r="M363" s="21"/>
      <c r="P363" s="21"/>
    </row>
    <row r="364" spans="12:16">
      <c r="L364" s="21"/>
      <c r="M364" s="21"/>
      <c r="P364" s="21"/>
    </row>
    <row r="365" spans="12:16">
      <c r="L365" s="21"/>
      <c r="M365" s="21"/>
      <c r="P365" s="21"/>
    </row>
    <row r="366" spans="12:16">
      <c r="L366" s="21"/>
      <c r="M366" s="21"/>
      <c r="P366" s="21"/>
    </row>
    <row r="367" spans="12:16">
      <c r="L367" s="21"/>
      <c r="M367" s="21"/>
      <c r="P367" s="21"/>
    </row>
    <row r="368" spans="12:16">
      <c r="L368" s="21"/>
      <c r="M368" s="21"/>
      <c r="P368" s="21"/>
    </row>
    <row r="369" spans="12:16">
      <c r="L369" s="21"/>
      <c r="M369" s="21"/>
      <c r="P369" s="21"/>
    </row>
    <row r="370" spans="12:16">
      <c r="L370" s="21"/>
      <c r="M370" s="21"/>
      <c r="P370" s="21"/>
    </row>
    <row r="371" spans="12:16">
      <c r="L371" s="21"/>
      <c r="M371" s="21"/>
      <c r="P371" s="21"/>
    </row>
    <row r="372" spans="12:16">
      <c r="L372" s="21"/>
      <c r="M372" s="21"/>
      <c r="P372" s="21"/>
    </row>
    <row r="373" spans="12:16">
      <c r="L373" s="21"/>
      <c r="M373" s="21"/>
      <c r="P373" s="21"/>
    </row>
    <row r="374" spans="12:16">
      <c r="L374" s="21"/>
      <c r="M374" s="21"/>
      <c r="P374" s="21"/>
    </row>
    <row r="375" spans="12:16">
      <c r="L375" s="21"/>
      <c r="M375" s="21"/>
      <c r="P375" s="21"/>
    </row>
    <row r="376" spans="12:16">
      <c r="L376" s="21"/>
      <c r="M376" s="21"/>
      <c r="P376" s="21"/>
    </row>
    <row r="377" spans="12:16">
      <c r="L377" s="21"/>
      <c r="M377" s="21"/>
      <c r="P377" s="21"/>
    </row>
    <row r="378" spans="12:16">
      <c r="L378" s="21"/>
      <c r="M378" s="21"/>
      <c r="P378" s="21"/>
    </row>
    <row r="379" spans="12:16">
      <c r="L379" s="21"/>
      <c r="M379" s="21"/>
      <c r="P379" s="21"/>
    </row>
    <row r="380" spans="12:16">
      <c r="L380" s="21"/>
      <c r="M380" s="21"/>
      <c r="P380" s="21"/>
    </row>
    <row r="381" spans="12:16">
      <c r="L381" s="21"/>
      <c r="M381" s="21"/>
      <c r="P381" s="21"/>
    </row>
    <row r="382" spans="12:16">
      <c r="L382" s="21"/>
      <c r="M382" s="21"/>
      <c r="P382" s="21"/>
    </row>
    <row r="383" spans="12:16">
      <c r="L383" s="21"/>
      <c r="M383" s="21"/>
      <c r="P383" s="21"/>
    </row>
    <row r="384" spans="12:16">
      <c r="L384" s="21"/>
      <c r="M384" s="21"/>
      <c r="P384" s="21"/>
    </row>
    <row r="385" spans="12:16">
      <c r="L385" s="21"/>
      <c r="M385" s="21"/>
      <c r="P385" s="21"/>
    </row>
    <row r="386" spans="12:16">
      <c r="L386" s="21"/>
      <c r="M386" s="21"/>
      <c r="P386" s="21"/>
    </row>
    <row r="387" spans="12:16">
      <c r="L387" s="21"/>
      <c r="M387" s="21"/>
      <c r="P387" s="21"/>
    </row>
    <row r="388" spans="12:16">
      <c r="L388" s="21"/>
      <c r="M388" s="21"/>
      <c r="P388" s="21"/>
    </row>
    <row r="389" spans="12:16">
      <c r="L389" s="21"/>
      <c r="M389" s="21"/>
      <c r="P389" s="21"/>
    </row>
    <row r="390" spans="12:16">
      <c r="L390" s="21"/>
      <c r="M390" s="21"/>
      <c r="P390" s="21"/>
    </row>
    <row r="391" spans="12:16">
      <c r="L391" s="21"/>
      <c r="M391" s="21"/>
      <c r="P391" s="21"/>
    </row>
    <row r="392" spans="12:16">
      <c r="L392" s="21"/>
      <c r="M392" s="21"/>
      <c r="P392" s="21"/>
    </row>
    <row r="393" spans="12:16">
      <c r="L393" s="21"/>
      <c r="M393" s="21"/>
      <c r="P393" s="21"/>
    </row>
    <row r="394" spans="12:16">
      <c r="L394" s="21"/>
      <c r="M394" s="21"/>
      <c r="P394" s="21"/>
    </row>
    <row r="395" spans="12:16">
      <c r="L395" s="21"/>
      <c r="M395" s="21"/>
      <c r="P395" s="21"/>
    </row>
    <row r="396" spans="12:16">
      <c r="L396" s="21"/>
      <c r="M396" s="21"/>
      <c r="P396" s="21"/>
    </row>
    <row r="397" spans="12:16">
      <c r="L397" s="21"/>
      <c r="M397" s="21"/>
      <c r="P397" s="21"/>
    </row>
    <row r="398" spans="12:16">
      <c r="L398" s="21"/>
      <c r="M398" s="21"/>
      <c r="P398" s="21"/>
    </row>
    <row r="399" spans="12:16">
      <c r="L399" s="21"/>
      <c r="M399" s="21"/>
      <c r="P399" s="21"/>
    </row>
    <row r="400" spans="12:16">
      <c r="L400" s="21"/>
      <c r="M400" s="21"/>
      <c r="P400" s="21"/>
    </row>
    <row r="401" spans="12:16">
      <c r="L401" s="21"/>
      <c r="M401" s="21"/>
      <c r="P401" s="21"/>
    </row>
    <row r="402" spans="12:16">
      <c r="L402" s="21"/>
      <c r="M402" s="21"/>
      <c r="P402" s="21"/>
    </row>
    <row r="403" spans="12:16">
      <c r="L403" s="21"/>
      <c r="M403" s="21"/>
      <c r="P403" s="21"/>
    </row>
    <row r="404" spans="12:16">
      <c r="L404" s="21"/>
      <c r="M404" s="21"/>
      <c r="P404" s="21"/>
    </row>
    <row r="405" spans="12:16">
      <c r="L405" s="21"/>
      <c r="M405" s="21"/>
      <c r="P405" s="21"/>
    </row>
    <row r="406" spans="12:16">
      <c r="L406" s="21"/>
      <c r="M406" s="21"/>
      <c r="P406" s="21"/>
    </row>
    <row r="407" spans="12:16">
      <c r="L407" s="21"/>
      <c r="M407" s="21"/>
      <c r="P407" s="21"/>
    </row>
    <row r="408" spans="12:16">
      <c r="L408" s="21"/>
      <c r="M408" s="21"/>
      <c r="P408" s="21"/>
    </row>
    <row r="409" spans="12:16">
      <c r="L409" s="21"/>
      <c r="M409" s="21"/>
      <c r="P409" s="21"/>
    </row>
    <row r="410" spans="12:16">
      <c r="L410" s="21"/>
      <c r="M410" s="21"/>
      <c r="P410" s="21"/>
    </row>
    <row r="411" spans="12:16">
      <c r="L411" s="21"/>
      <c r="M411" s="21"/>
      <c r="P411" s="21"/>
    </row>
    <row r="412" spans="12:16">
      <c r="L412" s="21"/>
      <c r="M412" s="21"/>
      <c r="P412" s="21"/>
    </row>
    <row r="413" spans="12:16">
      <c r="L413" s="21"/>
      <c r="M413" s="21"/>
      <c r="P413" s="21"/>
    </row>
    <row r="414" spans="12:16">
      <c r="L414" s="21"/>
      <c r="M414" s="21"/>
      <c r="P414" s="21"/>
    </row>
    <row r="415" spans="12:16">
      <c r="L415" s="21"/>
      <c r="M415" s="21"/>
      <c r="P415" s="21"/>
    </row>
    <row r="416" spans="12:16">
      <c r="L416" s="21"/>
      <c r="M416" s="21"/>
      <c r="P416" s="21"/>
    </row>
    <row r="417" spans="12:16">
      <c r="L417" s="21"/>
      <c r="M417" s="21"/>
      <c r="P417" s="21"/>
    </row>
    <row r="418" spans="12:16">
      <c r="L418" s="21"/>
      <c r="M418" s="21"/>
      <c r="P418" s="21"/>
    </row>
    <row r="419" spans="12:16">
      <c r="L419" s="21"/>
      <c r="M419" s="21"/>
      <c r="P419" s="21"/>
    </row>
    <row r="420" spans="12:16">
      <c r="L420" s="21"/>
      <c r="M420" s="21"/>
      <c r="P420" s="21"/>
    </row>
    <row r="421" spans="12:16">
      <c r="L421" s="21"/>
      <c r="M421" s="21"/>
      <c r="P421" s="21"/>
    </row>
    <row r="422" spans="12:16">
      <c r="L422" s="21"/>
      <c r="M422" s="21"/>
      <c r="P422" s="21"/>
    </row>
    <row r="423" spans="12:16">
      <c r="L423" s="21"/>
      <c r="M423" s="21"/>
      <c r="P423" s="21"/>
    </row>
    <row r="424" spans="12:16">
      <c r="L424" s="21"/>
      <c r="M424" s="21"/>
      <c r="P424" s="21"/>
    </row>
    <row r="425" spans="12:16">
      <c r="L425" s="21"/>
      <c r="M425" s="21"/>
      <c r="P425" s="21"/>
    </row>
    <row r="426" spans="12:16">
      <c r="L426" s="21"/>
      <c r="M426" s="21"/>
      <c r="P426" s="21"/>
    </row>
    <row r="427" spans="12:16">
      <c r="L427" s="21"/>
      <c r="M427" s="21"/>
      <c r="P427" s="21"/>
    </row>
    <row r="428" spans="12:16">
      <c r="L428" s="21"/>
      <c r="M428" s="21"/>
      <c r="P428" s="21"/>
    </row>
    <row r="429" spans="12:16">
      <c r="L429" s="21"/>
      <c r="M429" s="21"/>
      <c r="P429" s="21"/>
    </row>
    <row r="430" spans="12:16">
      <c r="L430" s="21"/>
      <c r="M430" s="21"/>
      <c r="P430" s="21"/>
    </row>
    <row r="431" spans="12:16">
      <c r="L431" s="21"/>
      <c r="M431" s="21"/>
      <c r="P431" s="21"/>
    </row>
    <row r="432" spans="12:16">
      <c r="L432" s="21"/>
      <c r="M432" s="21"/>
      <c r="P432" s="21"/>
    </row>
    <row r="433" spans="12:16">
      <c r="L433" s="21"/>
      <c r="M433" s="21"/>
      <c r="P433" s="21"/>
    </row>
    <row r="434" spans="12:16">
      <c r="L434" s="21"/>
      <c r="M434" s="21"/>
      <c r="P434" s="21"/>
    </row>
    <row r="435" spans="12:16">
      <c r="L435" s="21"/>
      <c r="M435" s="21"/>
      <c r="P435" s="21"/>
    </row>
    <row r="436" spans="12:16">
      <c r="L436" s="21"/>
      <c r="M436" s="21"/>
      <c r="P436" s="21"/>
    </row>
    <row r="437" spans="12:16">
      <c r="L437" s="21"/>
      <c r="M437" s="21"/>
      <c r="P437" s="21"/>
    </row>
    <row r="438" spans="12:16">
      <c r="L438" s="21"/>
      <c r="M438" s="21"/>
      <c r="P438" s="21"/>
    </row>
    <row r="439" spans="12:16">
      <c r="L439" s="21"/>
      <c r="M439" s="21"/>
      <c r="P439" s="21"/>
    </row>
    <row r="440" spans="12:16">
      <c r="L440" s="21"/>
      <c r="M440" s="21"/>
      <c r="P440" s="21"/>
    </row>
    <row r="441" spans="12:16">
      <c r="L441" s="21"/>
      <c r="M441" s="21"/>
      <c r="P441" s="21"/>
    </row>
    <row r="442" spans="12:16">
      <c r="L442" s="21"/>
      <c r="M442" s="21"/>
      <c r="P442" s="21"/>
    </row>
    <row r="443" spans="12:16">
      <c r="L443" s="21"/>
      <c r="M443" s="21"/>
      <c r="P443" s="21"/>
    </row>
    <row r="444" spans="12:16">
      <c r="L444" s="21"/>
      <c r="M444" s="21"/>
      <c r="P444" s="21"/>
    </row>
    <row r="445" spans="12:16">
      <c r="L445" s="21"/>
      <c r="M445" s="21"/>
      <c r="P445" s="21"/>
    </row>
    <row r="446" spans="12:16">
      <c r="L446" s="21"/>
      <c r="M446" s="21"/>
      <c r="P446" s="21"/>
    </row>
    <row r="447" spans="12:16">
      <c r="L447" s="21"/>
      <c r="M447" s="21"/>
      <c r="P447" s="21"/>
    </row>
    <row r="448" spans="12:16">
      <c r="L448" s="21"/>
      <c r="M448" s="21"/>
      <c r="P448" s="21"/>
    </row>
    <row r="449" spans="12:16">
      <c r="L449" s="21"/>
      <c r="M449" s="21"/>
      <c r="P449" s="21"/>
    </row>
    <row r="450" spans="12:16">
      <c r="L450" s="21"/>
      <c r="M450" s="21"/>
      <c r="P450" s="21"/>
    </row>
    <row r="451" spans="12:16">
      <c r="L451" s="21"/>
      <c r="M451" s="21"/>
      <c r="P451" s="21"/>
    </row>
    <row r="452" spans="12:16">
      <c r="L452" s="21"/>
      <c r="M452" s="21"/>
      <c r="P452" s="21"/>
    </row>
    <row r="453" spans="12:16">
      <c r="L453" s="21"/>
      <c r="M453" s="21"/>
      <c r="P453" s="21"/>
    </row>
    <row r="454" spans="12:16">
      <c r="L454" s="21"/>
      <c r="M454" s="21"/>
      <c r="P454" s="21"/>
    </row>
    <row r="455" spans="12:16">
      <c r="L455" s="21"/>
      <c r="M455" s="21"/>
      <c r="P455" s="21"/>
    </row>
    <row r="456" spans="12:16">
      <c r="L456" s="21"/>
      <c r="M456" s="21"/>
      <c r="P456" s="21"/>
    </row>
    <row r="457" spans="12:16">
      <c r="L457" s="21"/>
      <c r="M457" s="21"/>
      <c r="P457" s="21"/>
    </row>
    <row r="458" spans="12:16">
      <c r="L458" s="21"/>
      <c r="M458" s="21"/>
      <c r="P458" s="21"/>
    </row>
    <row r="459" spans="12:16">
      <c r="L459" s="21"/>
      <c r="M459" s="21"/>
      <c r="P459" s="21"/>
    </row>
    <row r="460" spans="12:16">
      <c r="L460" s="21"/>
      <c r="M460" s="21"/>
      <c r="P460" s="21"/>
    </row>
    <row r="461" spans="12:16">
      <c r="L461" s="21"/>
      <c r="M461" s="21"/>
      <c r="P461" s="21"/>
    </row>
    <row r="462" spans="12:16">
      <c r="L462" s="21"/>
      <c r="M462" s="21"/>
      <c r="P462" s="21"/>
    </row>
    <row r="463" spans="12:16">
      <c r="L463" s="21"/>
      <c r="M463" s="21"/>
      <c r="P463" s="21"/>
    </row>
    <row r="464" spans="12:16">
      <c r="L464" s="21"/>
      <c r="M464" s="21"/>
      <c r="P464" s="21"/>
    </row>
    <row r="465" spans="12:16">
      <c r="L465" s="21"/>
      <c r="M465" s="21"/>
      <c r="P465" s="21"/>
    </row>
    <row r="466" spans="12:16">
      <c r="L466" s="21"/>
      <c r="M466" s="21"/>
      <c r="P466" s="21"/>
    </row>
    <row r="467" spans="12:16">
      <c r="L467" s="21"/>
      <c r="M467" s="21"/>
      <c r="P467" s="21"/>
    </row>
    <row r="468" spans="12:16">
      <c r="L468" s="21"/>
      <c r="M468" s="21"/>
      <c r="P468" s="21"/>
    </row>
    <row r="469" spans="12:16">
      <c r="L469" s="21"/>
      <c r="M469" s="21"/>
      <c r="P469" s="21"/>
    </row>
    <row r="470" spans="12:16">
      <c r="L470" s="21"/>
      <c r="M470" s="21"/>
      <c r="P470" s="21"/>
    </row>
    <row r="471" spans="12:16">
      <c r="L471" s="21"/>
      <c r="M471" s="21"/>
      <c r="P471" s="21"/>
    </row>
    <row r="472" spans="12:16">
      <c r="L472" s="21"/>
      <c r="M472" s="21"/>
      <c r="P472" s="21"/>
    </row>
    <row r="473" spans="12:16">
      <c r="L473" s="21"/>
      <c r="M473" s="21"/>
      <c r="P473" s="21"/>
    </row>
    <row r="474" spans="12:16">
      <c r="L474" s="21"/>
      <c r="M474" s="21"/>
      <c r="P474" s="21"/>
    </row>
    <row r="475" spans="12:16">
      <c r="L475" s="21"/>
      <c r="M475" s="21"/>
      <c r="P475" s="21"/>
    </row>
    <row r="476" spans="12:16">
      <c r="L476" s="21"/>
      <c r="M476" s="21"/>
      <c r="P476" s="21"/>
    </row>
    <row r="477" spans="12:16">
      <c r="L477" s="21"/>
      <c r="M477" s="21"/>
      <c r="P477" s="21"/>
    </row>
    <row r="478" spans="12:16">
      <c r="L478" s="21"/>
      <c r="M478" s="21"/>
      <c r="P478" s="21"/>
    </row>
    <row r="479" spans="12:16">
      <c r="L479" s="21"/>
      <c r="M479" s="21"/>
      <c r="P479" s="21"/>
    </row>
    <row r="480" spans="12:16">
      <c r="L480" s="21"/>
      <c r="M480" s="21"/>
      <c r="P480" s="21"/>
    </row>
    <row r="481" spans="12:16">
      <c r="L481" s="21"/>
      <c r="M481" s="21"/>
      <c r="P481" s="21"/>
    </row>
    <row r="482" spans="12:16">
      <c r="L482" s="21"/>
      <c r="M482" s="21"/>
      <c r="P482" s="21"/>
    </row>
    <row r="483" spans="12:16">
      <c r="L483" s="21"/>
      <c r="M483" s="21"/>
      <c r="P483" s="21"/>
    </row>
    <row r="484" spans="12:16">
      <c r="L484" s="21"/>
      <c r="M484" s="21"/>
      <c r="P484" s="21"/>
    </row>
    <row r="485" spans="12:16">
      <c r="L485" s="21"/>
      <c r="M485" s="21"/>
      <c r="P485" s="21"/>
    </row>
    <row r="486" spans="12:16">
      <c r="L486" s="21"/>
      <c r="M486" s="21"/>
      <c r="P486" s="21"/>
    </row>
    <row r="487" spans="12:16">
      <c r="L487" s="21"/>
      <c r="M487" s="21"/>
      <c r="P487" s="21"/>
    </row>
    <row r="488" spans="12:16">
      <c r="L488" s="21"/>
      <c r="M488" s="21"/>
      <c r="P488" s="21"/>
    </row>
    <row r="489" spans="12:16">
      <c r="L489" s="21"/>
      <c r="M489" s="21"/>
      <c r="P489" s="21"/>
    </row>
    <row r="490" spans="12:16">
      <c r="L490" s="21"/>
      <c r="M490" s="21"/>
      <c r="P490" s="21"/>
    </row>
    <row r="491" spans="12:16">
      <c r="L491" s="21"/>
      <c r="M491" s="21"/>
      <c r="P491" s="21"/>
    </row>
    <row r="492" spans="12:16">
      <c r="L492" s="21"/>
      <c r="M492" s="21"/>
      <c r="P492" s="21"/>
    </row>
    <row r="493" spans="12:16">
      <c r="L493" s="21"/>
      <c r="M493" s="21"/>
      <c r="P493" s="21"/>
    </row>
    <row r="494" spans="12:16">
      <c r="L494" s="21"/>
      <c r="M494" s="21"/>
      <c r="P494" s="21"/>
    </row>
    <row r="495" spans="12:16">
      <c r="L495" s="21"/>
      <c r="M495" s="21"/>
      <c r="P495" s="21"/>
    </row>
    <row r="496" spans="12:16">
      <c r="L496" s="21"/>
      <c r="M496" s="21"/>
      <c r="P496" s="21"/>
    </row>
    <row r="497" spans="12:16">
      <c r="L497" s="21"/>
      <c r="M497" s="21"/>
      <c r="P497" s="21"/>
    </row>
    <row r="498" spans="12:16">
      <c r="L498" s="21"/>
      <c r="M498" s="21"/>
      <c r="P498" s="21"/>
    </row>
    <row r="499" spans="12:16">
      <c r="L499" s="21"/>
      <c r="M499" s="21"/>
      <c r="P499" s="21"/>
    </row>
    <row r="500" spans="12:16">
      <c r="L500" s="21"/>
      <c r="M500" s="21"/>
      <c r="P500" s="21"/>
    </row>
    <row r="501" spans="12:16">
      <c r="L501" s="21"/>
      <c r="M501" s="21"/>
      <c r="P501" s="21"/>
    </row>
    <row r="502" spans="12:16">
      <c r="L502" s="21"/>
      <c r="M502" s="21"/>
      <c r="P502" s="21"/>
    </row>
    <row r="503" spans="12:16">
      <c r="L503" s="21"/>
      <c r="M503" s="21"/>
      <c r="P503" s="21"/>
    </row>
    <row r="504" spans="12:16">
      <c r="L504" s="21"/>
      <c r="M504" s="21"/>
      <c r="P504" s="21"/>
    </row>
    <row r="505" spans="12:16">
      <c r="L505" s="21"/>
      <c r="M505" s="21"/>
      <c r="P505" s="21"/>
    </row>
    <row r="506" spans="12:16">
      <c r="L506" s="21"/>
      <c r="M506" s="21"/>
      <c r="P506" s="21"/>
    </row>
    <row r="507" spans="12:16">
      <c r="L507" s="21"/>
      <c r="M507" s="21"/>
      <c r="P507" s="21"/>
    </row>
    <row r="508" spans="12:16">
      <c r="L508" s="21"/>
      <c r="M508" s="21"/>
      <c r="P508" s="21"/>
    </row>
    <row r="509" spans="12:16">
      <c r="L509" s="21"/>
      <c r="M509" s="21"/>
      <c r="P509" s="21"/>
    </row>
    <row r="510" spans="12:16">
      <c r="L510" s="21"/>
      <c r="M510" s="21"/>
      <c r="P510" s="21"/>
    </row>
    <row r="511" spans="12:16">
      <c r="L511" s="21"/>
      <c r="M511" s="21"/>
      <c r="P511" s="21"/>
    </row>
    <row r="512" spans="12:16">
      <c r="L512" s="21"/>
      <c r="M512" s="21"/>
      <c r="P512" s="21"/>
    </row>
    <row r="513" spans="12:16">
      <c r="L513" s="21"/>
      <c r="M513" s="21"/>
      <c r="P513" s="21"/>
    </row>
    <row r="514" spans="12:16">
      <c r="L514" s="21"/>
      <c r="M514" s="21"/>
      <c r="P514" s="21"/>
    </row>
    <row r="515" spans="12:16">
      <c r="L515" s="21"/>
      <c r="M515" s="21"/>
      <c r="P515" s="21"/>
    </row>
    <row r="516" spans="12:16">
      <c r="L516" s="21"/>
      <c r="M516" s="21"/>
      <c r="P516" s="21"/>
    </row>
    <row r="517" spans="12:16">
      <c r="L517" s="21"/>
      <c r="M517" s="21"/>
      <c r="P517" s="21"/>
    </row>
    <row r="518" spans="12:16">
      <c r="L518" s="21"/>
      <c r="M518" s="21"/>
      <c r="P518" s="21"/>
    </row>
    <row r="519" spans="12:16">
      <c r="L519" s="21"/>
      <c r="M519" s="21"/>
      <c r="P519" s="21"/>
    </row>
    <row r="520" spans="12:16">
      <c r="L520" s="21"/>
      <c r="M520" s="21"/>
      <c r="P520" s="21"/>
    </row>
    <row r="521" spans="12:16">
      <c r="L521" s="21"/>
      <c r="M521" s="21"/>
      <c r="P521" s="21"/>
    </row>
    <row r="522" spans="12:16">
      <c r="L522" s="21"/>
      <c r="M522" s="21"/>
      <c r="P522" s="21"/>
    </row>
    <row r="523" spans="12:16">
      <c r="L523" s="21"/>
      <c r="M523" s="21"/>
      <c r="P523" s="21"/>
    </row>
    <row r="524" spans="12:16">
      <c r="L524" s="21"/>
      <c r="M524" s="21"/>
      <c r="P524" s="21"/>
    </row>
    <row r="525" spans="12:16">
      <c r="L525" s="21"/>
      <c r="M525" s="21"/>
      <c r="P525" s="21"/>
    </row>
    <row r="526" spans="12:16">
      <c r="L526" s="21"/>
      <c r="M526" s="21"/>
      <c r="P526" s="21"/>
    </row>
    <row r="527" spans="12:16">
      <c r="L527" s="21"/>
      <c r="M527" s="21"/>
      <c r="P527" s="21"/>
    </row>
    <row r="528" spans="12:16">
      <c r="L528" s="21"/>
      <c r="M528" s="21"/>
      <c r="P528" s="21"/>
    </row>
    <row r="529" spans="12:16">
      <c r="L529" s="21"/>
      <c r="M529" s="21"/>
      <c r="P529" s="21"/>
    </row>
    <row r="530" spans="12:16">
      <c r="L530" s="21"/>
      <c r="M530" s="21"/>
      <c r="P530" s="21"/>
    </row>
    <row r="531" spans="12:16">
      <c r="L531" s="21"/>
      <c r="M531" s="21"/>
      <c r="P531" s="21"/>
    </row>
    <row r="532" spans="12:16">
      <c r="L532" s="21"/>
      <c r="M532" s="21"/>
      <c r="P532" s="21"/>
    </row>
    <row r="533" spans="12:16">
      <c r="L533" s="21"/>
      <c r="M533" s="21"/>
      <c r="P533" s="21"/>
    </row>
    <row r="534" spans="12:16">
      <c r="L534" s="21"/>
      <c r="M534" s="21"/>
      <c r="P534" s="21"/>
    </row>
    <row r="535" spans="12:16">
      <c r="L535" s="21"/>
      <c r="M535" s="21"/>
      <c r="P535" s="21"/>
    </row>
    <row r="536" spans="12:16">
      <c r="L536" s="21"/>
      <c r="M536" s="21"/>
      <c r="P536" s="21"/>
    </row>
    <row r="537" spans="12:16">
      <c r="L537" s="21"/>
      <c r="M537" s="21"/>
      <c r="P537" s="21"/>
    </row>
    <row r="538" spans="12:16">
      <c r="L538" s="21"/>
      <c r="M538" s="21"/>
      <c r="P538" s="21"/>
    </row>
    <row r="539" spans="12:16">
      <c r="L539" s="21"/>
      <c r="M539" s="21"/>
      <c r="P539" s="21"/>
    </row>
    <row r="540" spans="12:16">
      <c r="L540" s="21"/>
      <c r="M540" s="21"/>
      <c r="P540" s="21"/>
    </row>
    <row r="541" spans="12:16">
      <c r="L541" s="21"/>
      <c r="M541" s="21"/>
      <c r="P541" s="21"/>
    </row>
    <row r="542" spans="12:16">
      <c r="L542" s="21"/>
      <c r="M542" s="21"/>
      <c r="P542" s="21"/>
    </row>
    <row r="543" spans="12:16">
      <c r="L543" s="21"/>
      <c r="M543" s="21"/>
      <c r="P543" s="21"/>
    </row>
    <row r="544" spans="12:16">
      <c r="L544" s="21"/>
      <c r="M544" s="21"/>
      <c r="P544" s="21"/>
    </row>
    <row r="545" spans="12:16">
      <c r="L545" s="21"/>
      <c r="M545" s="21"/>
      <c r="P545" s="21"/>
    </row>
    <row r="546" spans="12:16">
      <c r="L546" s="21"/>
      <c r="M546" s="21"/>
      <c r="P546" s="21"/>
    </row>
    <row r="547" spans="12:16">
      <c r="L547" s="21"/>
      <c r="M547" s="21"/>
      <c r="P547" s="21"/>
    </row>
    <row r="548" spans="12:16">
      <c r="L548" s="21"/>
      <c r="M548" s="21"/>
      <c r="P548" s="21"/>
    </row>
    <row r="549" spans="12:16">
      <c r="L549" s="21"/>
      <c r="M549" s="21"/>
      <c r="P549" s="21"/>
    </row>
    <row r="550" spans="12:16">
      <c r="L550" s="21"/>
      <c r="M550" s="21"/>
      <c r="P550" s="21"/>
    </row>
    <row r="551" spans="12:16">
      <c r="L551" s="21"/>
      <c r="M551" s="21"/>
      <c r="P551" s="21"/>
    </row>
    <row r="552" spans="12:16">
      <c r="L552" s="21"/>
      <c r="M552" s="21"/>
      <c r="P552" s="21"/>
    </row>
    <row r="553" spans="12:16">
      <c r="L553" s="21"/>
      <c r="M553" s="21"/>
      <c r="P553" s="21"/>
    </row>
    <row r="554" spans="12:16">
      <c r="L554" s="21"/>
      <c r="M554" s="21"/>
      <c r="P554" s="21"/>
    </row>
    <row r="555" spans="12:16">
      <c r="L555" s="21"/>
      <c r="M555" s="21"/>
      <c r="P555" s="21"/>
    </row>
    <row r="556" spans="12:16">
      <c r="L556" s="21"/>
      <c r="M556" s="21"/>
      <c r="P556" s="21"/>
    </row>
    <row r="557" spans="12:16">
      <c r="L557" s="21"/>
      <c r="M557" s="21"/>
      <c r="P557" s="21"/>
    </row>
    <row r="558" spans="12:16">
      <c r="L558" s="21"/>
      <c r="M558" s="21"/>
      <c r="P558" s="21"/>
    </row>
    <row r="559" spans="12:16">
      <c r="L559" s="21"/>
      <c r="M559" s="21"/>
      <c r="P559" s="21"/>
    </row>
    <row r="560" spans="12:16">
      <c r="L560" s="21"/>
      <c r="M560" s="21"/>
      <c r="P560" s="21"/>
    </row>
    <row r="561" spans="12:16">
      <c r="L561" s="21"/>
      <c r="M561" s="21"/>
      <c r="P561" s="21"/>
    </row>
    <row r="562" spans="12:16">
      <c r="L562" s="21"/>
      <c r="M562" s="21"/>
      <c r="P562" s="21"/>
    </row>
    <row r="563" spans="12:16">
      <c r="L563" s="21"/>
      <c r="M563" s="21"/>
      <c r="P563" s="21"/>
    </row>
    <row r="564" spans="12:16">
      <c r="L564" s="21"/>
      <c r="M564" s="21"/>
      <c r="P564" s="21"/>
    </row>
    <row r="565" spans="12:16">
      <c r="L565" s="21"/>
      <c r="M565" s="21"/>
      <c r="P565" s="21"/>
    </row>
    <row r="566" spans="12:16">
      <c r="L566" s="21"/>
      <c r="M566" s="21"/>
      <c r="P566" s="21"/>
    </row>
    <row r="567" spans="12:16">
      <c r="L567" s="21"/>
      <c r="M567" s="21"/>
      <c r="P567" s="21"/>
    </row>
    <row r="568" spans="12:16">
      <c r="L568" s="21"/>
      <c r="M568" s="21"/>
      <c r="P568" s="21"/>
    </row>
    <row r="569" spans="12:16">
      <c r="L569" s="21"/>
      <c r="M569" s="21"/>
      <c r="P569" s="21"/>
    </row>
    <row r="570" spans="12:16">
      <c r="L570" s="21"/>
      <c r="M570" s="21"/>
      <c r="P570" s="21"/>
    </row>
    <row r="571" spans="12:16">
      <c r="L571" s="21"/>
      <c r="M571" s="21"/>
      <c r="P571" s="21"/>
    </row>
    <row r="572" spans="12:16">
      <c r="L572" s="21"/>
      <c r="M572" s="21"/>
      <c r="P572" s="21"/>
    </row>
    <row r="573" spans="12:16">
      <c r="L573" s="21"/>
      <c r="M573" s="21"/>
      <c r="P573" s="21"/>
    </row>
    <row r="574" spans="12:16">
      <c r="L574" s="21"/>
      <c r="M574" s="21"/>
      <c r="P574" s="21"/>
    </row>
    <row r="575" spans="12:16">
      <c r="L575" s="21"/>
      <c r="M575" s="21"/>
      <c r="P575" s="21"/>
    </row>
    <row r="576" spans="12:16">
      <c r="L576" s="21"/>
      <c r="M576" s="21"/>
      <c r="P576" s="21"/>
    </row>
    <row r="577" spans="12:16">
      <c r="L577" s="21"/>
      <c r="M577" s="21"/>
      <c r="P577" s="21"/>
    </row>
    <row r="578" spans="12:16">
      <c r="L578" s="21"/>
      <c r="M578" s="21"/>
      <c r="P578" s="21"/>
    </row>
    <row r="579" spans="12:16">
      <c r="L579" s="21"/>
      <c r="M579" s="21"/>
      <c r="P579" s="21"/>
    </row>
    <row r="580" spans="12:16">
      <c r="L580" s="21"/>
      <c r="M580" s="21"/>
      <c r="P580" s="21"/>
    </row>
    <row r="581" spans="12:16">
      <c r="L581" s="21"/>
      <c r="M581" s="21"/>
      <c r="P581" s="21"/>
    </row>
    <row r="582" spans="12:16">
      <c r="L582" s="21"/>
      <c r="M582" s="21"/>
      <c r="P582" s="21"/>
    </row>
    <row r="583" spans="12:16">
      <c r="L583" s="21"/>
      <c r="M583" s="21"/>
      <c r="P583" s="21"/>
    </row>
    <row r="584" spans="12:16">
      <c r="L584" s="21"/>
      <c r="M584" s="21"/>
      <c r="P584" s="21"/>
    </row>
    <row r="585" spans="12:16">
      <c r="L585" s="21"/>
      <c r="M585" s="21"/>
      <c r="P585" s="21"/>
    </row>
    <row r="586" spans="12:16">
      <c r="L586" s="21"/>
      <c r="M586" s="21"/>
      <c r="P586" s="21"/>
    </row>
    <row r="587" spans="12:16">
      <c r="L587" s="21"/>
      <c r="M587" s="21"/>
      <c r="P587" s="21"/>
    </row>
    <row r="588" spans="12:16">
      <c r="L588" s="21"/>
      <c r="M588" s="21"/>
      <c r="P588" s="21"/>
    </row>
    <row r="589" spans="12:16">
      <c r="L589" s="21"/>
      <c r="M589" s="21"/>
      <c r="P589" s="21"/>
    </row>
    <row r="590" spans="12:16">
      <c r="L590" s="21"/>
      <c r="M590" s="21"/>
      <c r="P590" s="21"/>
    </row>
    <row r="591" spans="12:16">
      <c r="L591" s="21"/>
      <c r="M591" s="21"/>
      <c r="P591" s="21"/>
    </row>
    <row r="592" spans="12:16">
      <c r="L592" s="21"/>
      <c r="M592" s="21"/>
      <c r="P592" s="21"/>
    </row>
    <row r="593" spans="12:16">
      <c r="L593" s="21"/>
      <c r="M593" s="21"/>
      <c r="P593" s="21"/>
    </row>
    <row r="594" spans="12:16">
      <c r="L594" s="21"/>
      <c r="M594" s="21"/>
      <c r="P594" s="21"/>
    </row>
    <row r="595" spans="12:16">
      <c r="L595" s="21"/>
      <c r="M595" s="21"/>
      <c r="P595" s="21"/>
    </row>
    <row r="596" spans="12:16">
      <c r="L596" s="21"/>
      <c r="M596" s="21"/>
      <c r="P596" s="21"/>
    </row>
    <row r="597" spans="12:16">
      <c r="L597" s="21"/>
      <c r="M597" s="21"/>
      <c r="P597" s="21"/>
    </row>
    <row r="598" spans="12:16">
      <c r="L598" s="21"/>
      <c r="M598" s="21"/>
      <c r="P598" s="21"/>
    </row>
    <row r="599" spans="12:16">
      <c r="L599" s="21"/>
      <c r="M599" s="21"/>
      <c r="P599" s="21"/>
    </row>
    <row r="600" spans="12:16">
      <c r="L600" s="21"/>
      <c r="M600" s="21"/>
      <c r="P600" s="21"/>
    </row>
    <row r="601" spans="12:16">
      <c r="L601" s="21"/>
      <c r="M601" s="21"/>
      <c r="P601" s="21"/>
    </row>
    <row r="602" spans="12:16">
      <c r="L602" s="21"/>
      <c r="M602" s="21"/>
      <c r="P602" s="21"/>
    </row>
    <row r="603" spans="12:16">
      <c r="L603" s="21"/>
      <c r="M603" s="21"/>
      <c r="P603" s="21"/>
    </row>
    <row r="604" spans="12:16">
      <c r="L604" s="21"/>
      <c r="M604" s="21"/>
      <c r="P604" s="21"/>
    </row>
    <row r="605" spans="12:16">
      <c r="L605" s="21"/>
      <c r="M605" s="21"/>
      <c r="P605" s="21"/>
    </row>
    <row r="606" spans="12:16">
      <c r="L606" s="21"/>
      <c r="M606" s="21"/>
      <c r="P606" s="21"/>
    </row>
    <row r="607" spans="12:16">
      <c r="L607" s="21"/>
      <c r="M607" s="21"/>
      <c r="P607" s="21"/>
    </row>
    <row r="608" spans="12:16">
      <c r="L608" s="21"/>
      <c r="M608" s="21"/>
      <c r="P608" s="21"/>
    </row>
    <row r="609" spans="12:16">
      <c r="L609" s="21"/>
      <c r="M609" s="21"/>
      <c r="P609" s="21"/>
    </row>
    <row r="610" spans="12:16">
      <c r="L610" s="21"/>
      <c r="M610" s="21"/>
      <c r="P610" s="21"/>
    </row>
    <row r="611" spans="12:16">
      <c r="L611" s="21"/>
      <c r="M611" s="21"/>
      <c r="P611" s="21"/>
    </row>
    <row r="612" spans="12:16">
      <c r="L612" s="21"/>
      <c r="M612" s="21"/>
      <c r="P612" s="21"/>
    </row>
    <row r="613" spans="12:16">
      <c r="L613" s="21"/>
      <c r="M613" s="21"/>
      <c r="P613" s="21"/>
    </row>
    <row r="614" spans="12:16">
      <c r="L614" s="21"/>
      <c r="M614" s="21"/>
      <c r="P614" s="21"/>
    </row>
    <row r="615" spans="12:16">
      <c r="L615" s="21"/>
      <c r="M615" s="21"/>
      <c r="P615" s="21"/>
    </row>
    <row r="616" spans="12:16">
      <c r="L616" s="21"/>
      <c r="M616" s="21"/>
      <c r="P616" s="21"/>
    </row>
    <row r="617" spans="12:16">
      <c r="L617" s="21"/>
      <c r="M617" s="21"/>
      <c r="P617" s="21"/>
    </row>
    <row r="618" spans="12:16">
      <c r="L618" s="21"/>
      <c r="M618" s="21"/>
      <c r="P618" s="21"/>
    </row>
    <row r="619" spans="12:16">
      <c r="L619" s="21"/>
      <c r="M619" s="21"/>
      <c r="P619" s="21"/>
    </row>
    <row r="620" spans="12:16">
      <c r="L620" s="21"/>
      <c r="M620" s="21"/>
      <c r="P620" s="21"/>
    </row>
    <row r="621" spans="12:16">
      <c r="L621" s="21"/>
      <c r="M621" s="21"/>
      <c r="P621" s="21"/>
    </row>
    <row r="622" spans="12:16">
      <c r="L622" s="21"/>
      <c r="M622" s="21"/>
      <c r="P622" s="21"/>
    </row>
    <row r="623" spans="12:16">
      <c r="L623" s="21"/>
      <c r="M623" s="21"/>
      <c r="P623" s="21"/>
    </row>
    <row r="624" spans="12:16">
      <c r="L624" s="21"/>
      <c r="M624" s="21"/>
      <c r="P624" s="21"/>
    </row>
    <row r="625" spans="12:16">
      <c r="L625" s="21"/>
      <c r="M625" s="21"/>
      <c r="P625" s="21"/>
    </row>
    <row r="626" spans="12:16">
      <c r="L626" s="21"/>
      <c r="M626" s="21"/>
      <c r="P626" s="21"/>
    </row>
    <row r="627" spans="12:16">
      <c r="L627" s="21"/>
      <c r="M627" s="21"/>
      <c r="P627" s="21"/>
    </row>
    <row r="628" spans="12:16">
      <c r="L628" s="21"/>
      <c r="M628" s="21"/>
      <c r="P628" s="21"/>
    </row>
    <row r="629" spans="12:16">
      <c r="L629" s="21"/>
      <c r="M629" s="21"/>
      <c r="P629" s="21"/>
    </row>
    <row r="630" spans="12:16">
      <c r="L630" s="21"/>
      <c r="M630" s="21"/>
      <c r="P630" s="21"/>
    </row>
    <row r="631" spans="12:16">
      <c r="L631" s="21"/>
      <c r="M631" s="21"/>
      <c r="P631" s="21"/>
    </row>
    <row r="632" spans="12:16">
      <c r="L632" s="21"/>
      <c r="M632" s="21"/>
      <c r="P632" s="21"/>
    </row>
    <row r="633" spans="12:16">
      <c r="L633" s="21"/>
      <c r="M633" s="21"/>
      <c r="P633" s="21"/>
    </row>
    <row r="634" spans="12:16">
      <c r="L634" s="21"/>
      <c r="M634" s="21"/>
      <c r="P634" s="21"/>
    </row>
    <row r="635" spans="12:16">
      <c r="L635" s="21"/>
      <c r="M635" s="21"/>
      <c r="P635" s="21"/>
    </row>
    <row r="636" spans="12:16">
      <c r="L636" s="21"/>
      <c r="M636" s="21"/>
      <c r="P636" s="21"/>
    </row>
    <row r="637" spans="12:16">
      <c r="L637" s="21"/>
      <c r="M637" s="21"/>
      <c r="P637" s="21"/>
    </row>
    <row r="638" spans="12:16">
      <c r="L638" s="21"/>
      <c r="M638" s="21"/>
      <c r="P638" s="21"/>
    </row>
    <row r="639" spans="12:16">
      <c r="L639" s="21"/>
      <c r="M639" s="21"/>
      <c r="P639" s="21"/>
    </row>
    <row r="640" spans="12:16">
      <c r="L640" s="21"/>
      <c r="M640" s="21"/>
      <c r="P640" s="21"/>
    </row>
    <row r="641" spans="12:16">
      <c r="L641" s="21"/>
      <c r="M641" s="21"/>
      <c r="P641" s="21"/>
    </row>
    <row r="642" spans="12:16">
      <c r="L642" s="21"/>
      <c r="M642" s="21"/>
      <c r="P642" s="21"/>
    </row>
    <row r="643" spans="12:16">
      <c r="L643" s="21"/>
      <c r="M643" s="21"/>
      <c r="P643" s="21"/>
    </row>
    <row r="644" spans="12:16">
      <c r="L644" s="21"/>
      <c r="M644" s="21"/>
      <c r="P644" s="21"/>
    </row>
    <row r="645" spans="12:16">
      <c r="L645" s="21"/>
      <c r="M645" s="21"/>
      <c r="P645" s="21"/>
    </row>
    <row r="646" spans="12:16">
      <c r="L646" s="21"/>
      <c r="M646" s="21"/>
      <c r="P646" s="21"/>
    </row>
    <row r="647" spans="12:16">
      <c r="L647" s="21"/>
      <c r="M647" s="21"/>
      <c r="P647" s="21"/>
    </row>
    <row r="648" spans="12:16">
      <c r="L648" s="21"/>
      <c r="M648" s="21"/>
      <c r="P648" s="21"/>
    </row>
    <row r="649" spans="12:16">
      <c r="L649" s="21"/>
      <c r="M649" s="21"/>
      <c r="P649" s="21"/>
    </row>
    <row r="650" spans="12:16">
      <c r="L650" s="21"/>
      <c r="M650" s="21"/>
      <c r="P650" s="21"/>
    </row>
    <row r="651" spans="12:16">
      <c r="L651" s="21"/>
      <c r="M651" s="21"/>
      <c r="P651" s="21"/>
    </row>
    <row r="652" spans="12:16">
      <c r="L652" s="21"/>
      <c r="M652" s="21"/>
      <c r="P652" s="21"/>
    </row>
    <row r="653" spans="12:16">
      <c r="L653" s="21"/>
      <c r="M653" s="21"/>
      <c r="P653" s="21"/>
    </row>
    <row r="654" spans="12:16">
      <c r="L654" s="21"/>
      <c r="M654" s="21"/>
      <c r="P654" s="21"/>
    </row>
    <row r="655" spans="12:16">
      <c r="L655" s="21"/>
      <c r="M655" s="21"/>
      <c r="P655" s="21"/>
    </row>
    <row r="656" spans="12:16">
      <c r="L656" s="21"/>
      <c r="M656" s="21"/>
      <c r="P656" s="21"/>
    </row>
    <row r="657" spans="12:16">
      <c r="L657" s="21"/>
      <c r="M657" s="21"/>
      <c r="P657" s="21"/>
    </row>
    <row r="658" spans="12:16">
      <c r="L658" s="21"/>
      <c r="M658" s="21"/>
      <c r="P658" s="21"/>
    </row>
    <row r="659" spans="12:16">
      <c r="L659" s="21"/>
      <c r="M659" s="21"/>
      <c r="P659" s="21"/>
    </row>
    <row r="660" spans="12:16">
      <c r="L660" s="21"/>
      <c r="M660" s="21"/>
      <c r="P660" s="21"/>
    </row>
    <row r="661" spans="12:16">
      <c r="L661" s="21"/>
      <c r="M661" s="21"/>
      <c r="P661" s="21"/>
    </row>
    <row r="662" spans="12:16">
      <c r="L662" s="21"/>
      <c r="M662" s="21"/>
      <c r="P662" s="21"/>
    </row>
    <row r="663" spans="12:16">
      <c r="L663" s="21"/>
      <c r="M663" s="21"/>
      <c r="P663" s="21"/>
    </row>
    <row r="664" spans="12:16">
      <c r="L664" s="21"/>
      <c r="M664" s="21"/>
      <c r="P664" s="21"/>
    </row>
    <row r="665" spans="12:16">
      <c r="L665" s="21"/>
      <c r="M665" s="21"/>
      <c r="P665" s="21"/>
    </row>
    <row r="666" spans="12:16">
      <c r="L666" s="21"/>
      <c r="M666" s="21"/>
      <c r="P666" s="21"/>
    </row>
    <row r="667" spans="12:16">
      <c r="L667" s="21"/>
      <c r="M667" s="21"/>
      <c r="P667" s="21"/>
    </row>
    <row r="668" spans="12:16">
      <c r="L668" s="21"/>
      <c r="M668" s="21"/>
      <c r="P668" s="21"/>
    </row>
    <row r="669" spans="12:16">
      <c r="L669" s="21"/>
      <c r="M669" s="21"/>
      <c r="P669" s="21"/>
    </row>
    <row r="670" spans="12:16">
      <c r="L670" s="21"/>
      <c r="M670" s="21"/>
      <c r="P670" s="21"/>
    </row>
    <row r="671" spans="12:16">
      <c r="L671" s="21"/>
      <c r="M671" s="21"/>
      <c r="P671" s="21"/>
    </row>
    <row r="672" spans="12:16">
      <c r="L672" s="21"/>
      <c r="M672" s="21"/>
      <c r="P672" s="21"/>
    </row>
    <row r="673" spans="12:16">
      <c r="L673" s="21"/>
      <c r="M673" s="21"/>
      <c r="P673" s="21"/>
    </row>
    <row r="674" spans="12:16">
      <c r="L674" s="21"/>
      <c r="M674" s="21"/>
      <c r="P674" s="21"/>
    </row>
    <row r="675" spans="12:16">
      <c r="L675" s="21"/>
      <c r="M675" s="21"/>
      <c r="P675" s="21"/>
    </row>
    <row r="676" spans="12:16">
      <c r="L676" s="21"/>
      <c r="M676" s="21"/>
      <c r="P676" s="21"/>
    </row>
    <row r="677" spans="12:16">
      <c r="L677" s="21"/>
      <c r="M677" s="21"/>
      <c r="P677" s="21"/>
    </row>
    <row r="678" spans="12:16">
      <c r="L678" s="21"/>
      <c r="M678" s="21"/>
      <c r="P678" s="21"/>
    </row>
    <row r="679" spans="12:16">
      <c r="L679" s="21"/>
      <c r="M679" s="21"/>
      <c r="P679" s="21"/>
    </row>
    <row r="680" spans="12:16">
      <c r="L680" s="21"/>
      <c r="M680" s="21"/>
      <c r="P680" s="21"/>
    </row>
    <row r="681" spans="12:16">
      <c r="L681" s="21"/>
      <c r="M681" s="21"/>
      <c r="P681" s="21"/>
    </row>
    <row r="682" spans="12:16">
      <c r="L682" s="21"/>
      <c r="M682" s="21"/>
      <c r="P682" s="21"/>
    </row>
    <row r="683" spans="12:16">
      <c r="L683" s="21"/>
      <c r="M683" s="21"/>
      <c r="P683" s="21"/>
    </row>
    <row r="684" spans="12:16">
      <c r="L684" s="21"/>
      <c r="M684" s="21"/>
      <c r="P684" s="21"/>
    </row>
    <row r="685" spans="12:16">
      <c r="L685" s="21"/>
      <c r="M685" s="21"/>
      <c r="P685" s="21"/>
    </row>
    <row r="686" spans="12:16">
      <c r="L686" s="21"/>
      <c r="M686" s="21"/>
      <c r="P686" s="21"/>
    </row>
    <row r="687" spans="12:16">
      <c r="L687" s="21"/>
      <c r="M687" s="21"/>
      <c r="P687" s="21"/>
    </row>
    <row r="688" spans="12:16">
      <c r="L688" s="21"/>
      <c r="M688" s="21"/>
      <c r="P688" s="21"/>
    </row>
    <row r="689" spans="12:16">
      <c r="L689" s="21"/>
      <c r="M689" s="21"/>
      <c r="P689" s="21"/>
    </row>
    <row r="690" spans="12:16">
      <c r="L690" s="21"/>
      <c r="M690" s="21"/>
      <c r="P690" s="21"/>
    </row>
    <row r="691" spans="12:16">
      <c r="L691" s="21"/>
      <c r="M691" s="21"/>
      <c r="P691" s="21"/>
    </row>
    <row r="692" spans="12:16">
      <c r="L692" s="21"/>
      <c r="M692" s="21"/>
      <c r="P692" s="21"/>
    </row>
    <row r="693" spans="12:16">
      <c r="L693" s="21"/>
      <c r="M693" s="21"/>
      <c r="P693" s="21"/>
    </row>
    <row r="694" spans="12:16">
      <c r="L694" s="21"/>
      <c r="M694" s="21"/>
      <c r="P694" s="21"/>
    </row>
    <row r="695" spans="12:16">
      <c r="L695" s="21"/>
      <c r="M695" s="21"/>
      <c r="P695" s="21"/>
    </row>
    <row r="696" spans="12:16">
      <c r="L696" s="21"/>
      <c r="M696" s="21"/>
      <c r="P696" s="21"/>
    </row>
    <row r="697" spans="12:16">
      <c r="L697" s="21"/>
      <c r="M697" s="21"/>
      <c r="P697" s="21"/>
    </row>
    <row r="698" spans="12:16">
      <c r="L698" s="21"/>
      <c r="M698" s="21"/>
      <c r="P698" s="21"/>
    </row>
    <row r="699" spans="12:16">
      <c r="L699" s="21"/>
      <c r="M699" s="21"/>
      <c r="P699" s="21"/>
    </row>
    <row r="700" spans="12:16">
      <c r="L700" s="21"/>
      <c r="M700" s="21"/>
      <c r="P700" s="21"/>
    </row>
    <row r="701" spans="12:16">
      <c r="L701" s="21"/>
      <c r="M701" s="21"/>
      <c r="P701" s="21"/>
    </row>
    <row r="702" spans="12:16">
      <c r="L702" s="21"/>
      <c r="M702" s="21"/>
      <c r="P702" s="21"/>
    </row>
    <row r="703" spans="12:16">
      <c r="L703" s="21"/>
      <c r="M703" s="21"/>
      <c r="P703" s="21"/>
    </row>
    <row r="704" spans="12:16">
      <c r="L704" s="21"/>
      <c r="M704" s="21"/>
      <c r="P704" s="21"/>
    </row>
    <row r="705" spans="12:16">
      <c r="L705" s="21"/>
      <c r="M705" s="21"/>
      <c r="P705" s="21"/>
    </row>
    <row r="706" spans="12:16">
      <c r="L706" s="21"/>
      <c r="M706" s="21"/>
      <c r="P706" s="21"/>
    </row>
    <row r="707" spans="12:16">
      <c r="L707" s="21"/>
      <c r="M707" s="21"/>
      <c r="P707" s="21"/>
    </row>
    <row r="708" spans="12:16">
      <c r="L708" s="21"/>
      <c r="M708" s="21"/>
      <c r="P708" s="21"/>
    </row>
    <row r="709" spans="12:16">
      <c r="L709" s="21"/>
      <c r="M709" s="21"/>
      <c r="P709" s="21"/>
    </row>
    <row r="710" spans="12:16">
      <c r="L710" s="21"/>
      <c r="M710" s="21"/>
      <c r="P710" s="21"/>
    </row>
    <row r="711" spans="12:16">
      <c r="L711" s="21"/>
      <c r="M711" s="21"/>
      <c r="P711" s="21"/>
    </row>
    <row r="712" spans="12:16">
      <c r="L712" s="21"/>
      <c r="M712" s="21"/>
      <c r="P712" s="21"/>
    </row>
    <row r="713" spans="12:16">
      <c r="L713" s="21"/>
      <c r="M713" s="21"/>
      <c r="P713" s="21"/>
    </row>
    <row r="714" spans="12:16">
      <c r="L714" s="21"/>
      <c r="M714" s="21"/>
      <c r="P714" s="21"/>
    </row>
    <row r="715" spans="12:16">
      <c r="L715" s="21"/>
      <c r="M715" s="21"/>
      <c r="P715" s="21"/>
    </row>
    <row r="716" spans="12:16">
      <c r="L716" s="21"/>
      <c r="M716" s="21"/>
      <c r="P716" s="21"/>
    </row>
    <row r="717" spans="12:16">
      <c r="L717" s="21"/>
      <c r="M717" s="21"/>
      <c r="P717" s="21"/>
    </row>
    <row r="718" spans="12:16">
      <c r="L718" s="21"/>
      <c r="M718" s="21"/>
      <c r="P718" s="21"/>
    </row>
    <row r="719" spans="12:16">
      <c r="L719" s="21"/>
      <c r="M719" s="21"/>
      <c r="P719" s="21"/>
    </row>
    <row r="720" spans="12:16">
      <c r="L720" s="21"/>
      <c r="M720" s="21"/>
      <c r="P720" s="21"/>
    </row>
    <row r="721" spans="12:16">
      <c r="L721" s="21"/>
      <c r="M721" s="21"/>
      <c r="P721" s="21"/>
    </row>
    <row r="722" spans="12:16">
      <c r="L722" s="21"/>
      <c r="M722" s="21"/>
      <c r="P722" s="21"/>
    </row>
    <row r="723" spans="12:16">
      <c r="L723" s="21"/>
      <c r="M723" s="21"/>
      <c r="P723" s="21"/>
    </row>
    <row r="724" spans="12:16">
      <c r="L724" s="21"/>
      <c r="M724" s="21"/>
      <c r="P724" s="21"/>
    </row>
    <row r="725" spans="12:16">
      <c r="L725" s="21"/>
      <c r="M725" s="21"/>
      <c r="P725" s="21"/>
    </row>
    <row r="726" spans="12:16">
      <c r="L726" s="21"/>
      <c r="M726" s="21"/>
      <c r="P726" s="21"/>
    </row>
    <row r="727" spans="12:16">
      <c r="L727" s="21"/>
      <c r="M727" s="21"/>
      <c r="P727" s="21"/>
    </row>
    <row r="728" spans="12:16">
      <c r="L728" s="21"/>
      <c r="M728" s="21"/>
      <c r="P728" s="21"/>
    </row>
    <row r="729" spans="12:16">
      <c r="L729" s="21"/>
      <c r="M729" s="21"/>
      <c r="P729" s="21"/>
    </row>
    <row r="730" spans="12:16">
      <c r="L730" s="21"/>
      <c r="M730" s="21"/>
      <c r="P730" s="21"/>
    </row>
    <row r="731" spans="12:16">
      <c r="L731" s="21"/>
      <c r="M731" s="21"/>
      <c r="P731" s="21"/>
    </row>
    <row r="732" spans="12:16">
      <c r="L732" s="21"/>
      <c r="M732" s="21"/>
      <c r="P732" s="21"/>
    </row>
    <row r="733" spans="12:16">
      <c r="L733" s="21"/>
      <c r="M733" s="21"/>
      <c r="P733" s="21"/>
    </row>
    <row r="734" spans="12:16">
      <c r="L734" s="21"/>
      <c r="M734" s="21"/>
      <c r="P734" s="21"/>
    </row>
    <row r="735" spans="12:16">
      <c r="L735" s="21"/>
      <c r="M735" s="21"/>
      <c r="P735" s="21"/>
    </row>
    <row r="736" spans="12:16">
      <c r="L736" s="21"/>
      <c r="M736" s="21"/>
      <c r="P736" s="21"/>
    </row>
    <row r="737" spans="12:16">
      <c r="L737" s="21"/>
      <c r="M737" s="21"/>
      <c r="P737" s="21"/>
    </row>
    <row r="738" spans="12:16">
      <c r="L738" s="21"/>
      <c r="M738" s="21"/>
      <c r="P738" s="21"/>
    </row>
    <row r="739" spans="12:16">
      <c r="L739" s="21"/>
      <c r="M739" s="21"/>
      <c r="P739" s="21"/>
    </row>
    <row r="740" spans="12:16">
      <c r="L740" s="21"/>
      <c r="M740" s="21"/>
      <c r="P740" s="21"/>
    </row>
    <row r="741" spans="12:16">
      <c r="L741" s="21"/>
      <c r="M741" s="21"/>
      <c r="P741" s="21"/>
    </row>
    <row r="742" spans="12:16">
      <c r="L742" s="21"/>
      <c r="M742" s="21"/>
      <c r="P742" s="21"/>
    </row>
    <row r="743" spans="12:16">
      <c r="L743" s="21"/>
      <c r="M743" s="21"/>
      <c r="P743" s="21"/>
    </row>
    <row r="744" spans="12:16">
      <c r="L744" s="21"/>
      <c r="M744" s="21"/>
      <c r="P744" s="21"/>
    </row>
    <row r="745" spans="12:16">
      <c r="L745" s="21"/>
      <c r="M745" s="21"/>
      <c r="P745" s="21"/>
    </row>
    <row r="746" spans="12:16">
      <c r="L746" s="21"/>
      <c r="M746" s="21"/>
      <c r="P746" s="21"/>
    </row>
    <row r="747" spans="12:16">
      <c r="L747" s="21"/>
      <c r="M747" s="21"/>
      <c r="P747" s="21"/>
    </row>
    <row r="748" spans="12:16">
      <c r="L748" s="21"/>
      <c r="M748" s="21"/>
      <c r="P748" s="21"/>
    </row>
    <row r="749" spans="12:16">
      <c r="L749" s="21"/>
      <c r="M749" s="21"/>
      <c r="P749" s="21"/>
    </row>
    <row r="750" spans="12:16">
      <c r="L750" s="21"/>
      <c r="M750" s="21"/>
      <c r="P750" s="21"/>
    </row>
    <row r="751" spans="12:16">
      <c r="L751" s="21"/>
      <c r="M751" s="21"/>
      <c r="P751" s="21"/>
    </row>
    <row r="752" spans="12:16">
      <c r="L752" s="21"/>
      <c r="M752" s="21"/>
      <c r="P752" s="21"/>
    </row>
    <row r="753" spans="12:16">
      <c r="L753" s="21"/>
      <c r="M753" s="21"/>
      <c r="P753" s="21"/>
    </row>
    <row r="754" spans="12:16">
      <c r="L754" s="21"/>
      <c r="M754" s="21"/>
      <c r="P754" s="21"/>
    </row>
    <row r="755" spans="12:16">
      <c r="L755" s="21"/>
      <c r="M755" s="21"/>
      <c r="P755" s="21"/>
    </row>
    <row r="756" spans="12:16">
      <c r="L756" s="21"/>
      <c r="M756" s="21"/>
      <c r="P756" s="21"/>
    </row>
    <row r="757" spans="12:16">
      <c r="L757" s="21"/>
      <c r="M757" s="21"/>
      <c r="P757" s="21"/>
    </row>
    <row r="758" spans="12:16">
      <c r="L758" s="21"/>
      <c r="M758" s="21"/>
      <c r="P758" s="21"/>
    </row>
    <row r="759" spans="12:16">
      <c r="L759" s="21"/>
      <c r="M759" s="21"/>
      <c r="P759" s="21"/>
    </row>
    <row r="760" spans="12:16">
      <c r="L760" s="21"/>
      <c r="M760" s="21"/>
      <c r="P760" s="21"/>
    </row>
    <row r="761" spans="12:16">
      <c r="L761" s="21"/>
      <c r="M761" s="21"/>
      <c r="P761" s="21"/>
    </row>
    <row r="762" spans="12:16">
      <c r="L762" s="21"/>
      <c r="M762" s="21"/>
      <c r="P762" s="21"/>
    </row>
    <row r="763" spans="12:16">
      <c r="L763" s="21"/>
      <c r="M763" s="21"/>
      <c r="P763" s="21"/>
    </row>
    <row r="764" spans="12:16">
      <c r="L764" s="21"/>
      <c r="M764" s="21"/>
      <c r="P764" s="21"/>
    </row>
    <row r="765" spans="12:16">
      <c r="L765" s="21"/>
      <c r="M765" s="21"/>
      <c r="P765" s="21"/>
    </row>
    <row r="766" spans="12:16">
      <c r="L766" s="21"/>
      <c r="M766" s="21"/>
      <c r="P766" s="21"/>
    </row>
    <row r="767" spans="12:16">
      <c r="L767" s="21"/>
      <c r="M767" s="21"/>
      <c r="P767" s="21"/>
    </row>
    <row r="768" spans="12:16">
      <c r="L768" s="21"/>
      <c r="M768" s="21"/>
      <c r="P768" s="21"/>
    </row>
    <row r="769" spans="12:16">
      <c r="L769" s="21"/>
      <c r="M769" s="21"/>
      <c r="P769" s="21"/>
    </row>
    <row r="770" spans="12:16">
      <c r="L770" s="21"/>
      <c r="M770" s="21"/>
      <c r="P770" s="21"/>
    </row>
    <row r="771" spans="12:16">
      <c r="L771" s="21"/>
      <c r="M771" s="21"/>
      <c r="P771" s="21"/>
    </row>
    <row r="772" spans="12:16">
      <c r="L772" s="21"/>
      <c r="M772" s="21"/>
      <c r="P772" s="21"/>
    </row>
    <row r="773" spans="12:16">
      <c r="L773" s="21"/>
      <c r="M773" s="21"/>
      <c r="P773" s="21"/>
    </row>
    <row r="774" spans="12:16">
      <c r="L774" s="21"/>
      <c r="M774" s="21"/>
      <c r="P774" s="21"/>
    </row>
    <row r="775" spans="12:16">
      <c r="L775" s="21"/>
      <c r="M775" s="21"/>
      <c r="P775" s="21"/>
    </row>
    <row r="776" spans="12:16">
      <c r="L776" s="21"/>
      <c r="M776" s="21"/>
      <c r="P776" s="21"/>
    </row>
    <row r="777" spans="12:16">
      <c r="L777" s="21"/>
      <c r="M777" s="21"/>
      <c r="P777" s="21"/>
    </row>
    <row r="778" spans="12:16">
      <c r="L778" s="21"/>
      <c r="M778" s="21"/>
      <c r="P778" s="21"/>
    </row>
    <row r="779" spans="12:16">
      <c r="L779" s="21"/>
      <c r="M779" s="21"/>
      <c r="P779" s="21"/>
    </row>
    <row r="780" spans="12:16">
      <c r="L780" s="21"/>
      <c r="M780" s="21"/>
      <c r="P780" s="21"/>
    </row>
    <row r="781" spans="12:16">
      <c r="L781" s="21"/>
      <c r="M781" s="21"/>
      <c r="P781" s="21"/>
    </row>
    <row r="782" spans="12:16">
      <c r="L782" s="21"/>
      <c r="M782" s="21"/>
      <c r="P782" s="21"/>
    </row>
    <row r="783" spans="12:16">
      <c r="L783" s="21"/>
      <c r="M783" s="21"/>
      <c r="P783" s="21"/>
    </row>
    <row r="784" spans="12:16">
      <c r="L784" s="21"/>
      <c r="M784" s="21"/>
      <c r="P784" s="21"/>
    </row>
    <row r="785" spans="12:16">
      <c r="L785" s="21"/>
      <c r="M785" s="21"/>
      <c r="P785" s="21"/>
    </row>
    <row r="786" spans="12:16">
      <c r="L786" s="21"/>
      <c r="M786" s="21"/>
      <c r="P786" s="21"/>
    </row>
    <row r="787" spans="12:16">
      <c r="L787" s="21"/>
      <c r="M787" s="21"/>
      <c r="P787" s="21"/>
    </row>
    <row r="788" spans="12:16">
      <c r="L788" s="21"/>
      <c r="M788" s="21"/>
      <c r="P788" s="21"/>
    </row>
    <row r="789" spans="12:16">
      <c r="L789" s="21"/>
      <c r="M789" s="21"/>
      <c r="P789" s="21"/>
    </row>
    <row r="790" spans="12:16">
      <c r="L790" s="21"/>
      <c r="M790" s="21"/>
      <c r="P790" s="21"/>
    </row>
    <row r="791" spans="12:16">
      <c r="L791" s="21"/>
      <c r="M791" s="21"/>
      <c r="P791" s="21"/>
    </row>
    <row r="792" spans="12:16">
      <c r="L792" s="21"/>
      <c r="M792" s="21"/>
      <c r="P792" s="21"/>
    </row>
    <row r="793" spans="12:16">
      <c r="L793" s="21"/>
      <c r="M793" s="21"/>
      <c r="P793" s="21"/>
    </row>
    <row r="794" spans="12:16">
      <c r="L794" s="21"/>
      <c r="M794" s="21"/>
      <c r="P794" s="21"/>
    </row>
    <row r="795" spans="12:16">
      <c r="L795" s="21"/>
      <c r="M795" s="21"/>
      <c r="P795" s="21"/>
    </row>
    <row r="796" spans="12:16">
      <c r="L796" s="21"/>
      <c r="M796" s="21"/>
      <c r="P796" s="21"/>
    </row>
    <row r="797" spans="12:16">
      <c r="L797" s="21"/>
      <c r="M797" s="21"/>
      <c r="P797" s="21"/>
    </row>
    <row r="798" spans="12:16">
      <c r="L798" s="21"/>
      <c r="M798" s="21"/>
      <c r="P798" s="21"/>
    </row>
    <row r="799" spans="12:16">
      <c r="L799" s="21"/>
      <c r="M799" s="21"/>
      <c r="P799" s="21"/>
    </row>
    <row r="800" spans="12:16">
      <c r="L800" s="21"/>
      <c r="M800" s="21"/>
      <c r="P800" s="21"/>
    </row>
    <row r="801" spans="12:16">
      <c r="L801" s="21"/>
      <c r="M801" s="21"/>
      <c r="P801" s="21"/>
    </row>
    <row r="802" spans="12:16">
      <c r="L802" s="21"/>
      <c r="M802" s="21"/>
      <c r="P802" s="21"/>
    </row>
    <row r="803" spans="12:16">
      <c r="L803" s="21"/>
      <c r="M803" s="21"/>
      <c r="P803" s="21"/>
    </row>
    <row r="804" spans="12:16">
      <c r="L804" s="21"/>
      <c r="M804" s="21"/>
      <c r="P804" s="21"/>
    </row>
    <row r="805" spans="12:16">
      <c r="L805" s="21"/>
      <c r="M805" s="21"/>
      <c r="P805" s="21"/>
    </row>
    <row r="806" spans="12:16">
      <c r="L806" s="21"/>
      <c r="M806" s="21"/>
      <c r="P806" s="21"/>
    </row>
    <row r="807" spans="12:16">
      <c r="L807" s="21"/>
      <c r="M807" s="21"/>
      <c r="P807" s="21"/>
    </row>
    <row r="808" spans="12:16">
      <c r="L808" s="21"/>
      <c r="M808" s="21"/>
      <c r="P808" s="21"/>
    </row>
    <row r="809" spans="12:16">
      <c r="L809" s="21"/>
      <c r="M809" s="21"/>
      <c r="P809" s="21"/>
    </row>
    <row r="810" spans="12:16">
      <c r="L810" s="21"/>
      <c r="M810" s="21"/>
      <c r="P810" s="21"/>
    </row>
    <row r="811" spans="12:16">
      <c r="L811" s="21"/>
      <c r="M811" s="21"/>
      <c r="P811" s="21"/>
    </row>
    <row r="812" spans="12:16">
      <c r="L812" s="21"/>
      <c r="M812" s="21"/>
      <c r="P812" s="21"/>
    </row>
    <row r="813" spans="12:16">
      <c r="L813" s="21"/>
      <c r="M813" s="21"/>
      <c r="P813" s="21"/>
    </row>
    <row r="814" spans="12:16">
      <c r="L814" s="21"/>
      <c r="M814" s="21"/>
      <c r="P814" s="21"/>
    </row>
    <row r="815" spans="12:16">
      <c r="L815" s="21"/>
      <c r="M815" s="21"/>
      <c r="P815" s="21"/>
    </row>
    <row r="816" spans="12:16">
      <c r="L816" s="21"/>
      <c r="M816" s="21"/>
      <c r="P816" s="21"/>
    </row>
    <row r="817" spans="12:16">
      <c r="L817" s="21"/>
      <c r="M817" s="21"/>
      <c r="P817" s="21"/>
    </row>
    <row r="818" spans="12:16">
      <c r="L818" s="21"/>
      <c r="M818" s="21"/>
      <c r="P818" s="21"/>
    </row>
    <row r="819" spans="12:16">
      <c r="L819" s="21"/>
      <c r="M819" s="21"/>
      <c r="P819" s="21"/>
    </row>
    <row r="820" spans="12:16">
      <c r="L820" s="21"/>
      <c r="M820" s="21"/>
      <c r="P820" s="21"/>
    </row>
    <row r="821" spans="12:16">
      <c r="L821" s="21"/>
      <c r="M821" s="21"/>
      <c r="P821" s="21"/>
    </row>
    <row r="822" spans="12:16">
      <c r="L822" s="21"/>
      <c r="M822" s="21"/>
      <c r="P822" s="21"/>
    </row>
    <row r="823" spans="12:16">
      <c r="L823" s="21"/>
      <c r="M823" s="21"/>
      <c r="P823" s="21"/>
    </row>
    <row r="824" spans="12:16">
      <c r="L824" s="21"/>
      <c r="M824" s="21"/>
      <c r="P824" s="21"/>
    </row>
    <row r="825" spans="12:16">
      <c r="L825" s="21"/>
      <c r="M825" s="21"/>
      <c r="P825" s="21"/>
    </row>
    <row r="826" spans="12:16">
      <c r="L826" s="21"/>
      <c r="M826" s="21"/>
      <c r="P826" s="21"/>
    </row>
    <row r="827" spans="12:16">
      <c r="L827" s="21"/>
      <c r="M827" s="21"/>
      <c r="P827" s="21"/>
    </row>
    <row r="828" spans="12:16">
      <c r="L828" s="21"/>
      <c r="M828" s="21"/>
      <c r="P828" s="21"/>
    </row>
    <row r="829" spans="12:16">
      <c r="L829" s="21"/>
      <c r="M829" s="21"/>
      <c r="P829" s="21"/>
    </row>
    <row r="830" spans="12:16">
      <c r="L830" s="21"/>
      <c r="M830" s="21"/>
      <c r="P830" s="21"/>
    </row>
    <row r="831" spans="12:16">
      <c r="L831" s="21"/>
      <c r="M831" s="21"/>
      <c r="P831" s="21"/>
    </row>
    <row r="832" spans="12:16">
      <c r="L832" s="21"/>
      <c r="M832" s="21"/>
      <c r="P832" s="21"/>
    </row>
    <row r="833" spans="12:16">
      <c r="L833" s="21"/>
      <c r="M833" s="21"/>
      <c r="P833" s="21"/>
    </row>
    <row r="834" spans="12:16">
      <c r="L834" s="21"/>
      <c r="M834" s="21"/>
      <c r="P834" s="21"/>
    </row>
    <row r="835" spans="12:16">
      <c r="L835" s="21"/>
      <c r="M835" s="21"/>
      <c r="P835" s="21"/>
    </row>
    <row r="836" spans="12:16">
      <c r="L836" s="21"/>
      <c r="M836" s="21"/>
      <c r="P836" s="21"/>
    </row>
    <row r="837" spans="12:16">
      <c r="L837" s="21"/>
      <c r="M837" s="21"/>
      <c r="P837" s="21"/>
    </row>
    <row r="838" spans="12:16">
      <c r="L838" s="21"/>
      <c r="M838" s="21"/>
      <c r="P838" s="21"/>
    </row>
    <row r="839" spans="12:16">
      <c r="L839" s="21"/>
      <c r="M839" s="21"/>
      <c r="P839" s="21"/>
    </row>
    <row r="840" spans="12:16">
      <c r="L840" s="21"/>
      <c r="M840" s="21"/>
      <c r="P840" s="21"/>
    </row>
    <row r="841" spans="12:16">
      <c r="L841" s="21"/>
      <c r="M841" s="21"/>
      <c r="P841" s="21"/>
    </row>
    <row r="842" spans="12:16">
      <c r="L842" s="21"/>
      <c r="M842" s="21"/>
      <c r="P842" s="21"/>
    </row>
    <row r="843" spans="12:16">
      <c r="L843" s="21"/>
      <c r="M843" s="21"/>
      <c r="P843" s="21"/>
    </row>
    <row r="844" spans="12:16">
      <c r="L844" s="21"/>
      <c r="M844" s="21"/>
      <c r="P844" s="21"/>
    </row>
    <row r="845" spans="12:16">
      <c r="L845" s="21"/>
      <c r="M845" s="21"/>
      <c r="P845" s="21"/>
    </row>
    <row r="846" spans="12:16">
      <c r="L846" s="21"/>
      <c r="M846" s="21"/>
      <c r="P846" s="21"/>
    </row>
    <row r="847" spans="12:16">
      <c r="L847" s="21"/>
      <c r="M847" s="21"/>
      <c r="P847" s="21"/>
    </row>
    <row r="848" spans="12:16">
      <c r="L848" s="21"/>
      <c r="M848" s="21"/>
      <c r="P848" s="21"/>
    </row>
    <row r="849" spans="12:16">
      <c r="L849" s="21"/>
      <c r="M849" s="21"/>
      <c r="P849" s="21"/>
    </row>
    <row r="850" spans="12:16">
      <c r="L850" s="21"/>
      <c r="M850" s="21"/>
      <c r="P850" s="21"/>
    </row>
    <row r="851" spans="12:16">
      <c r="L851" s="21"/>
      <c r="M851" s="21"/>
      <c r="P851" s="21"/>
    </row>
    <row r="852" spans="12:16">
      <c r="L852" s="21"/>
      <c r="M852" s="21"/>
      <c r="P852" s="21"/>
    </row>
    <row r="853" spans="12:16">
      <c r="L853" s="21"/>
      <c r="M853" s="21"/>
      <c r="P853" s="21"/>
    </row>
    <row r="854" spans="12:16">
      <c r="L854" s="21"/>
      <c r="M854" s="21"/>
      <c r="P854" s="21"/>
    </row>
    <row r="855" spans="12:16">
      <c r="L855" s="21"/>
      <c r="M855" s="21"/>
      <c r="P855" s="21"/>
    </row>
    <row r="856" spans="12:16">
      <c r="L856" s="21"/>
      <c r="M856" s="21"/>
      <c r="P856" s="21"/>
    </row>
    <row r="857" spans="12:16">
      <c r="L857" s="21"/>
      <c r="M857" s="21"/>
      <c r="P857" s="21"/>
    </row>
    <row r="858" spans="12:16">
      <c r="L858" s="21"/>
      <c r="M858" s="21"/>
      <c r="P858" s="21"/>
    </row>
    <row r="859" spans="12:16">
      <c r="L859" s="21"/>
      <c r="M859" s="21"/>
      <c r="P859" s="21"/>
    </row>
    <row r="860" spans="12:16">
      <c r="L860" s="21"/>
      <c r="M860" s="21"/>
      <c r="P860" s="21"/>
    </row>
    <row r="861" spans="12:16">
      <c r="L861" s="21"/>
      <c r="M861" s="21"/>
      <c r="P861" s="21"/>
    </row>
    <row r="862" spans="12:16">
      <c r="L862" s="21"/>
      <c r="M862" s="21"/>
      <c r="P862" s="21"/>
    </row>
    <row r="863" spans="12:16">
      <c r="L863" s="21"/>
      <c r="M863" s="21"/>
      <c r="P863" s="21"/>
    </row>
    <row r="864" spans="12:16">
      <c r="L864" s="21"/>
      <c r="M864" s="21"/>
      <c r="P864" s="21"/>
    </row>
    <row r="865" spans="12:16">
      <c r="L865" s="21"/>
      <c r="M865" s="21"/>
      <c r="P865" s="21"/>
    </row>
    <row r="866" spans="12:16">
      <c r="L866" s="21"/>
      <c r="M866" s="21"/>
      <c r="P866" s="21"/>
    </row>
    <row r="867" spans="12:16">
      <c r="L867" s="21"/>
      <c r="M867" s="21"/>
      <c r="P867" s="21"/>
    </row>
    <row r="868" spans="12:16">
      <c r="L868" s="21"/>
      <c r="M868" s="21"/>
      <c r="P868" s="21"/>
    </row>
    <row r="869" spans="12:16">
      <c r="L869" s="21"/>
      <c r="M869" s="21"/>
      <c r="P869" s="21"/>
    </row>
    <row r="870" spans="12:16">
      <c r="L870" s="21"/>
      <c r="M870" s="21"/>
      <c r="P870" s="21"/>
    </row>
    <row r="871" spans="12:16">
      <c r="L871" s="21"/>
      <c r="M871" s="21"/>
      <c r="P871" s="21"/>
    </row>
    <row r="872" spans="12:16">
      <c r="L872" s="21"/>
      <c r="M872" s="21"/>
      <c r="P872" s="21"/>
    </row>
    <row r="873" spans="12:16">
      <c r="L873" s="21"/>
      <c r="M873" s="21"/>
      <c r="P873" s="21"/>
    </row>
    <row r="874" spans="12:16">
      <c r="L874" s="21"/>
      <c r="M874" s="21"/>
      <c r="P874" s="21"/>
    </row>
    <row r="875" spans="12:16">
      <c r="L875" s="21"/>
      <c r="M875" s="21"/>
      <c r="P875" s="21"/>
    </row>
    <row r="876" spans="12:16">
      <c r="L876" s="21"/>
      <c r="M876" s="21"/>
      <c r="P876" s="21"/>
    </row>
    <row r="877" spans="12:16">
      <c r="L877" s="21"/>
      <c r="M877" s="21"/>
      <c r="P877" s="21"/>
    </row>
    <row r="878" spans="12:16">
      <c r="L878" s="21"/>
      <c r="M878" s="21"/>
      <c r="P878" s="21"/>
    </row>
    <row r="879" spans="12:16">
      <c r="L879" s="21"/>
      <c r="M879" s="21"/>
      <c r="P879" s="21"/>
    </row>
    <row r="880" spans="12:16">
      <c r="L880" s="21"/>
      <c r="M880" s="21"/>
      <c r="P880" s="21"/>
    </row>
    <row r="881" spans="12:16">
      <c r="L881" s="21"/>
      <c r="M881" s="21"/>
      <c r="P881" s="21"/>
    </row>
    <row r="882" spans="12:16">
      <c r="L882" s="21"/>
      <c r="M882" s="21"/>
      <c r="P882" s="21"/>
    </row>
    <row r="883" spans="12:16">
      <c r="L883" s="21"/>
      <c r="M883" s="21"/>
      <c r="P883" s="21"/>
    </row>
    <row r="884" spans="12:16">
      <c r="L884" s="21"/>
      <c r="M884" s="21"/>
      <c r="P884" s="21"/>
    </row>
    <row r="885" spans="12:16">
      <c r="L885" s="21"/>
      <c r="M885" s="21"/>
      <c r="P885" s="21"/>
    </row>
    <row r="886" spans="12:16">
      <c r="L886" s="21"/>
      <c r="M886" s="21"/>
      <c r="P886" s="21"/>
    </row>
    <row r="887" spans="12:16">
      <c r="L887" s="21"/>
      <c r="M887" s="21"/>
      <c r="P887" s="21"/>
    </row>
    <row r="888" spans="12:16">
      <c r="L888" s="21"/>
      <c r="M888" s="21"/>
      <c r="P888" s="21"/>
    </row>
    <row r="889" spans="12:16">
      <c r="L889" s="21"/>
      <c r="M889" s="21"/>
      <c r="P889" s="21"/>
    </row>
    <row r="890" spans="12:16">
      <c r="L890" s="21"/>
      <c r="M890" s="21"/>
      <c r="P890" s="21"/>
    </row>
    <row r="891" spans="12:16">
      <c r="L891" s="21"/>
      <c r="M891" s="21"/>
      <c r="P891" s="21"/>
    </row>
    <row r="892" spans="12:16">
      <c r="L892" s="21"/>
      <c r="M892" s="21"/>
      <c r="P892" s="21"/>
    </row>
    <row r="893" spans="12:16">
      <c r="L893" s="21"/>
      <c r="M893" s="21"/>
      <c r="P893" s="21"/>
    </row>
    <row r="894" spans="12:16">
      <c r="L894" s="21"/>
      <c r="M894" s="21"/>
      <c r="P894" s="21"/>
    </row>
    <row r="895" spans="12:16">
      <c r="L895" s="21"/>
      <c r="M895" s="21"/>
      <c r="P895" s="21"/>
    </row>
    <row r="896" spans="12:16">
      <c r="L896" s="21"/>
      <c r="M896" s="21"/>
      <c r="P896" s="21"/>
    </row>
    <row r="897" spans="12:16">
      <c r="L897" s="21"/>
      <c r="M897" s="21"/>
      <c r="P897" s="21"/>
    </row>
    <row r="898" spans="12:16">
      <c r="L898" s="21"/>
      <c r="M898" s="21"/>
      <c r="P898" s="21"/>
    </row>
    <row r="899" spans="12:16">
      <c r="L899" s="21"/>
      <c r="M899" s="21"/>
      <c r="P899" s="21"/>
    </row>
    <row r="900" spans="12:16">
      <c r="L900" s="21"/>
      <c r="M900" s="21"/>
      <c r="P900" s="21"/>
    </row>
    <row r="901" spans="12:16">
      <c r="L901" s="21"/>
      <c r="M901" s="21"/>
      <c r="P901" s="21"/>
    </row>
    <row r="902" spans="12:16">
      <c r="L902" s="21"/>
      <c r="M902" s="21"/>
      <c r="P902" s="21"/>
    </row>
    <row r="903" spans="12:16">
      <c r="L903" s="21"/>
      <c r="M903" s="21"/>
      <c r="P903" s="21"/>
    </row>
    <row r="904" spans="12:16">
      <c r="L904" s="21"/>
      <c r="M904" s="21"/>
      <c r="P904" s="21"/>
    </row>
    <row r="905" spans="12:16">
      <c r="L905" s="21"/>
      <c r="M905" s="21"/>
      <c r="P905" s="21"/>
    </row>
    <row r="906" spans="12:16">
      <c r="L906" s="21"/>
      <c r="M906" s="21"/>
      <c r="P906" s="21"/>
    </row>
    <row r="907" spans="12:16">
      <c r="L907" s="21"/>
      <c r="M907" s="21"/>
      <c r="P907" s="21"/>
    </row>
    <row r="908" spans="12:16">
      <c r="L908" s="21"/>
      <c r="M908" s="21"/>
      <c r="P908" s="21"/>
    </row>
    <row r="909" spans="12:16">
      <c r="L909" s="21"/>
      <c r="M909" s="21"/>
      <c r="P909" s="21"/>
    </row>
    <row r="910" spans="12:16">
      <c r="L910" s="21"/>
      <c r="M910" s="21"/>
      <c r="P910" s="21"/>
    </row>
    <row r="911" spans="12:16">
      <c r="L911" s="21"/>
      <c r="M911" s="21"/>
      <c r="P911" s="21"/>
    </row>
    <row r="912" spans="12:16">
      <c r="L912" s="21"/>
      <c r="M912" s="21"/>
      <c r="P912" s="21"/>
    </row>
    <row r="913" spans="12:16">
      <c r="L913" s="21"/>
      <c r="M913" s="21"/>
      <c r="P913" s="21"/>
    </row>
    <row r="914" spans="12:16">
      <c r="L914" s="21"/>
      <c r="M914" s="21"/>
      <c r="P914" s="21"/>
    </row>
    <row r="915" spans="12:16">
      <c r="L915" s="21"/>
      <c r="M915" s="21"/>
      <c r="P915" s="21"/>
    </row>
    <row r="916" spans="12:16">
      <c r="L916" s="21"/>
      <c r="M916" s="21"/>
      <c r="P916" s="21"/>
    </row>
    <row r="917" spans="12:16">
      <c r="L917" s="21"/>
      <c r="M917" s="21"/>
      <c r="P917" s="21"/>
    </row>
    <row r="918" spans="12:16">
      <c r="L918" s="21"/>
      <c r="M918" s="21"/>
      <c r="P918" s="21"/>
    </row>
    <row r="919" spans="12:16">
      <c r="L919" s="21"/>
      <c r="M919" s="21"/>
      <c r="P919" s="21"/>
    </row>
    <row r="920" spans="12:16">
      <c r="L920" s="21"/>
      <c r="M920" s="21"/>
      <c r="P920" s="21"/>
    </row>
    <row r="921" spans="12:16">
      <c r="L921" s="21"/>
      <c r="M921" s="21"/>
      <c r="P921" s="21"/>
    </row>
    <row r="922" spans="12:16">
      <c r="L922" s="21"/>
      <c r="M922" s="21"/>
      <c r="P922" s="21"/>
    </row>
    <row r="923" spans="12:16">
      <c r="L923" s="21"/>
      <c r="M923" s="21"/>
      <c r="P923" s="21"/>
    </row>
    <row r="924" spans="12:16">
      <c r="L924" s="21"/>
      <c r="M924" s="21"/>
      <c r="P924" s="21"/>
    </row>
    <row r="925" spans="12:16">
      <c r="L925" s="21"/>
      <c r="M925" s="21"/>
      <c r="P925" s="21"/>
    </row>
    <row r="926" spans="12:16">
      <c r="L926" s="21"/>
      <c r="M926" s="21"/>
      <c r="P926" s="21"/>
    </row>
    <row r="927" spans="12:16">
      <c r="L927" s="21"/>
      <c r="M927" s="21"/>
      <c r="P927" s="21"/>
    </row>
    <row r="928" spans="12:16">
      <c r="L928" s="21"/>
      <c r="M928" s="21"/>
      <c r="P928" s="21"/>
    </row>
    <row r="929" spans="12:16">
      <c r="L929" s="21"/>
      <c r="M929" s="21"/>
      <c r="P929" s="21"/>
    </row>
    <row r="930" spans="12:16">
      <c r="L930" s="21"/>
      <c r="M930" s="21"/>
      <c r="P930" s="21"/>
    </row>
    <row r="931" spans="12:16">
      <c r="L931" s="21"/>
      <c r="M931" s="21"/>
      <c r="P931" s="21"/>
    </row>
    <row r="932" spans="12:16">
      <c r="L932" s="21"/>
      <c r="M932" s="21"/>
      <c r="P932" s="21"/>
    </row>
    <row r="933" spans="12:16">
      <c r="L933" s="21"/>
      <c r="M933" s="21"/>
      <c r="P933" s="21"/>
    </row>
    <row r="934" spans="12:16">
      <c r="L934" s="21"/>
      <c r="M934" s="21"/>
      <c r="P934" s="21"/>
    </row>
    <row r="935" spans="12:16">
      <c r="L935" s="21"/>
      <c r="M935" s="21"/>
      <c r="P935" s="21"/>
    </row>
    <row r="936" spans="12:16">
      <c r="L936" s="21"/>
      <c r="M936" s="21"/>
      <c r="P936" s="21"/>
    </row>
    <row r="937" spans="12:16">
      <c r="L937" s="21"/>
      <c r="M937" s="21"/>
      <c r="P937" s="21"/>
    </row>
    <row r="938" spans="12:16">
      <c r="L938" s="21"/>
      <c r="M938" s="21"/>
      <c r="P938" s="21"/>
    </row>
    <row r="939" spans="12:16">
      <c r="L939" s="21"/>
      <c r="M939" s="21"/>
      <c r="P939" s="21"/>
    </row>
    <row r="940" spans="12:16">
      <c r="L940" s="21"/>
      <c r="M940" s="21"/>
      <c r="P940" s="21"/>
    </row>
    <row r="941" spans="12:16">
      <c r="L941" s="21"/>
      <c r="M941" s="21"/>
      <c r="P941" s="21"/>
    </row>
    <row r="942" spans="12:16">
      <c r="L942" s="21"/>
      <c r="M942" s="21"/>
      <c r="P942" s="21"/>
    </row>
    <row r="943" spans="12:16">
      <c r="L943" s="21"/>
      <c r="M943" s="21"/>
      <c r="P943" s="21"/>
    </row>
    <row r="944" spans="12:16">
      <c r="L944" s="21"/>
      <c r="M944" s="21"/>
      <c r="P944" s="21"/>
    </row>
    <row r="945" spans="12:16">
      <c r="L945" s="21"/>
      <c r="M945" s="21"/>
      <c r="P945" s="21"/>
    </row>
    <row r="946" spans="12:16">
      <c r="L946" s="21"/>
      <c r="M946" s="21"/>
      <c r="P946" s="21"/>
    </row>
    <row r="947" spans="12:16">
      <c r="L947" s="21"/>
      <c r="M947" s="21"/>
      <c r="P947" s="21"/>
    </row>
    <row r="948" spans="12:16">
      <c r="L948" s="21"/>
      <c r="M948" s="21"/>
      <c r="P948" s="21"/>
    </row>
    <row r="949" spans="12:16">
      <c r="L949" s="21"/>
      <c r="M949" s="21"/>
      <c r="P949" s="21"/>
    </row>
    <row r="950" spans="12:16">
      <c r="L950" s="21"/>
      <c r="M950" s="21"/>
      <c r="P950" s="21"/>
    </row>
    <row r="951" spans="12:16">
      <c r="L951" s="21"/>
      <c r="M951" s="21"/>
      <c r="P951" s="21"/>
    </row>
    <row r="952" spans="12:16">
      <c r="L952" s="21"/>
      <c r="M952" s="21"/>
      <c r="P952" s="21"/>
    </row>
    <row r="953" spans="12:16">
      <c r="L953" s="21"/>
      <c r="M953" s="21"/>
      <c r="P953" s="21"/>
    </row>
    <row r="954" spans="12:16">
      <c r="L954" s="21"/>
      <c r="M954" s="21"/>
      <c r="P954" s="21"/>
    </row>
    <row r="955" spans="12:16">
      <c r="L955" s="21"/>
      <c r="M955" s="21"/>
      <c r="P955" s="21"/>
    </row>
    <row r="956" spans="12:16">
      <c r="L956" s="21"/>
      <c r="M956" s="21"/>
      <c r="P956" s="21"/>
    </row>
    <row r="957" spans="12:16">
      <c r="L957" s="21"/>
      <c r="M957" s="21"/>
      <c r="P957" s="21"/>
    </row>
    <row r="958" spans="12:16">
      <c r="L958" s="21"/>
      <c r="M958" s="21"/>
      <c r="P958" s="21"/>
    </row>
    <row r="959" spans="12:16">
      <c r="L959" s="21"/>
      <c r="M959" s="21"/>
      <c r="P959" s="21"/>
    </row>
    <row r="960" spans="12:16">
      <c r="L960" s="21"/>
      <c r="M960" s="21"/>
      <c r="P960" s="21"/>
    </row>
    <row r="961" spans="12:16">
      <c r="L961" s="21"/>
      <c r="M961" s="21"/>
      <c r="P961" s="21"/>
    </row>
    <row r="962" spans="12:16">
      <c r="L962" s="21"/>
      <c r="M962" s="21"/>
      <c r="P962" s="21"/>
    </row>
    <row r="963" spans="12:16">
      <c r="L963" s="21"/>
      <c r="M963" s="21"/>
      <c r="P963" s="21"/>
    </row>
    <row r="964" spans="12:16">
      <c r="L964" s="21"/>
      <c r="M964" s="21"/>
      <c r="P964" s="21"/>
    </row>
    <row r="965" spans="12:16">
      <c r="L965" s="21"/>
      <c r="M965" s="21"/>
      <c r="P965" s="21"/>
    </row>
    <row r="966" spans="12:16">
      <c r="L966" s="21"/>
      <c r="M966" s="21"/>
      <c r="P966" s="21"/>
    </row>
    <row r="967" spans="12:16">
      <c r="L967" s="21"/>
      <c r="M967" s="21"/>
      <c r="P967" s="21"/>
    </row>
    <row r="968" spans="12:16">
      <c r="L968" s="21"/>
      <c r="M968" s="21"/>
      <c r="P968" s="21"/>
    </row>
    <row r="969" spans="12:16">
      <c r="L969" s="21"/>
      <c r="M969" s="21"/>
      <c r="P969" s="21"/>
    </row>
    <row r="970" spans="12:16">
      <c r="L970" s="21"/>
      <c r="M970" s="21"/>
      <c r="P970" s="21"/>
    </row>
    <row r="971" spans="12:16">
      <c r="L971" s="21"/>
      <c r="M971" s="21"/>
      <c r="P971" s="21"/>
    </row>
    <row r="972" spans="12:16">
      <c r="L972" s="21"/>
      <c r="M972" s="21"/>
      <c r="P972" s="21"/>
    </row>
    <row r="973" spans="12:16">
      <c r="L973" s="21"/>
      <c r="M973" s="21"/>
      <c r="P973" s="21"/>
    </row>
    <row r="974" spans="12:16">
      <c r="L974" s="21"/>
      <c r="M974" s="21"/>
      <c r="P974" s="21"/>
    </row>
    <row r="975" spans="12:16">
      <c r="L975" s="21"/>
      <c r="M975" s="21"/>
      <c r="P975" s="21"/>
    </row>
    <row r="976" spans="12:16">
      <c r="L976" s="21"/>
      <c r="M976" s="21"/>
      <c r="P976" s="21"/>
    </row>
    <row r="977" spans="12:16">
      <c r="L977" s="21"/>
      <c r="M977" s="21"/>
      <c r="P977" s="21"/>
    </row>
    <row r="978" spans="12:16">
      <c r="L978" s="21"/>
      <c r="M978" s="21"/>
      <c r="P978" s="21"/>
    </row>
    <row r="979" spans="12:16">
      <c r="L979" s="21"/>
      <c r="M979" s="21"/>
      <c r="P979" s="21"/>
    </row>
    <row r="980" spans="12:16">
      <c r="L980" s="21"/>
      <c r="M980" s="21"/>
      <c r="P980" s="21"/>
    </row>
    <row r="981" spans="12:16">
      <c r="L981" s="21"/>
      <c r="M981" s="21"/>
      <c r="P981" s="21"/>
    </row>
    <row r="982" spans="12:16">
      <c r="L982" s="21"/>
      <c r="M982" s="21"/>
      <c r="P982" s="21"/>
    </row>
    <row r="983" spans="12:16">
      <c r="L983" s="21"/>
      <c r="M983" s="21"/>
      <c r="P983" s="21"/>
    </row>
    <row r="984" spans="12:16">
      <c r="L984" s="21"/>
      <c r="M984" s="21"/>
      <c r="P984" s="21"/>
    </row>
    <row r="985" spans="12:16">
      <c r="L985" s="21"/>
      <c r="M985" s="21"/>
      <c r="P985" s="21"/>
    </row>
    <row r="986" spans="12:16">
      <c r="L986" s="21"/>
      <c r="M986" s="21"/>
      <c r="P986" s="21"/>
    </row>
    <row r="987" spans="12:16">
      <c r="L987" s="21"/>
      <c r="M987" s="21"/>
      <c r="P987" s="21"/>
    </row>
    <row r="988" spans="12:16">
      <c r="L988" s="21"/>
      <c r="M988" s="21"/>
      <c r="P988" s="21"/>
    </row>
    <row r="989" spans="12:16">
      <c r="L989" s="21"/>
      <c r="M989" s="21"/>
      <c r="P989" s="21"/>
    </row>
    <row r="990" spans="12:16">
      <c r="L990" s="21"/>
      <c r="M990" s="21"/>
      <c r="P990" s="21"/>
    </row>
    <row r="991" spans="12:16">
      <c r="L991" s="21"/>
      <c r="M991" s="21"/>
      <c r="P991" s="21"/>
    </row>
    <row r="992" spans="12:16">
      <c r="L992" s="21"/>
      <c r="M992" s="21"/>
      <c r="P992" s="21"/>
    </row>
    <row r="993" spans="12:16">
      <c r="L993" s="21"/>
      <c r="M993" s="21"/>
      <c r="P993" s="21"/>
    </row>
    <row r="994" spans="12:16">
      <c r="L994" s="21"/>
      <c r="M994" s="21"/>
      <c r="P994" s="21"/>
    </row>
    <row r="995" spans="12:16">
      <c r="L995" s="21"/>
      <c r="M995" s="21"/>
      <c r="P995" s="21"/>
    </row>
    <row r="996" spans="12:16">
      <c r="L996" s="21"/>
      <c r="M996" s="21"/>
      <c r="P996" s="21"/>
    </row>
    <row r="997" spans="12:16">
      <c r="L997" s="21"/>
      <c r="M997" s="21"/>
      <c r="P997" s="21"/>
    </row>
    <row r="998" spans="12:16">
      <c r="L998" s="21"/>
      <c r="M998" s="21"/>
      <c r="P998" s="21"/>
    </row>
    <row r="999" spans="12:16">
      <c r="L999" s="21"/>
      <c r="M999" s="21"/>
      <c r="P999" s="21"/>
    </row>
    <row r="1000" spans="12:16">
      <c r="L1000" s="21"/>
      <c r="M1000" s="21"/>
      <c r="P1000" s="21"/>
    </row>
    <row r="1001" spans="12:16">
      <c r="L1001" s="21"/>
      <c r="M1001" s="21"/>
      <c r="P1001" s="21"/>
    </row>
    <row r="1002" spans="12:16">
      <c r="L1002" s="21"/>
      <c r="M1002" s="21"/>
      <c r="P1002" s="21"/>
    </row>
    <row r="1003" spans="12:16">
      <c r="L1003" s="21"/>
      <c r="M1003" s="21"/>
      <c r="P1003" s="21"/>
    </row>
    <row r="1004" spans="12:16">
      <c r="L1004" s="21"/>
      <c r="M1004" s="21"/>
      <c r="P1004" s="21"/>
    </row>
    <row r="1005" spans="12:16">
      <c r="L1005" s="21"/>
      <c r="M1005" s="21"/>
      <c r="P1005" s="21"/>
    </row>
    <row r="1006" spans="12:16">
      <c r="L1006" s="21"/>
      <c r="M1006" s="21"/>
      <c r="P1006" s="21"/>
    </row>
    <row r="1007" spans="12:16">
      <c r="L1007" s="21"/>
      <c r="M1007" s="21"/>
      <c r="P1007" s="21"/>
    </row>
    <row r="1008" spans="12:16">
      <c r="L1008" s="21"/>
      <c r="M1008" s="21"/>
      <c r="P1008" s="21"/>
    </row>
    <row r="1009" spans="12:16">
      <c r="L1009" s="21"/>
      <c r="M1009" s="21"/>
      <c r="P1009" s="21"/>
    </row>
    <row r="1010" spans="12:16">
      <c r="L1010" s="21"/>
      <c r="M1010" s="21"/>
      <c r="P1010" s="21"/>
    </row>
    <row r="1011" spans="12:16">
      <c r="L1011" s="21"/>
      <c r="M1011" s="21"/>
      <c r="P1011" s="21"/>
    </row>
    <row r="1012" spans="12:16">
      <c r="L1012" s="21"/>
      <c r="M1012" s="21"/>
      <c r="P1012" s="21"/>
    </row>
    <row r="1013" spans="12:16">
      <c r="L1013" s="21"/>
      <c r="M1013" s="21"/>
      <c r="P1013" s="21"/>
    </row>
    <row r="1014" spans="12:16">
      <c r="L1014" s="21"/>
      <c r="M1014" s="21"/>
      <c r="P1014" s="21"/>
    </row>
    <row r="1015" spans="12:16">
      <c r="L1015" s="21"/>
      <c r="M1015" s="21"/>
      <c r="P1015" s="21"/>
    </row>
    <row r="1016" spans="12:16">
      <c r="L1016" s="21"/>
      <c r="M1016" s="21"/>
      <c r="P1016" s="21"/>
    </row>
    <row r="1017" spans="12:16">
      <c r="L1017" s="21"/>
      <c r="M1017" s="21"/>
      <c r="P1017" s="21"/>
    </row>
    <row r="1018" spans="12:16">
      <c r="L1018" s="21"/>
      <c r="M1018" s="21"/>
      <c r="P1018" s="21"/>
    </row>
    <row r="1019" spans="12:16">
      <c r="L1019" s="21"/>
      <c r="M1019" s="21"/>
      <c r="P1019" s="21"/>
    </row>
    <row r="1020" spans="12:16">
      <c r="L1020" s="21"/>
      <c r="M1020" s="21"/>
      <c r="P1020" s="21"/>
    </row>
    <row r="1021" spans="12:16">
      <c r="L1021" s="21"/>
      <c r="M1021" s="21"/>
      <c r="P1021" s="21"/>
    </row>
    <row r="1022" spans="12:16">
      <c r="L1022" s="21"/>
      <c r="M1022" s="21"/>
      <c r="P1022" s="21"/>
    </row>
    <row r="1023" spans="12:16">
      <c r="L1023" s="21"/>
      <c r="M1023" s="21"/>
      <c r="P1023" s="21"/>
    </row>
    <row r="1024" spans="12:16">
      <c r="L1024" s="21"/>
      <c r="M1024" s="21"/>
      <c r="P1024" s="21"/>
    </row>
    <row r="1025" spans="12:16">
      <c r="L1025" s="21"/>
      <c r="M1025" s="21"/>
      <c r="P1025" s="21"/>
    </row>
    <row r="1026" spans="12:16">
      <c r="L1026" s="21"/>
      <c r="M1026" s="21"/>
      <c r="P1026" s="21"/>
    </row>
    <row r="1027" spans="12:16">
      <c r="L1027" s="21"/>
      <c r="M1027" s="21"/>
      <c r="P1027" s="21"/>
    </row>
    <row r="1028" spans="12:16">
      <c r="L1028" s="21"/>
      <c r="M1028" s="21"/>
      <c r="P1028" s="21"/>
    </row>
    <row r="1029" spans="12:16">
      <c r="L1029" s="21"/>
      <c r="M1029" s="21"/>
      <c r="P1029" s="21"/>
    </row>
    <row r="1030" spans="12:16">
      <c r="L1030" s="21"/>
      <c r="M1030" s="21"/>
      <c r="P1030" s="21"/>
    </row>
    <row r="1031" spans="12:16">
      <c r="L1031" s="21"/>
      <c r="M1031" s="21"/>
      <c r="P1031" s="21"/>
    </row>
    <row r="1032" spans="12:16">
      <c r="L1032" s="21"/>
      <c r="M1032" s="21"/>
      <c r="P1032" s="21"/>
    </row>
    <row r="1033" spans="12:16">
      <c r="L1033" s="21"/>
      <c r="M1033" s="21"/>
      <c r="P1033" s="21"/>
    </row>
    <row r="1034" spans="12:16">
      <c r="L1034" s="21"/>
      <c r="M1034" s="21"/>
      <c r="P1034" s="21"/>
    </row>
    <row r="1035" spans="12:16">
      <c r="L1035" s="21"/>
      <c r="M1035" s="21"/>
      <c r="P1035" s="21"/>
    </row>
    <row r="1036" spans="12:16">
      <c r="L1036" s="21"/>
      <c r="M1036" s="21"/>
      <c r="P1036" s="21"/>
    </row>
    <row r="1037" spans="12:16">
      <c r="L1037" s="21"/>
      <c r="M1037" s="21"/>
      <c r="P1037" s="21"/>
    </row>
    <row r="1038" spans="12:16">
      <c r="L1038" s="21"/>
      <c r="M1038" s="21"/>
      <c r="P1038" s="21"/>
    </row>
    <row r="1039" spans="12:16">
      <c r="L1039" s="21"/>
      <c r="M1039" s="21"/>
      <c r="P1039" s="21"/>
    </row>
    <row r="1040" spans="12:16">
      <c r="L1040" s="21"/>
      <c r="M1040" s="21"/>
      <c r="P1040" s="21"/>
    </row>
    <row r="1041" spans="12:16">
      <c r="L1041" s="21"/>
      <c r="M1041" s="21"/>
      <c r="P1041" s="21"/>
    </row>
    <row r="1042" spans="12:16">
      <c r="L1042" s="21"/>
      <c r="M1042" s="21"/>
      <c r="P1042" s="21"/>
    </row>
    <row r="1043" spans="12:16">
      <c r="L1043" s="21"/>
      <c r="M1043" s="21"/>
      <c r="P1043" s="21"/>
    </row>
    <row r="1044" spans="12:16">
      <c r="L1044" s="21"/>
      <c r="M1044" s="21"/>
      <c r="P1044" s="21"/>
    </row>
    <row r="1045" spans="12:16">
      <c r="L1045" s="21"/>
      <c r="M1045" s="21"/>
      <c r="P1045" s="21"/>
    </row>
    <row r="1046" spans="12:16">
      <c r="L1046" s="21"/>
      <c r="M1046" s="21"/>
      <c r="P1046" s="21"/>
    </row>
    <row r="1047" spans="12:16">
      <c r="L1047" s="21"/>
      <c r="M1047" s="21"/>
      <c r="P1047" s="21"/>
    </row>
    <row r="1048" spans="12:16">
      <c r="L1048" s="21"/>
      <c r="M1048" s="21"/>
      <c r="P1048" s="21"/>
    </row>
    <row r="1049" spans="12:16">
      <c r="L1049" s="21"/>
      <c r="M1049" s="21"/>
      <c r="P1049" s="21"/>
    </row>
    <row r="1050" spans="12:16">
      <c r="L1050" s="21"/>
      <c r="M1050" s="21"/>
      <c r="P1050" s="21"/>
    </row>
    <row r="1051" spans="12:16">
      <c r="L1051" s="21"/>
      <c r="M1051" s="21"/>
      <c r="P1051" s="21"/>
    </row>
    <row r="1052" spans="12:16">
      <c r="L1052" s="21"/>
      <c r="M1052" s="21"/>
      <c r="P1052" s="21"/>
    </row>
    <row r="1053" spans="12:16">
      <c r="L1053" s="21"/>
      <c r="M1053" s="21"/>
      <c r="P1053" s="21"/>
    </row>
    <row r="1054" spans="12:16">
      <c r="L1054" s="21"/>
      <c r="M1054" s="21"/>
      <c r="P1054" s="21"/>
    </row>
    <row r="1055" spans="12:16">
      <c r="L1055" s="21"/>
      <c r="M1055" s="21"/>
      <c r="P1055" s="21"/>
    </row>
    <row r="1056" spans="12:16">
      <c r="L1056" s="21"/>
      <c r="M1056" s="21"/>
      <c r="P1056" s="21"/>
    </row>
    <row r="1057" spans="12:16">
      <c r="L1057" s="21"/>
      <c r="M1057" s="21"/>
      <c r="P1057" s="21"/>
    </row>
    <row r="1058" spans="12:16">
      <c r="L1058" s="21"/>
      <c r="M1058" s="21"/>
      <c r="P1058" s="21"/>
    </row>
    <row r="1059" spans="12:16">
      <c r="L1059" s="21"/>
      <c r="M1059" s="21"/>
      <c r="P1059" s="21"/>
    </row>
    <row r="1060" spans="12:16">
      <c r="L1060" s="21"/>
      <c r="M1060" s="21"/>
      <c r="P1060" s="21"/>
    </row>
    <row r="1061" spans="12:16">
      <c r="L1061" s="21"/>
      <c r="M1061" s="21"/>
      <c r="P1061" s="21"/>
    </row>
    <row r="1062" spans="12:16">
      <c r="L1062" s="21"/>
      <c r="M1062" s="21"/>
      <c r="P1062" s="21"/>
    </row>
    <row r="1063" spans="12:16">
      <c r="L1063" s="21"/>
      <c r="M1063" s="21"/>
      <c r="P1063" s="21"/>
    </row>
    <row r="1064" spans="12:16">
      <c r="L1064" s="21"/>
      <c r="M1064" s="21"/>
      <c r="P1064" s="21"/>
    </row>
    <row r="1065" spans="12:16">
      <c r="L1065" s="21"/>
      <c r="M1065" s="21"/>
      <c r="P1065" s="21"/>
    </row>
    <row r="1066" spans="12:16">
      <c r="L1066" s="21"/>
      <c r="M1066" s="21"/>
      <c r="P1066" s="21"/>
    </row>
    <row r="1067" spans="12:16">
      <c r="L1067" s="21"/>
      <c r="M1067" s="21"/>
      <c r="P1067" s="21"/>
    </row>
    <row r="1068" spans="12:16">
      <c r="L1068" s="21"/>
      <c r="M1068" s="21"/>
      <c r="P1068" s="21"/>
    </row>
    <row r="1069" spans="12:16">
      <c r="L1069" s="21"/>
      <c r="M1069" s="21"/>
      <c r="P1069" s="21"/>
    </row>
    <row r="1070" spans="12:16">
      <c r="L1070" s="21"/>
      <c r="M1070" s="21"/>
      <c r="P1070" s="21"/>
    </row>
    <row r="1071" spans="12:16">
      <c r="L1071" s="21"/>
      <c r="M1071" s="21"/>
      <c r="P1071" s="21"/>
    </row>
    <row r="1072" spans="12:16">
      <c r="L1072" s="21"/>
      <c r="M1072" s="21"/>
      <c r="P1072" s="21"/>
    </row>
    <row r="1073" spans="12:16">
      <c r="L1073" s="21"/>
      <c r="M1073" s="21"/>
      <c r="P1073" s="21"/>
    </row>
    <row r="1074" spans="12:16">
      <c r="L1074" s="21"/>
      <c r="M1074" s="21"/>
      <c r="P1074" s="21"/>
    </row>
    <row r="1075" spans="12:16">
      <c r="L1075" s="21"/>
      <c r="M1075" s="21"/>
      <c r="P1075" s="21"/>
    </row>
    <row r="1076" spans="12:16">
      <c r="L1076" s="21"/>
      <c r="M1076" s="21"/>
      <c r="P1076" s="21"/>
    </row>
    <row r="1077" spans="12:16">
      <c r="L1077" s="21"/>
      <c r="M1077" s="21"/>
      <c r="P1077" s="21"/>
    </row>
    <row r="1078" spans="12:16">
      <c r="L1078" s="21"/>
      <c r="M1078" s="21"/>
      <c r="P1078" s="21"/>
    </row>
    <row r="1079" spans="12:16">
      <c r="L1079" s="21"/>
      <c r="M1079" s="21"/>
      <c r="P1079" s="21"/>
    </row>
    <row r="1080" spans="12:16">
      <c r="L1080" s="21"/>
      <c r="M1080" s="21"/>
      <c r="P1080" s="21"/>
    </row>
    <row r="1081" spans="12:16">
      <c r="L1081" s="21"/>
      <c r="M1081" s="21"/>
      <c r="P1081" s="21"/>
    </row>
    <row r="1082" spans="12:16">
      <c r="L1082" s="21"/>
      <c r="M1082" s="21"/>
      <c r="P1082" s="21"/>
    </row>
    <row r="1083" spans="12:16">
      <c r="L1083" s="21"/>
      <c r="M1083" s="21"/>
      <c r="P1083" s="21"/>
    </row>
    <row r="1084" spans="12:16">
      <c r="L1084" s="21"/>
      <c r="M1084" s="21"/>
      <c r="P1084" s="21"/>
    </row>
    <row r="1085" spans="12:16">
      <c r="L1085" s="21"/>
      <c r="M1085" s="21"/>
      <c r="P1085" s="21"/>
    </row>
    <row r="1086" spans="12:16">
      <c r="L1086" s="21"/>
      <c r="M1086" s="21"/>
      <c r="P1086" s="21"/>
    </row>
    <row r="1087" spans="12:16">
      <c r="L1087" s="21"/>
      <c r="M1087" s="21"/>
      <c r="P1087" s="21"/>
    </row>
    <row r="1088" spans="12:16">
      <c r="L1088" s="21"/>
      <c r="M1088" s="21"/>
      <c r="P1088" s="21"/>
    </row>
    <row r="1089" spans="12:16">
      <c r="L1089" s="21"/>
      <c r="M1089" s="21"/>
      <c r="P1089" s="21"/>
    </row>
    <row r="1090" spans="12:16">
      <c r="L1090" s="21"/>
      <c r="M1090" s="21"/>
      <c r="P1090" s="21"/>
    </row>
    <row r="1091" spans="12:16">
      <c r="L1091" s="21"/>
      <c r="M1091" s="21"/>
      <c r="P1091" s="21"/>
    </row>
    <row r="1092" spans="12:16">
      <c r="L1092" s="21"/>
      <c r="M1092" s="21"/>
      <c r="P1092" s="21"/>
    </row>
    <row r="1093" spans="12:16">
      <c r="L1093" s="21"/>
      <c r="M1093" s="21"/>
      <c r="P1093" s="21"/>
    </row>
    <row r="1094" spans="12:16">
      <c r="L1094" s="21"/>
      <c r="M1094" s="21"/>
      <c r="P1094" s="21"/>
    </row>
    <row r="1095" spans="12:16">
      <c r="L1095" s="21"/>
      <c r="M1095" s="21"/>
      <c r="P1095" s="21"/>
    </row>
    <row r="1096" spans="12:16">
      <c r="L1096" s="21"/>
      <c r="M1096" s="21"/>
      <c r="P1096" s="21"/>
    </row>
    <row r="1097" spans="12:16">
      <c r="L1097" s="21"/>
      <c r="M1097" s="21"/>
      <c r="P1097" s="21"/>
    </row>
    <row r="1098" spans="12:16">
      <c r="L1098" s="21"/>
      <c r="M1098" s="21"/>
      <c r="P1098" s="21"/>
    </row>
    <row r="1099" spans="12:16">
      <c r="L1099" s="21"/>
      <c r="M1099" s="21"/>
      <c r="P1099" s="21"/>
    </row>
    <row r="1100" spans="12:16">
      <c r="L1100" s="21"/>
      <c r="M1100" s="21"/>
      <c r="P1100" s="21"/>
    </row>
    <row r="1101" spans="12:16">
      <c r="L1101" s="21"/>
      <c r="M1101" s="21"/>
      <c r="P1101" s="21"/>
    </row>
    <row r="1102" spans="12:16">
      <c r="L1102" s="21"/>
      <c r="M1102" s="21"/>
      <c r="P1102" s="21"/>
    </row>
    <row r="1103" spans="12:16">
      <c r="L1103" s="21"/>
      <c r="M1103" s="21"/>
      <c r="P1103" s="21"/>
    </row>
    <row r="1104" spans="12:16">
      <c r="L1104" s="21"/>
      <c r="M1104" s="21"/>
      <c r="P1104" s="21"/>
    </row>
    <row r="1105" spans="12:16">
      <c r="L1105" s="21"/>
      <c r="M1105" s="21"/>
      <c r="P1105" s="21"/>
    </row>
    <row r="1106" spans="12:16">
      <c r="L1106" s="21"/>
      <c r="M1106" s="21"/>
      <c r="P1106" s="21"/>
    </row>
    <row r="1107" spans="12:16">
      <c r="L1107" s="21"/>
      <c r="M1107" s="21"/>
      <c r="P1107" s="21"/>
    </row>
    <row r="1108" spans="12:16">
      <c r="L1108" s="21"/>
      <c r="M1108" s="21"/>
      <c r="P1108" s="21"/>
    </row>
    <row r="1109" spans="12:16">
      <c r="L1109" s="21"/>
      <c r="M1109" s="21"/>
      <c r="P1109" s="21"/>
    </row>
    <row r="1110" spans="12:16">
      <c r="L1110" s="21"/>
      <c r="M1110" s="21"/>
      <c r="P1110" s="21"/>
    </row>
    <row r="1111" spans="12:16">
      <c r="L1111" s="21"/>
      <c r="M1111" s="21"/>
      <c r="P1111" s="21"/>
    </row>
    <row r="1112" spans="12:16">
      <c r="L1112" s="21"/>
      <c r="M1112" s="21"/>
      <c r="P1112" s="21"/>
    </row>
    <row r="1113" spans="12:16">
      <c r="L1113" s="21"/>
      <c r="M1113" s="21"/>
      <c r="P1113" s="21"/>
    </row>
    <row r="1114" spans="12:16">
      <c r="L1114" s="21"/>
      <c r="M1114" s="21"/>
      <c r="P1114" s="21"/>
    </row>
    <row r="1115" spans="12:16">
      <c r="L1115" s="21"/>
      <c r="M1115" s="21"/>
      <c r="P1115" s="21"/>
    </row>
    <row r="1116" spans="12:16">
      <c r="L1116" s="21"/>
      <c r="M1116" s="21"/>
      <c r="P1116" s="21"/>
    </row>
    <row r="1117" spans="12:16">
      <c r="L1117" s="21"/>
      <c r="M1117" s="21"/>
      <c r="P1117" s="21"/>
    </row>
    <row r="1118" spans="12:16">
      <c r="L1118" s="21"/>
      <c r="M1118" s="21"/>
      <c r="P1118" s="21"/>
    </row>
    <row r="1119" spans="12:16">
      <c r="L1119" s="21"/>
      <c r="M1119" s="21"/>
      <c r="P1119" s="21"/>
    </row>
    <row r="1120" spans="12:16">
      <c r="L1120" s="21"/>
      <c r="M1120" s="21"/>
      <c r="P1120" s="21"/>
    </row>
    <row r="1121" spans="12:16">
      <c r="L1121" s="21"/>
      <c r="M1121" s="21"/>
      <c r="P1121" s="21"/>
    </row>
    <row r="1122" spans="12:16">
      <c r="L1122" s="21"/>
      <c r="M1122" s="21"/>
      <c r="P1122" s="21"/>
    </row>
    <row r="1123" spans="12:16">
      <c r="L1123" s="21"/>
      <c r="M1123" s="21"/>
      <c r="P1123" s="21"/>
    </row>
    <row r="1124" spans="12:16">
      <c r="L1124" s="21"/>
      <c r="M1124" s="21"/>
      <c r="P1124" s="21"/>
    </row>
    <row r="1125" spans="12:16">
      <c r="L1125" s="21"/>
      <c r="M1125" s="21"/>
      <c r="P1125" s="21"/>
    </row>
    <row r="1126" spans="12:16">
      <c r="L1126" s="21"/>
      <c r="M1126" s="21"/>
      <c r="P1126" s="21"/>
    </row>
    <row r="1127" spans="12:16">
      <c r="L1127" s="21"/>
      <c r="M1127" s="21"/>
      <c r="P1127" s="21"/>
    </row>
    <row r="1128" spans="12:16">
      <c r="L1128" s="21"/>
      <c r="M1128" s="21"/>
      <c r="P1128" s="21"/>
    </row>
    <row r="1129" spans="12:16">
      <c r="L1129" s="21"/>
      <c r="M1129" s="21"/>
      <c r="P1129" s="21"/>
    </row>
    <row r="1130" spans="12:16">
      <c r="L1130" s="21"/>
      <c r="M1130" s="21"/>
      <c r="P1130" s="21"/>
    </row>
    <row r="1131" spans="12:16">
      <c r="L1131" s="21"/>
      <c r="M1131" s="21"/>
      <c r="P1131" s="21"/>
    </row>
    <row r="1132" spans="12:16">
      <c r="L1132" s="21"/>
      <c r="M1132" s="21"/>
      <c r="P1132" s="21"/>
    </row>
    <row r="1133" spans="12:16">
      <c r="L1133" s="21"/>
      <c r="M1133" s="21"/>
      <c r="P1133" s="21"/>
    </row>
    <row r="1134" spans="12:16">
      <c r="L1134" s="21"/>
      <c r="M1134" s="21"/>
      <c r="P1134" s="21"/>
    </row>
    <row r="1135" spans="12:16">
      <c r="L1135" s="21"/>
      <c r="M1135" s="21"/>
      <c r="P1135" s="21"/>
    </row>
    <row r="1136" spans="12:16">
      <c r="L1136" s="21"/>
      <c r="M1136" s="21"/>
      <c r="P1136" s="21"/>
    </row>
    <row r="1137" spans="12:16">
      <c r="L1137" s="21"/>
      <c r="M1137" s="21"/>
      <c r="P1137" s="21"/>
    </row>
    <row r="1138" spans="12:16">
      <c r="L1138" s="21"/>
      <c r="M1138" s="21"/>
      <c r="P1138" s="21"/>
    </row>
    <row r="1139" spans="12:16">
      <c r="L1139" s="21"/>
      <c r="M1139" s="21"/>
      <c r="P1139" s="21"/>
    </row>
    <row r="1140" spans="12:16">
      <c r="L1140" s="21"/>
      <c r="M1140" s="21"/>
      <c r="P1140" s="21"/>
    </row>
    <row r="1141" spans="12:16">
      <c r="L1141" s="21"/>
      <c r="M1141" s="21"/>
      <c r="P1141" s="21"/>
    </row>
    <row r="1142" spans="12:16">
      <c r="L1142" s="21"/>
      <c r="M1142" s="21"/>
      <c r="P1142" s="21"/>
    </row>
    <row r="1143" spans="12:16">
      <c r="L1143" s="21"/>
      <c r="M1143" s="21"/>
      <c r="P1143" s="21"/>
    </row>
    <row r="1144" spans="12:16">
      <c r="L1144" s="21"/>
      <c r="M1144" s="21"/>
      <c r="P1144" s="21"/>
    </row>
    <row r="1145" spans="12:16">
      <c r="L1145" s="21"/>
      <c r="M1145" s="21"/>
      <c r="P1145" s="21"/>
    </row>
    <row r="1146" spans="12:16">
      <c r="L1146" s="21"/>
      <c r="M1146" s="21"/>
      <c r="P1146" s="21"/>
    </row>
    <row r="1147" spans="12:16">
      <c r="L1147" s="21"/>
      <c r="M1147" s="21"/>
      <c r="P1147" s="21"/>
    </row>
    <row r="1148" spans="12:16">
      <c r="L1148" s="21"/>
      <c r="M1148" s="21"/>
      <c r="P1148" s="21"/>
    </row>
    <row r="1149" spans="12:16">
      <c r="L1149" s="21"/>
      <c r="M1149" s="21"/>
      <c r="P1149" s="21"/>
    </row>
    <row r="1150" spans="12:16">
      <c r="L1150" s="21"/>
      <c r="M1150" s="21"/>
      <c r="P1150" s="21"/>
    </row>
    <row r="1151" spans="12:16">
      <c r="L1151" s="21"/>
      <c r="M1151" s="21"/>
      <c r="P1151" s="21"/>
    </row>
    <row r="1152" spans="12:16">
      <c r="L1152" s="21"/>
      <c r="M1152" s="21"/>
      <c r="P1152" s="21"/>
    </row>
    <row r="1153" spans="12:16">
      <c r="L1153" s="21"/>
      <c r="M1153" s="21"/>
      <c r="P1153" s="21"/>
    </row>
    <row r="1154" spans="12:16">
      <c r="L1154" s="21"/>
      <c r="M1154" s="21"/>
      <c r="P1154" s="21"/>
    </row>
    <row r="1155" spans="12:16">
      <c r="L1155" s="21"/>
      <c r="M1155" s="21"/>
      <c r="P1155" s="21"/>
    </row>
    <row r="1156" spans="12:16">
      <c r="L1156" s="21"/>
      <c r="M1156" s="21"/>
      <c r="P1156" s="21"/>
    </row>
    <row r="1157" spans="12:16">
      <c r="L1157" s="21"/>
      <c r="M1157" s="21"/>
      <c r="P1157" s="21"/>
    </row>
    <row r="1158" spans="12:16">
      <c r="L1158" s="21"/>
      <c r="M1158" s="21"/>
      <c r="P1158" s="21"/>
    </row>
    <row r="1159" spans="12:16">
      <c r="L1159" s="21"/>
      <c r="M1159" s="21"/>
      <c r="P1159" s="21"/>
    </row>
    <row r="1160" spans="12:16">
      <c r="L1160" s="21"/>
      <c r="M1160" s="21"/>
      <c r="P1160" s="21"/>
    </row>
    <row r="1161" spans="12:16">
      <c r="L1161" s="21"/>
      <c r="M1161" s="21"/>
      <c r="P1161" s="21"/>
    </row>
    <row r="1162" spans="12:16">
      <c r="L1162" s="21"/>
      <c r="M1162" s="21"/>
      <c r="P1162" s="21"/>
    </row>
    <row r="1163" spans="12:16">
      <c r="L1163" s="21"/>
      <c r="M1163" s="21"/>
      <c r="P1163" s="21"/>
    </row>
    <row r="1164" spans="12:16">
      <c r="L1164" s="21"/>
      <c r="M1164" s="21"/>
      <c r="P1164" s="21"/>
    </row>
    <row r="1165" spans="12:16">
      <c r="L1165" s="21"/>
      <c r="M1165" s="21"/>
      <c r="P1165" s="21"/>
    </row>
    <row r="1166" spans="12:16">
      <c r="L1166" s="21"/>
      <c r="M1166" s="21"/>
      <c r="P1166" s="21"/>
    </row>
    <row r="1167" spans="12:16">
      <c r="L1167" s="21"/>
      <c r="M1167" s="21"/>
      <c r="P1167" s="21"/>
    </row>
    <row r="1168" spans="12:16">
      <c r="L1168" s="21"/>
      <c r="M1168" s="21"/>
      <c r="P1168" s="21"/>
    </row>
    <row r="1169" spans="12:16">
      <c r="L1169" s="21"/>
      <c r="M1169" s="21"/>
      <c r="P1169" s="21"/>
    </row>
    <row r="1170" spans="12:16">
      <c r="L1170" s="21"/>
      <c r="M1170" s="21"/>
      <c r="P1170" s="21"/>
    </row>
    <row r="1171" spans="12:16">
      <c r="L1171" s="21"/>
      <c r="M1171" s="21"/>
      <c r="P1171" s="21"/>
    </row>
    <row r="1172" spans="12:16">
      <c r="L1172" s="21"/>
      <c r="M1172" s="21"/>
      <c r="P1172" s="21"/>
    </row>
    <row r="1173" spans="12:16">
      <c r="L1173" s="21"/>
      <c r="M1173" s="21"/>
      <c r="P1173" s="21"/>
    </row>
    <row r="1174" spans="12:16">
      <c r="L1174" s="21"/>
      <c r="M1174" s="21"/>
      <c r="P1174" s="21"/>
    </row>
    <row r="1175" spans="12:16">
      <c r="L1175" s="21"/>
      <c r="M1175" s="21"/>
      <c r="P1175" s="21"/>
    </row>
    <row r="1176" spans="12:16">
      <c r="L1176" s="21"/>
      <c r="M1176" s="21"/>
      <c r="P1176" s="21"/>
    </row>
    <row r="1177" spans="12:16">
      <c r="L1177" s="21"/>
      <c r="M1177" s="21"/>
      <c r="P1177" s="21"/>
    </row>
    <row r="1178" spans="12:16">
      <c r="L1178" s="21"/>
      <c r="M1178" s="21"/>
      <c r="P1178" s="21"/>
    </row>
    <row r="1179" spans="12:16">
      <c r="L1179" s="21"/>
      <c r="M1179" s="21"/>
      <c r="P1179" s="21"/>
    </row>
    <row r="1180" spans="12:16">
      <c r="L1180" s="21"/>
      <c r="M1180" s="21"/>
      <c r="P1180" s="21"/>
    </row>
    <row r="1181" spans="12:16">
      <c r="L1181" s="21"/>
      <c r="M1181" s="21"/>
      <c r="P1181" s="21"/>
    </row>
    <row r="1182" spans="12:16">
      <c r="L1182" s="21"/>
      <c r="M1182" s="21"/>
      <c r="P1182" s="21"/>
    </row>
    <row r="1183" spans="12:16">
      <c r="L1183" s="21"/>
      <c r="M1183" s="21"/>
      <c r="P1183" s="21"/>
    </row>
    <row r="1184" spans="12:16">
      <c r="L1184" s="21"/>
      <c r="M1184" s="21"/>
      <c r="P1184" s="21"/>
    </row>
    <row r="1185" spans="12:16">
      <c r="L1185" s="21"/>
      <c r="M1185" s="21"/>
      <c r="P1185" s="21"/>
    </row>
    <row r="1186" spans="12:16">
      <c r="L1186" s="21"/>
      <c r="M1186" s="21"/>
      <c r="P1186" s="21"/>
    </row>
    <row r="1187" spans="12:16">
      <c r="L1187" s="21"/>
      <c r="M1187" s="21"/>
      <c r="P1187" s="21"/>
    </row>
    <row r="1188" spans="12:16">
      <c r="L1188" s="21"/>
      <c r="M1188" s="21"/>
      <c r="P1188" s="21"/>
    </row>
    <row r="1189" spans="12:16">
      <c r="L1189" s="21"/>
      <c r="M1189" s="21"/>
      <c r="P1189" s="21"/>
    </row>
    <row r="1190" spans="12:16">
      <c r="L1190" s="21"/>
      <c r="M1190" s="21"/>
      <c r="P1190" s="21"/>
    </row>
    <row r="1191" spans="12:16">
      <c r="L1191" s="21"/>
      <c r="M1191" s="21"/>
      <c r="P1191" s="21"/>
    </row>
    <row r="1192" spans="12:16">
      <c r="L1192" s="21"/>
      <c r="M1192" s="21"/>
      <c r="P1192" s="21"/>
    </row>
    <row r="1193" spans="12:16">
      <c r="L1193" s="21"/>
      <c r="M1193" s="21"/>
      <c r="P1193" s="21"/>
    </row>
    <row r="1194" spans="12:16">
      <c r="L1194" s="21"/>
      <c r="M1194" s="21"/>
      <c r="P1194" s="21"/>
    </row>
    <row r="1195" spans="12:16">
      <c r="L1195" s="21"/>
      <c r="M1195" s="21"/>
      <c r="P1195" s="21"/>
    </row>
    <row r="1196" spans="12:16">
      <c r="L1196" s="21"/>
      <c r="M1196" s="21"/>
      <c r="P1196" s="21"/>
    </row>
    <row r="1197" spans="12:16">
      <c r="L1197" s="21"/>
      <c r="M1197" s="21"/>
      <c r="P1197" s="21"/>
    </row>
    <row r="1198" spans="12:16">
      <c r="L1198" s="21"/>
      <c r="M1198" s="21"/>
      <c r="P1198" s="21"/>
    </row>
    <row r="1199" spans="12:16">
      <c r="L1199" s="21"/>
      <c r="M1199" s="21"/>
      <c r="P1199" s="21"/>
    </row>
    <row r="1200" spans="12:16">
      <c r="L1200" s="21"/>
      <c r="M1200" s="21"/>
      <c r="P1200" s="21"/>
    </row>
    <row r="1201" spans="12:16">
      <c r="L1201" s="21"/>
      <c r="M1201" s="21"/>
      <c r="P1201" s="21"/>
    </row>
    <row r="1202" spans="12:16">
      <c r="L1202" s="21"/>
      <c r="M1202" s="21"/>
      <c r="P1202" s="21"/>
    </row>
    <row r="1203" spans="12:16">
      <c r="L1203" s="21"/>
      <c r="M1203" s="21"/>
      <c r="P1203" s="21"/>
    </row>
    <row r="1204" spans="12:16">
      <c r="L1204" s="21"/>
      <c r="M1204" s="21"/>
      <c r="P1204" s="21"/>
    </row>
    <row r="1205" spans="12:16">
      <c r="L1205" s="21"/>
      <c r="M1205" s="21"/>
      <c r="P1205" s="21"/>
    </row>
    <row r="1206" spans="12:16">
      <c r="L1206" s="21"/>
      <c r="M1206" s="21"/>
      <c r="P1206" s="21"/>
    </row>
    <row r="1207" spans="12:16">
      <c r="L1207" s="21"/>
      <c r="M1207" s="21"/>
      <c r="P1207" s="21"/>
    </row>
    <row r="1208" spans="12:16">
      <c r="L1208" s="21"/>
      <c r="M1208" s="21"/>
      <c r="P1208" s="21"/>
    </row>
    <row r="1209" spans="12:16">
      <c r="L1209" s="21"/>
      <c r="M1209" s="21"/>
      <c r="P1209" s="21"/>
    </row>
    <row r="1210" spans="12:16">
      <c r="L1210" s="21"/>
      <c r="M1210" s="21"/>
      <c r="P1210" s="21"/>
    </row>
    <row r="1211" spans="12:16">
      <c r="L1211" s="21"/>
      <c r="M1211" s="21"/>
      <c r="P1211" s="21"/>
    </row>
    <row r="1212" spans="12:16">
      <c r="L1212" s="21"/>
      <c r="M1212" s="21"/>
      <c r="P1212" s="21"/>
    </row>
    <row r="1213" spans="12:16">
      <c r="L1213" s="21"/>
      <c r="M1213" s="21"/>
      <c r="P1213" s="21"/>
    </row>
    <row r="1214" spans="12:16">
      <c r="L1214" s="21"/>
      <c r="M1214" s="21"/>
      <c r="P1214" s="21"/>
    </row>
    <row r="1215" spans="12:16">
      <c r="L1215" s="21"/>
      <c r="M1215" s="21"/>
      <c r="P1215" s="21"/>
    </row>
    <row r="1216" spans="12:16">
      <c r="L1216" s="21"/>
      <c r="M1216" s="21"/>
      <c r="P1216" s="21"/>
    </row>
    <row r="1217" spans="12:16">
      <c r="L1217" s="21"/>
      <c r="M1217" s="21"/>
      <c r="P1217" s="21"/>
    </row>
    <row r="1218" spans="12:16">
      <c r="L1218" s="21"/>
      <c r="M1218" s="21"/>
      <c r="P1218" s="21"/>
    </row>
    <row r="1219" spans="12:16">
      <c r="L1219" s="21"/>
      <c r="M1219" s="21"/>
      <c r="P1219" s="21"/>
    </row>
    <row r="1220" spans="12:16">
      <c r="L1220" s="21"/>
      <c r="M1220" s="21"/>
      <c r="P1220" s="21"/>
    </row>
    <row r="1221" spans="12:16">
      <c r="L1221" s="21"/>
      <c r="M1221" s="21"/>
      <c r="P1221" s="21"/>
    </row>
    <row r="1222" spans="12:16">
      <c r="L1222" s="21"/>
      <c r="M1222" s="21"/>
      <c r="P1222" s="21"/>
    </row>
    <row r="1223" spans="12:16">
      <c r="L1223" s="21"/>
      <c r="M1223" s="21"/>
      <c r="P1223" s="21"/>
    </row>
    <row r="1224" spans="12:16">
      <c r="L1224" s="21"/>
      <c r="M1224" s="21"/>
      <c r="P1224" s="21"/>
    </row>
    <row r="1225" spans="12:16">
      <c r="L1225" s="21"/>
      <c r="M1225" s="21"/>
      <c r="P1225" s="21"/>
    </row>
    <row r="1226" spans="12:16">
      <c r="L1226" s="21"/>
      <c r="M1226" s="21"/>
      <c r="P1226" s="21"/>
    </row>
    <row r="1227" spans="12:16">
      <c r="L1227" s="21"/>
      <c r="M1227" s="21"/>
      <c r="P1227" s="21"/>
    </row>
    <row r="1228" spans="12:16">
      <c r="L1228" s="21"/>
      <c r="M1228" s="21"/>
      <c r="P1228" s="21"/>
    </row>
    <row r="1229" spans="12:16">
      <c r="L1229" s="21"/>
      <c r="M1229" s="21"/>
      <c r="P1229" s="21"/>
    </row>
    <row r="1230" spans="12:16">
      <c r="L1230" s="21"/>
      <c r="M1230" s="21"/>
      <c r="P1230" s="21"/>
    </row>
    <row r="1231" spans="12:16">
      <c r="L1231" s="21"/>
      <c r="M1231" s="21"/>
      <c r="P1231" s="21"/>
    </row>
    <row r="1232" spans="12:16">
      <c r="L1232" s="21"/>
      <c r="M1232" s="21"/>
      <c r="P1232" s="21"/>
    </row>
    <row r="1233" spans="12:16">
      <c r="L1233" s="21"/>
      <c r="M1233" s="21"/>
      <c r="P1233" s="21"/>
    </row>
    <row r="1234" spans="12:16">
      <c r="L1234" s="21"/>
      <c r="M1234" s="21"/>
      <c r="P1234" s="21"/>
    </row>
    <row r="1235" spans="12:16">
      <c r="L1235" s="21"/>
      <c r="M1235" s="21"/>
      <c r="P1235" s="21"/>
    </row>
    <row r="1236" spans="12:16">
      <c r="L1236" s="21"/>
      <c r="M1236" s="21"/>
      <c r="P1236" s="21"/>
    </row>
    <row r="1237" spans="12:16">
      <c r="L1237" s="21"/>
      <c r="M1237" s="21"/>
      <c r="P1237" s="21"/>
    </row>
    <row r="1238" spans="12:16">
      <c r="L1238" s="21"/>
      <c r="M1238" s="21"/>
      <c r="P1238" s="21"/>
    </row>
    <row r="1239" spans="12:16">
      <c r="L1239" s="21"/>
      <c r="M1239" s="21"/>
      <c r="P1239" s="21"/>
    </row>
    <row r="1240" spans="12:16">
      <c r="L1240" s="21"/>
      <c r="M1240" s="21"/>
      <c r="P1240" s="21"/>
    </row>
    <row r="1241" spans="12:16">
      <c r="L1241" s="21"/>
      <c r="M1241" s="21"/>
      <c r="P1241" s="21"/>
    </row>
    <row r="1242" spans="12:16">
      <c r="L1242" s="21"/>
      <c r="M1242" s="21"/>
      <c r="P1242" s="21"/>
    </row>
    <row r="1243" spans="12:16">
      <c r="L1243" s="21"/>
      <c r="M1243" s="21"/>
      <c r="P1243" s="21"/>
    </row>
    <row r="1244" spans="12:16">
      <c r="L1244" s="21"/>
      <c r="M1244" s="21"/>
      <c r="P1244" s="21"/>
    </row>
    <row r="1245" spans="12:16">
      <c r="L1245" s="21"/>
      <c r="M1245" s="21"/>
      <c r="P1245" s="21"/>
    </row>
    <row r="1246" spans="12:16">
      <c r="L1246" s="21"/>
      <c r="M1246" s="21"/>
      <c r="P1246" s="21"/>
    </row>
    <row r="1247" spans="12:16">
      <c r="L1247" s="21"/>
      <c r="M1247" s="21"/>
      <c r="P1247" s="21"/>
    </row>
    <row r="1248" spans="12:16">
      <c r="L1248" s="21"/>
      <c r="M1248" s="21"/>
      <c r="P1248" s="21"/>
    </row>
    <row r="1249" spans="12:16">
      <c r="L1249" s="21"/>
      <c r="M1249" s="21"/>
      <c r="P1249" s="21"/>
    </row>
    <row r="1250" spans="12:16">
      <c r="L1250" s="21"/>
      <c r="M1250" s="21"/>
      <c r="P1250" s="21"/>
    </row>
    <row r="1251" spans="12:16">
      <c r="L1251" s="21"/>
      <c r="M1251" s="21"/>
      <c r="P1251" s="21"/>
    </row>
    <row r="1252" spans="12:16">
      <c r="L1252" s="21"/>
      <c r="M1252" s="21"/>
      <c r="P1252" s="21"/>
    </row>
    <row r="1253" spans="12:16">
      <c r="L1253" s="21"/>
      <c r="M1253" s="21"/>
      <c r="P1253" s="21"/>
    </row>
    <row r="1254" spans="12:16">
      <c r="L1254" s="21"/>
      <c r="M1254" s="21"/>
      <c r="P1254" s="21"/>
    </row>
    <row r="1255" spans="12:16">
      <c r="L1255" s="21"/>
      <c r="M1255" s="21"/>
      <c r="P1255" s="21"/>
    </row>
    <row r="1256" spans="12:16">
      <c r="L1256" s="21"/>
      <c r="M1256" s="21"/>
      <c r="P1256" s="21"/>
    </row>
    <row r="1257" spans="12:16">
      <c r="L1257" s="21"/>
      <c r="M1257" s="21"/>
      <c r="P1257" s="21"/>
    </row>
    <row r="1258" spans="12:16">
      <c r="L1258" s="21"/>
      <c r="M1258" s="21"/>
      <c r="P1258" s="21"/>
    </row>
    <row r="1259" spans="12:16">
      <c r="L1259" s="21"/>
      <c r="M1259" s="21"/>
      <c r="P1259" s="21"/>
    </row>
    <row r="1260" spans="12:16">
      <c r="L1260" s="21"/>
      <c r="M1260" s="21"/>
      <c r="P1260" s="21"/>
    </row>
    <row r="1261" spans="12:16">
      <c r="L1261" s="21"/>
      <c r="M1261" s="21"/>
      <c r="P1261" s="21"/>
    </row>
    <row r="1262" spans="12:16">
      <c r="L1262" s="21"/>
      <c r="M1262" s="21"/>
      <c r="P1262" s="21"/>
    </row>
    <row r="1263" spans="12:16">
      <c r="L1263" s="21"/>
      <c r="M1263" s="21"/>
      <c r="P1263" s="21"/>
    </row>
    <row r="1264" spans="12:16">
      <c r="L1264" s="21"/>
      <c r="M1264" s="21"/>
      <c r="P1264" s="21"/>
    </row>
    <row r="1265" spans="12:16">
      <c r="L1265" s="21"/>
      <c r="M1265" s="21"/>
      <c r="P1265" s="21"/>
    </row>
    <row r="1266" spans="12:16">
      <c r="L1266" s="21"/>
      <c r="M1266" s="21"/>
      <c r="P1266" s="21"/>
    </row>
    <row r="1267" spans="12:16">
      <c r="L1267" s="21"/>
      <c r="M1267" s="21"/>
      <c r="P1267" s="21"/>
    </row>
    <row r="1268" spans="12:16">
      <c r="L1268" s="21"/>
      <c r="M1268" s="21"/>
      <c r="P1268" s="21"/>
    </row>
    <row r="1269" spans="12:16">
      <c r="L1269" s="21"/>
      <c r="M1269" s="21"/>
      <c r="P1269" s="21"/>
    </row>
    <row r="1270" spans="12:16">
      <c r="L1270" s="21"/>
      <c r="M1270" s="21"/>
      <c r="P1270" s="21"/>
    </row>
    <row r="1271" spans="12:16">
      <c r="L1271" s="21"/>
      <c r="M1271" s="21"/>
      <c r="P1271" s="21"/>
    </row>
    <row r="1272" spans="12:16">
      <c r="L1272" s="21"/>
      <c r="M1272" s="21"/>
      <c r="P1272" s="21"/>
    </row>
    <row r="1273" spans="12:16">
      <c r="L1273" s="21"/>
      <c r="M1273" s="21"/>
      <c r="P1273" s="21"/>
    </row>
    <row r="1274" spans="12:16">
      <c r="L1274" s="21"/>
      <c r="M1274" s="21"/>
      <c r="P1274" s="21"/>
    </row>
    <row r="1275" spans="12:16">
      <c r="L1275" s="21"/>
      <c r="M1275" s="21"/>
      <c r="P1275" s="21"/>
    </row>
    <row r="1276" spans="12:16">
      <c r="L1276" s="21"/>
      <c r="M1276" s="21"/>
      <c r="P1276" s="21"/>
    </row>
    <row r="1277" spans="12:16">
      <c r="L1277" s="21"/>
      <c r="M1277" s="21"/>
      <c r="P1277" s="21"/>
    </row>
    <row r="1278" spans="12:16">
      <c r="L1278" s="21"/>
      <c r="M1278" s="21"/>
      <c r="P1278" s="21"/>
    </row>
    <row r="1279" spans="12:16">
      <c r="L1279" s="21"/>
      <c r="M1279" s="21"/>
      <c r="P1279" s="21"/>
    </row>
    <row r="1280" spans="12:16">
      <c r="L1280" s="21"/>
      <c r="M1280" s="21"/>
      <c r="P1280" s="21"/>
    </row>
    <row r="1281" spans="12:16">
      <c r="L1281" s="21"/>
      <c r="M1281" s="21"/>
      <c r="P1281" s="21"/>
    </row>
    <row r="1282" spans="12:16">
      <c r="L1282" s="21"/>
      <c r="M1282" s="21"/>
      <c r="P1282" s="21"/>
    </row>
    <row r="1283" spans="12:16">
      <c r="L1283" s="21"/>
      <c r="M1283" s="21"/>
      <c r="P1283" s="21"/>
    </row>
    <row r="1284" spans="12:16">
      <c r="L1284" s="21"/>
      <c r="M1284" s="21"/>
      <c r="P1284" s="21"/>
    </row>
    <row r="1285" spans="12:16">
      <c r="L1285" s="21"/>
      <c r="M1285" s="21"/>
      <c r="P1285" s="21"/>
    </row>
    <row r="1286" spans="12:16">
      <c r="L1286" s="21"/>
      <c r="M1286" s="21"/>
      <c r="P1286" s="21"/>
    </row>
    <row r="1287" spans="12:16">
      <c r="L1287" s="21"/>
      <c r="M1287" s="21"/>
      <c r="P1287" s="21"/>
    </row>
    <row r="1288" spans="12:16">
      <c r="L1288" s="21"/>
      <c r="M1288" s="21"/>
      <c r="P1288" s="21"/>
    </row>
    <row r="1289" spans="12:16">
      <c r="L1289" s="21"/>
      <c r="M1289" s="21"/>
      <c r="P1289" s="21"/>
    </row>
    <row r="1290" spans="12:16">
      <c r="L1290" s="21"/>
      <c r="M1290" s="21"/>
      <c r="P1290" s="21"/>
    </row>
    <row r="1291" spans="12:16">
      <c r="L1291" s="21"/>
      <c r="M1291" s="21"/>
      <c r="P1291" s="21"/>
    </row>
    <row r="1292" spans="12:16">
      <c r="L1292" s="21"/>
      <c r="M1292" s="21"/>
      <c r="P1292" s="21"/>
    </row>
    <row r="1293" spans="12:16">
      <c r="L1293" s="21"/>
      <c r="M1293" s="21"/>
      <c r="P1293" s="21"/>
    </row>
    <row r="1294" spans="12:16">
      <c r="L1294" s="21"/>
      <c r="M1294" s="21"/>
      <c r="P1294" s="21"/>
    </row>
    <row r="1295" spans="12:16">
      <c r="L1295" s="21"/>
      <c r="M1295" s="21"/>
      <c r="P1295" s="21"/>
    </row>
    <row r="1296" spans="12:16">
      <c r="L1296" s="21"/>
      <c r="M1296" s="21"/>
      <c r="P1296" s="21"/>
    </row>
    <row r="1297" spans="12:16">
      <c r="L1297" s="21"/>
      <c r="M1297" s="21"/>
      <c r="P1297" s="21"/>
    </row>
    <row r="1298" spans="12:16">
      <c r="L1298" s="21"/>
      <c r="M1298" s="21"/>
      <c r="P1298" s="21"/>
    </row>
    <row r="1299" spans="12:16">
      <c r="L1299" s="21"/>
      <c r="M1299" s="21"/>
      <c r="P1299" s="21"/>
    </row>
    <row r="1300" spans="12:16">
      <c r="L1300" s="21"/>
      <c r="M1300" s="21"/>
      <c r="P1300" s="21"/>
    </row>
    <row r="1301" spans="12:16">
      <c r="L1301" s="21"/>
      <c r="M1301" s="21"/>
      <c r="P1301" s="21"/>
    </row>
    <row r="1302" spans="12:16">
      <c r="L1302" s="21"/>
      <c r="M1302" s="21"/>
      <c r="P1302" s="21"/>
    </row>
    <row r="1303" spans="12:16">
      <c r="L1303" s="21"/>
      <c r="M1303" s="21"/>
      <c r="P1303" s="21"/>
    </row>
    <row r="1304" spans="12:16">
      <c r="L1304" s="21"/>
      <c r="M1304" s="21"/>
      <c r="P1304" s="21"/>
    </row>
    <row r="1305" spans="12:16">
      <c r="L1305" s="21"/>
      <c r="M1305" s="21"/>
      <c r="P1305" s="21"/>
    </row>
    <row r="1306" spans="12:16">
      <c r="L1306" s="21"/>
      <c r="M1306" s="21"/>
      <c r="P1306" s="21"/>
    </row>
    <row r="1307" spans="12:16">
      <c r="L1307" s="21"/>
      <c r="M1307" s="21"/>
      <c r="P1307" s="21"/>
    </row>
    <row r="1308" spans="12:16">
      <c r="L1308" s="21"/>
      <c r="M1308" s="21"/>
      <c r="P1308" s="21"/>
    </row>
    <row r="1309" spans="12:16">
      <c r="L1309" s="21"/>
      <c r="M1309" s="21"/>
      <c r="P1309" s="21"/>
    </row>
    <row r="1310" spans="12:16">
      <c r="L1310" s="21"/>
      <c r="M1310" s="21"/>
      <c r="P1310" s="21"/>
    </row>
    <row r="1311" spans="12:16">
      <c r="L1311" s="21"/>
      <c r="M1311" s="21"/>
      <c r="P1311" s="21"/>
    </row>
    <row r="1312" spans="12:16">
      <c r="L1312" s="21"/>
      <c r="M1312" s="21"/>
      <c r="P1312" s="21"/>
    </row>
    <row r="1313" spans="12:16">
      <c r="L1313" s="21"/>
      <c r="M1313" s="21"/>
      <c r="P1313" s="21"/>
    </row>
    <row r="1314" spans="12:16">
      <c r="L1314" s="21"/>
      <c r="M1314" s="21"/>
      <c r="P1314" s="21"/>
    </row>
    <row r="1315" spans="12:16">
      <c r="L1315" s="21"/>
      <c r="M1315" s="21"/>
      <c r="P1315" s="21"/>
    </row>
    <row r="1316" spans="12:16">
      <c r="L1316" s="21"/>
      <c r="M1316" s="21"/>
      <c r="P1316" s="21"/>
    </row>
    <row r="1317" spans="12:16">
      <c r="L1317" s="21"/>
      <c r="M1317" s="21"/>
      <c r="P1317" s="21"/>
    </row>
    <row r="1318" spans="12:16">
      <c r="L1318" s="21"/>
      <c r="M1318" s="21"/>
      <c r="P1318" s="21"/>
    </row>
    <row r="1319" spans="12:16">
      <c r="L1319" s="21"/>
      <c r="M1319" s="21"/>
      <c r="P1319" s="21"/>
    </row>
    <row r="1320" spans="12:16">
      <c r="L1320" s="21"/>
      <c r="M1320" s="21"/>
      <c r="P1320" s="21"/>
    </row>
    <row r="1321" spans="12:16">
      <c r="L1321" s="21"/>
      <c r="M1321" s="21"/>
      <c r="P1321" s="21"/>
    </row>
    <row r="1322" spans="12:16">
      <c r="L1322" s="21"/>
      <c r="M1322" s="21"/>
      <c r="P1322" s="21"/>
    </row>
    <row r="1323" spans="12:16">
      <c r="L1323" s="21"/>
      <c r="M1323" s="21"/>
      <c r="P1323" s="21"/>
    </row>
    <row r="1324" spans="12:16">
      <c r="L1324" s="21"/>
      <c r="M1324" s="21"/>
      <c r="P1324" s="21"/>
    </row>
    <row r="1325" spans="12:16">
      <c r="L1325" s="21"/>
      <c r="M1325" s="21"/>
      <c r="P1325" s="21"/>
    </row>
    <row r="1326" spans="12:16">
      <c r="L1326" s="21"/>
      <c r="M1326" s="21"/>
      <c r="P1326" s="21"/>
    </row>
    <row r="1327" spans="12:16">
      <c r="L1327" s="21"/>
      <c r="M1327" s="21"/>
      <c r="P1327" s="21"/>
    </row>
    <row r="1328" spans="12:16">
      <c r="L1328" s="21"/>
      <c r="M1328" s="21"/>
      <c r="P1328" s="21"/>
    </row>
    <row r="1329" spans="12:16">
      <c r="L1329" s="21"/>
      <c r="M1329" s="21"/>
      <c r="P1329" s="21"/>
    </row>
    <row r="1330" spans="12:16">
      <c r="L1330" s="21"/>
      <c r="M1330" s="21"/>
      <c r="P1330" s="21"/>
    </row>
    <row r="1331" spans="12:16">
      <c r="L1331" s="21"/>
      <c r="M1331" s="21"/>
      <c r="P1331" s="21"/>
    </row>
    <row r="1332" spans="12:16">
      <c r="L1332" s="21"/>
      <c r="M1332" s="21"/>
      <c r="P1332" s="21"/>
    </row>
    <row r="1333" spans="12:16">
      <c r="L1333" s="21"/>
      <c r="M1333" s="21"/>
      <c r="P1333" s="21"/>
    </row>
    <row r="1334" spans="12:16">
      <c r="L1334" s="21"/>
      <c r="M1334" s="21"/>
      <c r="P1334" s="21"/>
    </row>
    <row r="1335" spans="12:16">
      <c r="L1335" s="21"/>
      <c r="M1335" s="21"/>
      <c r="P1335" s="21"/>
    </row>
    <row r="1336" spans="12:16">
      <c r="L1336" s="21"/>
      <c r="M1336" s="21"/>
      <c r="P1336" s="21"/>
    </row>
    <row r="1337" spans="12:16">
      <c r="L1337" s="21"/>
      <c r="M1337" s="21"/>
      <c r="P1337" s="21"/>
    </row>
    <row r="1338" spans="12:16">
      <c r="L1338" s="21"/>
      <c r="M1338" s="21"/>
      <c r="P1338" s="21"/>
    </row>
    <row r="1339" spans="12:16">
      <c r="L1339" s="21"/>
      <c r="M1339" s="21"/>
      <c r="P1339" s="21"/>
    </row>
    <row r="1340" spans="12:16">
      <c r="L1340" s="21"/>
      <c r="M1340" s="21"/>
      <c r="P1340" s="21"/>
    </row>
    <row r="1341" spans="12:16">
      <c r="L1341" s="21"/>
      <c r="M1341" s="21"/>
      <c r="P1341" s="21"/>
    </row>
    <row r="1342" spans="12:16">
      <c r="L1342" s="21"/>
      <c r="M1342" s="21"/>
      <c r="P1342" s="21"/>
    </row>
    <row r="1343" spans="12:16">
      <c r="L1343" s="21"/>
      <c r="M1343" s="21"/>
      <c r="P1343" s="21"/>
    </row>
    <row r="1344" spans="12:16">
      <c r="L1344" s="21"/>
      <c r="M1344" s="21"/>
      <c r="P1344" s="21"/>
    </row>
    <row r="1345" spans="12:16">
      <c r="L1345" s="21"/>
      <c r="M1345" s="21"/>
      <c r="P1345" s="21"/>
    </row>
    <row r="1346" spans="12:16">
      <c r="L1346" s="21"/>
      <c r="M1346" s="21"/>
      <c r="P1346" s="21"/>
    </row>
    <row r="1347" spans="12:16">
      <c r="L1347" s="21"/>
      <c r="M1347" s="21"/>
      <c r="P1347" s="21"/>
    </row>
    <row r="1348" spans="12:16">
      <c r="L1348" s="21"/>
      <c r="M1348" s="21"/>
      <c r="P1348" s="21"/>
    </row>
    <row r="1349" spans="12:16">
      <c r="L1349" s="21"/>
      <c r="M1349" s="21"/>
      <c r="P1349" s="21"/>
    </row>
    <row r="1350" spans="12:16">
      <c r="L1350" s="21"/>
      <c r="M1350" s="21"/>
      <c r="P1350" s="21"/>
    </row>
    <row r="1351" spans="12:16">
      <c r="L1351" s="21"/>
      <c r="M1351" s="21"/>
      <c r="P1351" s="21"/>
    </row>
    <row r="1352" spans="12:16">
      <c r="L1352" s="21"/>
      <c r="M1352" s="21"/>
      <c r="P1352" s="21"/>
    </row>
    <row r="1353" spans="12:16">
      <c r="L1353" s="21"/>
      <c r="M1353" s="21"/>
      <c r="P1353" s="21"/>
    </row>
    <row r="1354" spans="12:16">
      <c r="L1354" s="21"/>
      <c r="M1354" s="21"/>
      <c r="P1354" s="21"/>
    </row>
    <row r="1355" spans="12:16">
      <c r="L1355" s="21"/>
      <c r="M1355" s="21"/>
      <c r="P1355" s="21"/>
    </row>
    <row r="1356" spans="12:16">
      <c r="L1356" s="21"/>
      <c r="M1356" s="21"/>
      <c r="P1356" s="21"/>
    </row>
    <row r="1357" spans="12:16">
      <c r="L1357" s="21"/>
      <c r="M1357" s="21"/>
      <c r="P1357" s="21"/>
    </row>
    <row r="1358" spans="12:16">
      <c r="L1358" s="21"/>
      <c r="M1358" s="21"/>
      <c r="P1358" s="21"/>
    </row>
    <row r="1359" spans="12:16">
      <c r="L1359" s="21"/>
      <c r="M1359" s="21"/>
      <c r="P1359" s="21"/>
    </row>
    <row r="1360" spans="12:16">
      <c r="L1360" s="21"/>
      <c r="M1360" s="21"/>
      <c r="P1360" s="21"/>
    </row>
    <row r="1361" spans="12:16">
      <c r="L1361" s="21"/>
      <c r="M1361" s="21"/>
      <c r="P1361" s="21"/>
    </row>
    <row r="1362" spans="12:16">
      <c r="L1362" s="21"/>
      <c r="M1362" s="21"/>
      <c r="P1362" s="21"/>
    </row>
    <row r="1363" spans="12:16">
      <c r="L1363" s="21"/>
      <c r="M1363" s="21"/>
      <c r="P1363" s="21"/>
    </row>
    <row r="1364" spans="12:16">
      <c r="L1364" s="21"/>
      <c r="M1364" s="21"/>
      <c r="P1364" s="21"/>
    </row>
    <row r="1365" spans="12:16">
      <c r="L1365" s="21"/>
      <c r="M1365" s="21"/>
      <c r="P1365" s="21"/>
    </row>
    <row r="1366" spans="12:16">
      <c r="L1366" s="21"/>
      <c r="M1366" s="21"/>
      <c r="P1366" s="21"/>
    </row>
    <row r="1367" spans="12:16">
      <c r="L1367" s="21"/>
      <c r="M1367" s="21"/>
      <c r="P1367" s="21"/>
    </row>
    <row r="1368" spans="12:16">
      <c r="L1368" s="21"/>
      <c r="M1368" s="21"/>
      <c r="P1368" s="21"/>
    </row>
    <row r="1369" spans="12:16">
      <c r="L1369" s="21"/>
      <c r="M1369" s="21"/>
      <c r="P1369" s="21"/>
    </row>
    <row r="1370" spans="12:16">
      <c r="L1370" s="21"/>
      <c r="M1370" s="21"/>
      <c r="P1370" s="21"/>
    </row>
    <row r="1371" spans="12:16">
      <c r="L1371" s="21"/>
      <c r="M1371" s="21"/>
      <c r="P1371" s="21"/>
    </row>
    <row r="1372" spans="12:16">
      <c r="L1372" s="21"/>
      <c r="M1372" s="21"/>
      <c r="P1372" s="21"/>
    </row>
    <row r="1373" spans="12:16">
      <c r="L1373" s="21"/>
      <c r="M1373" s="21"/>
      <c r="P1373" s="21"/>
    </row>
    <row r="1374" spans="12:16">
      <c r="L1374" s="21"/>
      <c r="M1374" s="21"/>
      <c r="P1374" s="21"/>
    </row>
    <row r="1375" spans="12:16">
      <c r="L1375" s="21"/>
      <c r="M1375" s="21"/>
      <c r="P1375" s="21"/>
    </row>
    <row r="1376" spans="12:16">
      <c r="L1376" s="21"/>
      <c r="M1376" s="21"/>
      <c r="P1376" s="21"/>
    </row>
    <row r="1377" spans="12:16">
      <c r="L1377" s="21"/>
      <c r="M1377" s="21"/>
      <c r="P1377" s="21"/>
    </row>
    <row r="1378" spans="12:16">
      <c r="L1378" s="21"/>
      <c r="M1378" s="21"/>
      <c r="P1378" s="21"/>
    </row>
    <row r="1379" spans="12:16">
      <c r="L1379" s="21"/>
      <c r="M1379" s="21"/>
      <c r="P1379" s="21"/>
    </row>
    <row r="1380" spans="12:16">
      <c r="L1380" s="21"/>
      <c r="M1380" s="21"/>
      <c r="P1380" s="21"/>
    </row>
    <row r="1381" spans="12:16">
      <c r="L1381" s="21"/>
      <c r="M1381" s="21"/>
      <c r="P1381" s="21"/>
    </row>
    <row r="1382" spans="12:16">
      <c r="L1382" s="21"/>
      <c r="M1382" s="21"/>
      <c r="P1382" s="21"/>
    </row>
    <row r="1383" spans="12:16">
      <c r="L1383" s="21"/>
      <c r="M1383" s="21"/>
      <c r="P1383" s="21"/>
    </row>
    <row r="1384" spans="12:16">
      <c r="L1384" s="21"/>
      <c r="M1384" s="21"/>
      <c r="P1384" s="21"/>
    </row>
    <row r="1385" spans="12:16">
      <c r="L1385" s="21"/>
      <c r="M1385" s="21"/>
      <c r="P1385" s="21"/>
    </row>
    <row r="1386" spans="12:16">
      <c r="L1386" s="21"/>
      <c r="M1386" s="21"/>
      <c r="P1386" s="21"/>
    </row>
    <row r="1387" spans="12:16">
      <c r="L1387" s="21"/>
      <c r="M1387" s="21"/>
      <c r="P1387" s="21"/>
    </row>
    <row r="1388" spans="12:16">
      <c r="L1388" s="21"/>
      <c r="M1388" s="21"/>
      <c r="P1388" s="21"/>
    </row>
    <row r="1389" spans="12:16">
      <c r="L1389" s="21"/>
      <c r="M1389" s="21"/>
      <c r="P1389" s="21"/>
    </row>
    <row r="1390" spans="12:16">
      <c r="L1390" s="21"/>
      <c r="M1390" s="21"/>
      <c r="P1390" s="21"/>
    </row>
    <row r="1391" spans="12:16">
      <c r="L1391" s="21"/>
      <c r="M1391" s="21"/>
      <c r="P1391" s="21"/>
    </row>
    <row r="1392" spans="12:16">
      <c r="L1392" s="21"/>
      <c r="M1392" s="21"/>
      <c r="P1392" s="21"/>
    </row>
    <row r="1393" spans="12:16">
      <c r="L1393" s="21"/>
      <c r="M1393" s="21"/>
      <c r="P1393" s="21"/>
    </row>
    <row r="1394" spans="12:16">
      <c r="L1394" s="21"/>
      <c r="M1394" s="21"/>
      <c r="P1394" s="21"/>
    </row>
    <row r="1395" spans="12:16">
      <c r="L1395" s="21"/>
      <c r="M1395" s="21"/>
      <c r="P1395" s="21"/>
    </row>
    <row r="1396" spans="12:16">
      <c r="L1396" s="21"/>
      <c r="M1396" s="21"/>
      <c r="P1396" s="21"/>
    </row>
    <row r="1397" spans="12:16">
      <c r="L1397" s="21"/>
      <c r="M1397" s="21"/>
      <c r="P1397" s="21"/>
    </row>
    <row r="1398" spans="12:16">
      <c r="L1398" s="21"/>
      <c r="M1398" s="21"/>
      <c r="P1398" s="21"/>
    </row>
    <row r="1399" spans="12:16">
      <c r="L1399" s="21"/>
      <c r="M1399" s="21"/>
      <c r="P1399" s="21"/>
    </row>
    <row r="1400" spans="12:16">
      <c r="L1400" s="21"/>
      <c r="M1400" s="21"/>
      <c r="P1400" s="21"/>
    </row>
    <row r="1401" spans="12:16">
      <c r="L1401" s="21"/>
      <c r="M1401" s="21"/>
      <c r="P1401" s="21"/>
    </row>
    <row r="1402" spans="12:16">
      <c r="L1402" s="21"/>
      <c r="M1402" s="21"/>
      <c r="P1402" s="21"/>
    </row>
    <row r="1403" spans="12:16">
      <c r="L1403" s="21"/>
      <c r="M1403" s="21"/>
      <c r="P1403" s="21"/>
    </row>
    <row r="1404" spans="12:16">
      <c r="L1404" s="21"/>
      <c r="M1404" s="21"/>
      <c r="P1404" s="21"/>
    </row>
    <row r="1405" spans="12:16">
      <c r="L1405" s="21"/>
      <c r="M1405" s="21"/>
      <c r="P1405" s="21"/>
    </row>
    <row r="1406" spans="12:16">
      <c r="L1406" s="21"/>
      <c r="M1406" s="21"/>
      <c r="P1406" s="21"/>
    </row>
    <row r="1407" spans="12:16">
      <c r="L1407" s="21"/>
      <c r="M1407" s="21"/>
      <c r="P1407" s="21"/>
    </row>
    <row r="1408" spans="12:16">
      <c r="L1408" s="21"/>
      <c r="M1408" s="21"/>
      <c r="P1408" s="21"/>
    </row>
    <row r="1409" spans="12:16">
      <c r="L1409" s="21"/>
      <c r="M1409" s="21"/>
      <c r="P1409" s="21"/>
    </row>
    <row r="1410" spans="12:16">
      <c r="L1410" s="21"/>
      <c r="M1410" s="21"/>
      <c r="P1410" s="21"/>
    </row>
    <row r="1411" spans="12:16">
      <c r="L1411" s="21"/>
      <c r="M1411" s="21"/>
      <c r="P1411" s="21"/>
    </row>
    <row r="1412" spans="12:16">
      <c r="L1412" s="21"/>
      <c r="M1412" s="21"/>
      <c r="P1412" s="21"/>
    </row>
    <row r="1413" spans="12:16">
      <c r="L1413" s="21"/>
      <c r="M1413" s="21"/>
      <c r="P1413" s="21"/>
    </row>
    <row r="1414" spans="12:16">
      <c r="L1414" s="21"/>
      <c r="M1414" s="21"/>
      <c r="P1414" s="21"/>
    </row>
    <row r="1415" spans="12:16">
      <c r="L1415" s="21"/>
      <c r="M1415" s="21"/>
      <c r="P1415" s="21"/>
    </row>
    <row r="1416" spans="12:16">
      <c r="L1416" s="21"/>
      <c r="M1416" s="21"/>
      <c r="P1416" s="21"/>
    </row>
    <row r="1417" spans="12:16">
      <c r="L1417" s="21"/>
      <c r="M1417" s="21"/>
      <c r="P1417" s="21"/>
    </row>
    <row r="1418" spans="12:16">
      <c r="L1418" s="21"/>
      <c r="M1418" s="21"/>
      <c r="P1418" s="21"/>
    </row>
    <row r="1419" spans="12:16">
      <c r="L1419" s="21"/>
      <c r="M1419" s="21"/>
      <c r="P1419" s="21"/>
    </row>
    <row r="1420" spans="12:16">
      <c r="L1420" s="21"/>
      <c r="M1420" s="21"/>
      <c r="P1420" s="21"/>
    </row>
    <row r="1421" spans="12:16">
      <c r="L1421" s="21"/>
      <c r="M1421" s="21"/>
      <c r="P1421" s="21"/>
    </row>
    <row r="1422" spans="12:16">
      <c r="L1422" s="21"/>
      <c r="M1422" s="21"/>
      <c r="P1422" s="21"/>
    </row>
    <row r="1423" spans="12:16">
      <c r="L1423" s="21"/>
      <c r="M1423" s="21"/>
      <c r="P1423" s="21"/>
    </row>
    <row r="1424" spans="12:16">
      <c r="L1424" s="21"/>
      <c r="M1424" s="21"/>
      <c r="P1424" s="21"/>
    </row>
    <row r="1425" spans="12:16">
      <c r="L1425" s="21"/>
      <c r="M1425" s="21"/>
      <c r="P1425" s="21"/>
    </row>
    <row r="1426" spans="12:16">
      <c r="L1426" s="21"/>
      <c r="M1426" s="21"/>
      <c r="P1426" s="21"/>
    </row>
    <row r="1427" spans="12:16">
      <c r="L1427" s="21"/>
      <c r="M1427" s="21"/>
      <c r="P1427" s="21"/>
    </row>
    <row r="1428" spans="12:16">
      <c r="L1428" s="21"/>
      <c r="M1428" s="21"/>
      <c r="P1428" s="21"/>
    </row>
    <row r="1429" spans="12:16">
      <c r="L1429" s="21"/>
      <c r="M1429" s="21"/>
      <c r="P1429" s="21"/>
    </row>
    <row r="1430" spans="12:16">
      <c r="L1430" s="21"/>
      <c r="M1430" s="21"/>
      <c r="P1430" s="21"/>
    </row>
    <row r="1431" spans="12:16">
      <c r="L1431" s="21"/>
      <c r="M1431" s="21"/>
      <c r="P1431" s="21"/>
    </row>
    <row r="1432" spans="12:16">
      <c r="L1432" s="21"/>
      <c r="M1432" s="21"/>
      <c r="P1432" s="21"/>
    </row>
    <row r="1433" spans="12:16">
      <c r="L1433" s="21"/>
      <c r="M1433" s="21"/>
      <c r="P1433" s="21"/>
    </row>
    <row r="1434" spans="12:16">
      <c r="L1434" s="21"/>
      <c r="M1434" s="21"/>
      <c r="P1434" s="21"/>
    </row>
    <row r="1435" spans="12:16">
      <c r="L1435" s="21"/>
      <c r="M1435" s="21"/>
      <c r="P1435" s="21"/>
    </row>
    <row r="1436" spans="12:16">
      <c r="L1436" s="21"/>
      <c r="M1436" s="21"/>
      <c r="P1436" s="21"/>
    </row>
    <row r="1437" spans="12:16">
      <c r="L1437" s="21"/>
      <c r="M1437" s="21"/>
      <c r="P1437" s="21"/>
    </row>
    <row r="1438" spans="12:16">
      <c r="L1438" s="21"/>
      <c r="M1438" s="21"/>
      <c r="P1438" s="21"/>
    </row>
    <row r="1439" spans="12:16">
      <c r="L1439" s="21"/>
      <c r="M1439" s="21"/>
      <c r="P1439" s="21"/>
    </row>
    <row r="1440" spans="12:16">
      <c r="L1440" s="21"/>
      <c r="M1440" s="21"/>
      <c r="P1440" s="21"/>
    </row>
    <row r="1441" spans="12:16">
      <c r="L1441" s="21"/>
      <c r="M1441" s="21"/>
      <c r="P1441" s="21"/>
    </row>
    <row r="1442" spans="12:16">
      <c r="L1442" s="21"/>
      <c r="M1442" s="21"/>
      <c r="P1442" s="21"/>
    </row>
    <row r="1443" spans="12:16">
      <c r="L1443" s="21"/>
      <c r="M1443" s="21"/>
      <c r="P1443" s="21"/>
    </row>
    <row r="1444" spans="12:16">
      <c r="L1444" s="21"/>
      <c r="M1444" s="21"/>
      <c r="P1444" s="21"/>
    </row>
    <row r="1445" spans="12:16">
      <c r="L1445" s="21"/>
      <c r="M1445" s="21"/>
      <c r="P1445" s="21"/>
    </row>
    <row r="1446" spans="12:16">
      <c r="L1446" s="21"/>
      <c r="M1446" s="21"/>
      <c r="P1446" s="21"/>
    </row>
    <row r="1447" spans="12:16">
      <c r="L1447" s="21"/>
      <c r="M1447" s="21"/>
      <c r="P1447" s="21"/>
    </row>
    <row r="1448" spans="12:16">
      <c r="L1448" s="21"/>
      <c r="M1448" s="21"/>
      <c r="P1448" s="21"/>
    </row>
    <row r="1449" spans="12:16">
      <c r="L1449" s="21"/>
      <c r="M1449" s="21"/>
      <c r="P1449" s="21"/>
    </row>
    <row r="1450" spans="12:16">
      <c r="L1450" s="21"/>
      <c r="M1450" s="21"/>
      <c r="P1450" s="21"/>
    </row>
    <row r="1451" spans="12:16">
      <c r="L1451" s="21"/>
      <c r="M1451" s="21"/>
      <c r="P1451" s="21"/>
    </row>
    <row r="1452" spans="12:16">
      <c r="L1452" s="21"/>
      <c r="M1452" s="21"/>
      <c r="P1452" s="21"/>
    </row>
    <row r="1453" spans="12:16">
      <c r="L1453" s="21"/>
      <c r="M1453" s="21"/>
      <c r="P1453" s="21"/>
    </row>
    <row r="1454" spans="12:16">
      <c r="L1454" s="21"/>
      <c r="M1454" s="21"/>
      <c r="P1454" s="21"/>
    </row>
    <row r="1455" spans="12:16">
      <c r="L1455" s="21"/>
      <c r="M1455" s="21"/>
      <c r="P1455" s="21"/>
    </row>
    <row r="1456" spans="12:16">
      <c r="L1456" s="21"/>
      <c r="M1456" s="21"/>
      <c r="P1456" s="21"/>
    </row>
    <row r="1457" spans="12:16">
      <c r="L1457" s="21"/>
      <c r="M1457" s="21"/>
      <c r="P1457" s="21"/>
    </row>
    <row r="1458" spans="12:16">
      <c r="L1458" s="21"/>
      <c r="M1458" s="21"/>
      <c r="P1458" s="21"/>
    </row>
    <row r="1459" spans="12:16">
      <c r="L1459" s="21"/>
      <c r="M1459" s="21"/>
      <c r="P1459" s="21"/>
    </row>
    <row r="1460" spans="12:16">
      <c r="L1460" s="21"/>
      <c r="M1460" s="21"/>
      <c r="P1460" s="21"/>
    </row>
    <row r="1461" spans="12:16">
      <c r="L1461" s="21"/>
      <c r="M1461" s="21"/>
      <c r="P1461" s="21"/>
    </row>
    <row r="1462" spans="12:16">
      <c r="L1462" s="21"/>
      <c r="M1462" s="21"/>
      <c r="P1462" s="21"/>
    </row>
    <row r="1463" spans="12:16">
      <c r="L1463" s="21"/>
      <c r="M1463" s="21"/>
      <c r="P1463" s="21"/>
    </row>
    <row r="1464" spans="12:16">
      <c r="L1464" s="21"/>
      <c r="M1464" s="21"/>
      <c r="P1464" s="21"/>
    </row>
    <row r="1465" spans="12:16">
      <c r="L1465" s="21"/>
      <c r="M1465" s="21"/>
      <c r="P1465" s="21"/>
    </row>
    <row r="1466" spans="12:16">
      <c r="L1466" s="21"/>
      <c r="M1466" s="21"/>
      <c r="P1466" s="21"/>
    </row>
    <row r="1467" spans="12:16">
      <c r="L1467" s="21"/>
      <c r="M1467" s="21"/>
      <c r="P1467" s="21"/>
    </row>
    <row r="1468" spans="12:16">
      <c r="L1468" s="21"/>
      <c r="M1468" s="21"/>
      <c r="P1468" s="21"/>
    </row>
    <row r="1469" spans="12:16">
      <c r="L1469" s="21"/>
      <c r="M1469" s="21"/>
      <c r="P1469" s="21"/>
    </row>
    <row r="1470" spans="12:16">
      <c r="L1470" s="21"/>
      <c r="M1470" s="21"/>
      <c r="P1470" s="21"/>
    </row>
    <row r="1471" spans="12:16">
      <c r="L1471" s="21"/>
      <c r="M1471" s="21"/>
      <c r="P1471" s="21"/>
    </row>
    <row r="1472" spans="12:16">
      <c r="L1472" s="21"/>
      <c r="M1472" s="21"/>
      <c r="P1472" s="21"/>
    </row>
    <row r="1473" spans="12:16">
      <c r="L1473" s="21"/>
      <c r="M1473" s="21"/>
      <c r="P1473" s="21"/>
    </row>
    <row r="1474" spans="12:16">
      <c r="L1474" s="21"/>
      <c r="M1474" s="21"/>
      <c r="P1474" s="21"/>
    </row>
    <row r="1475" spans="12:16">
      <c r="L1475" s="21"/>
      <c r="M1475" s="21"/>
      <c r="P1475" s="21"/>
    </row>
    <row r="1476" spans="12:16">
      <c r="L1476" s="21"/>
      <c r="M1476" s="21"/>
      <c r="P1476" s="21"/>
    </row>
    <row r="1477" spans="12:16">
      <c r="L1477" s="21"/>
      <c r="M1477" s="21"/>
      <c r="P1477" s="21"/>
    </row>
    <row r="1478" spans="12:16">
      <c r="L1478" s="21"/>
      <c r="M1478" s="21"/>
      <c r="P1478" s="21"/>
    </row>
    <row r="1479" spans="12:16">
      <c r="L1479" s="21"/>
      <c r="M1479" s="21"/>
      <c r="P1479" s="21"/>
    </row>
    <row r="1480" spans="12:16">
      <c r="L1480" s="21"/>
      <c r="M1480" s="21"/>
      <c r="P1480" s="21"/>
    </row>
    <row r="1481" spans="12:16">
      <c r="L1481" s="21"/>
      <c r="M1481" s="21"/>
      <c r="P1481" s="21"/>
    </row>
    <row r="1482" spans="12:16">
      <c r="L1482" s="21"/>
      <c r="M1482" s="21"/>
      <c r="P1482" s="21"/>
    </row>
    <row r="1483" spans="12:16">
      <c r="L1483" s="21"/>
      <c r="M1483" s="21"/>
      <c r="P1483" s="21"/>
    </row>
    <row r="1484" spans="12:16">
      <c r="L1484" s="21"/>
      <c r="M1484" s="21"/>
      <c r="P1484" s="21"/>
    </row>
    <row r="1485" spans="12:16">
      <c r="L1485" s="21"/>
      <c r="M1485" s="21"/>
      <c r="P1485" s="21"/>
    </row>
    <row r="1486" spans="12:16">
      <c r="L1486" s="21"/>
      <c r="M1486" s="21"/>
      <c r="P1486" s="21"/>
    </row>
    <row r="1487" spans="12:16">
      <c r="L1487" s="21"/>
      <c r="M1487" s="21"/>
      <c r="P1487" s="21"/>
    </row>
    <row r="1488" spans="12:16">
      <c r="L1488" s="21"/>
      <c r="M1488" s="21"/>
      <c r="P1488" s="21"/>
    </row>
    <row r="1489" spans="12:16">
      <c r="L1489" s="21"/>
      <c r="M1489" s="21"/>
      <c r="P1489" s="21"/>
    </row>
    <row r="1490" spans="12:16">
      <c r="L1490" s="21"/>
      <c r="M1490" s="21"/>
      <c r="P1490" s="21"/>
    </row>
    <row r="1491" spans="12:16">
      <c r="L1491" s="21"/>
      <c r="M1491" s="21"/>
      <c r="P1491" s="21"/>
    </row>
    <row r="1492" spans="12:16">
      <c r="L1492" s="21"/>
      <c r="M1492" s="21"/>
      <c r="P1492" s="21"/>
    </row>
    <row r="1493" spans="12:16">
      <c r="L1493" s="21"/>
      <c r="M1493" s="21"/>
      <c r="P1493" s="21"/>
    </row>
    <row r="1494" spans="12:16">
      <c r="L1494" s="21"/>
      <c r="M1494" s="21"/>
      <c r="P1494" s="21"/>
    </row>
    <row r="1495" spans="12:16">
      <c r="L1495" s="21"/>
      <c r="M1495" s="21"/>
      <c r="P1495" s="21"/>
    </row>
    <row r="1496" spans="12:16">
      <c r="L1496" s="21"/>
      <c r="M1496" s="21"/>
      <c r="P1496" s="21"/>
    </row>
    <row r="1497" spans="12:16">
      <c r="L1497" s="21"/>
      <c r="M1497" s="21"/>
      <c r="P1497" s="21"/>
    </row>
    <row r="1498" spans="12:16">
      <c r="L1498" s="21"/>
      <c r="M1498" s="21"/>
      <c r="P1498" s="21"/>
    </row>
    <row r="1499" spans="12:16">
      <c r="L1499" s="21"/>
      <c r="M1499" s="21"/>
      <c r="P1499" s="21"/>
    </row>
    <row r="1500" spans="12:16">
      <c r="L1500" s="21"/>
      <c r="M1500" s="21"/>
      <c r="P1500" s="21"/>
    </row>
    <row r="1501" spans="12:16">
      <c r="L1501" s="21"/>
      <c r="M1501" s="21"/>
      <c r="P1501" s="21"/>
    </row>
    <row r="1502" spans="12:16">
      <c r="L1502" s="21"/>
      <c r="M1502" s="21"/>
      <c r="P1502" s="21"/>
    </row>
    <row r="1503" spans="12:16">
      <c r="L1503" s="21"/>
      <c r="M1503" s="21"/>
      <c r="P1503" s="21"/>
    </row>
    <row r="1504" spans="12:16">
      <c r="L1504" s="21"/>
      <c r="M1504" s="21"/>
      <c r="P1504" s="21"/>
    </row>
    <row r="1505" spans="12:16">
      <c r="L1505" s="21"/>
      <c r="M1505" s="21"/>
      <c r="P1505" s="21"/>
    </row>
    <row r="1506" spans="12:16">
      <c r="L1506" s="21"/>
      <c r="M1506" s="21"/>
      <c r="P1506" s="21"/>
    </row>
    <row r="1507" spans="12:16">
      <c r="L1507" s="21"/>
      <c r="M1507" s="21"/>
      <c r="P1507" s="21"/>
    </row>
    <row r="1508" spans="12:16">
      <c r="L1508" s="21"/>
      <c r="M1508" s="21"/>
      <c r="P1508" s="21"/>
    </row>
    <row r="1509" spans="12:16">
      <c r="L1509" s="21"/>
      <c r="M1509" s="21"/>
      <c r="P1509" s="21"/>
    </row>
    <row r="1510" spans="12:16">
      <c r="L1510" s="21"/>
      <c r="M1510" s="21"/>
      <c r="P1510" s="21"/>
    </row>
    <row r="1511" spans="12:16">
      <c r="L1511" s="21"/>
      <c r="M1511" s="21"/>
      <c r="P1511" s="21"/>
    </row>
    <row r="1512" spans="12:16">
      <c r="L1512" s="21"/>
      <c r="M1512" s="21"/>
      <c r="P1512" s="21"/>
    </row>
    <row r="1513" spans="12:16">
      <c r="L1513" s="21"/>
      <c r="M1513" s="21"/>
      <c r="P1513" s="21"/>
    </row>
    <row r="1514" spans="12:16">
      <c r="L1514" s="21"/>
      <c r="M1514" s="21"/>
      <c r="P1514" s="21"/>
    </row>
    <row r="1515" spans="12:16">
      <c r="L1515" s="21"/>
      <c r="M1515" s="21"/>
      <c r="P1515" s="21"/>
    </row>
    <row r="1516" spans="12:16">
      <c r="L1516" s="21"/>
      <c r="M1516" s="21"/>
      <c r="P1516" s="21"/>
    </row>
    <row r="1517" spans="12:16">
      <c r="L1517" s="21"/>
      <c r="M1517" s="21"/>
      <c r="P1517" s="21"/>
    </row>
    <row r="1518" spans="12:16">
      <c r="L1518" s="21"/>
      <c r="M1518" s="21"/>
      <c r="P1518" s="21"/>
    </row>
    <row r="1519" spans="12:16">
      <c r="L1519" s="21"/>
      <c r="M1519" s="21"/>
      <c r="P1519" s="21"/>
    </row>
    <row r="1520" spans="12:16">
      <c r="L1520" s="21"/>
      <c r="M1520" s="21"/>
      <c r="P1520" s="21"/>
    </row>
    <row r="1521" spans="12:16">
      <c r="L1521" s="21"/>
      <c r="M1521" s="21"/>
      <c r="P1521" s="21"/>
    </row>
    <row r="1522" spans="12:16">
      <c r="L1522" s="21"/>
      <c r="M1522" s="21"/>
      <c r="P1522" s="21"/>
    </row>
    <row r="1523" spans="12:16">
      <c r="L1523" s="21"/>
      <c r="M1523" s="21"/>
      <c r="P1523" s="21"/>
    </row>
    <row r="1524" spans="12:16">
      <c r="L1524" s="21"/>
      <c r="M1524" s="21"/>
      <c r="P1524" s="21"/>
    </row>
    <row r="1525" spans="12:16">
      <c r="L1525" s="21"/>
      <c r="M1525" s="21"/>
      <c r="P1525" s="21"/>
    </row>
    <row r="1526" spans="12:16">
      <c r="L1526" s="21"/>
      <c r="M1526" s="21"/>
      <c r="P1526" s="21"/>
    </row>
    <row r="1527" spans="12:16">
      <c r="L1527" s="21"/>
      <c r="M1527" s="21"/>
      <c r="P1527" s="21"/>
    </row>
    <row r="1528" spans="12:16">
      <c r="L1528" s="21"/>
      <c r="M1528" s="21"/>
      <c r="P1528" s="21"/>
    </row>
    <row r="1529" spans="12:16">
      <c r="L1529" s="21"/>
      <c r="M1529" s="21"/>
      <c r="P1529" s="21"/>
    </row>
    <row r="1530" spans="12:16">
      <c r="L1530" s="21"/>
      <c r="M1530" s="21"/>
      <c r="P1530" s="21"/>
    </row>
    <row r="1531" spans="12:16">
      <c r="L1531" s="21"/>
      <c r="M1531" s="21"/>
      <c r="P1531" s="21"/>
    </row>
    <row r="1532" spans="12:16">
      <c r="L1532" s="21"/>
      <c r="M1532" s="21"/>
      <c r="P1532" s="21"/>
    </row>
    <row r="1533" spans="12:16">
      <c r="L1533" s="21"/>
      <c r="M1533" s="21"/>
      <c r="P1533" s="21"/>
    </row>
    <row r="1534" spans="12:16">
      <c r="L1534" s="21"/>
      <c r="M1534" s="21"/>
      <c r="P1534" s="21"/>
    </row>
    <row r="1535" spans="12:16">
      <c r="L1535" s="21"/>
      <c r="M1535" s="21"/>
      <c r="P1535" s="21"/>
    </row>
    <row r="1536" spans="12:16">
      <c r="L1536" s="21"/>
      <c r="M1536" s="21"/>
      <c r="P1536" s="21"/>
    </row>
    <row r="1537" spans="12:16">
      <c r="L1537" s="21"/>
      <c r="M1537" s="21"/>
      <c r="P1537" s="21"/>
    </row>
    <row r="1538" spans="12:16">
      <c r="L1538" s="21"/>
      <c r="M1538" s="21"/>
      <c r="P1538" s="21"/>
    </row>
    <row r="1539" spans="12:16">
      <c r="L1539" s="21"/>
      <c r="M1539" s="21"/>
      <c r="P1539" s="21"/>
    </row>
    <row r="1540" spans="12:16">
      <c r="L1540" s="21"/>
      <c r="M1540" s="21"/>
      <c r="P1540" s="21"/>
    </row>
    <row r="1541" spans="12:16">
      <c r="L1541" s="21"/>
      <c r="M1541" s="21"/>
      <c r="P1541" s="21"/>
    </row>
    <row r="1542" spans="12:16">
      <c r="L1542" s="21"/>
      <c r="M1542" s="21"/>
      <c r="P1542" s="21"/>
    </row>
    <row r="1543" spans="12:16">
      <c r="L1543" s="21"/>
      <c r="M1543" s="21"/>
      <c r="P1543" s="21"/>
    </row>
    <row r="1544" spans="12:16">
      <c r="L1544" s="21"/>
      <c r="M1544" s="21"/>
      <c r="P1544" s="21"/>
    </row>
    <row r="1545" spans="12:16">
      <c r="L1545" s="21"/>
      <c r="M1545" s="21"/>
      <c r="P1545" s="21"/>
    </row>
    <row r="1546" spans="12:16">
      <c r="L1546" s="21"/>
      <c r="M1546" s="21"/>
      <c r="P1546" s="21"/>
    </row>
    <row r="1547" spans="12:16">
      <c r="L1547" s="21"/>
      <c r="M1547" s="21"/>
      <c r="P1547" s="21"/>
    </row>
    <row r="1548" spans="12:16">
      <c r="L1548" s="21"/>
      <c r="M1548" s="21"/>
      <c r="P1548" s="21"/>
    </row>
    <row r="1549" spans="12:16">
      <c r="L1549" s="21"/>
      <c r="M1549" s="21"/>
      <c r="P1549" s="21"/>
    </row>
    <row r="1550" spans="12:16">
      <c r="L1550" s="21"/>
      <c r="M1550" s="21"/>
      <c r="P1550" s="21"/>
    </row>
    <row r="1551" spans="12:16">
      <c r="L1551" s="21"/>
      <c r="M1551" s="21"/>
      <c r="P1551" s="21"/>
    </row>
    <row r="1552" spans="12:16">
      <c r="L1552" s="21"/>
      <c r="M1552" s="21"/>
      <c r="P1552" s="21"/>
    </row>
    <row r="1553" spans="12:16">
      <c r="L1553" s="21"/>
      <c r="M1553" s="21"/>
      <c r="P1553" s="21"/>
    </row>
    <row r="1554" spans="12:16">
      <c r="L1554" s="21"/>
      <c r="M1554" s="21"/>
      <c r="P1554" s="21"/>
    </row>
    <row r="1555" spans="12:16">
      <c r="L1555" s="21"/>
      <c r="M1555" s="21"/>
      <c r="P1555" s="21"/>
    </row>
    <row r="1556" spans="12:16">
      <c r="L1556" s="21"/>
      <c r="M1556" s="21"/>
      <c r="P1556" s="21"/>
    </row>
    <row r="1557" spans="12:16">
      <c r="L1557" s="21"/>
      <c r="M1557" s="21"/>
      <c r="P1557" s="21"/>
    </row>
    <row r="1558" spans="12:16">
      <c r="L1558" s="21"/>
      <c r="M1558" s="21"/>
      <c r="P1558" s="21"/>
    </row>
    <row r="1559" spans="12:16">
      <c r="L1559" s="21"/>
      <c r="M1559" s="21"/>
      <c r="P1559" s="21"/>
    </row>
    <row r="1560" spans="12:16">
      <c r="L1560" s="21"/>
      <c r="M1560" s="21"/>
      <c r="P1560" s="21"/>
    </row>
    <row r="1561" spans="12:16">
      <c r="L1561" s="21"/>
      <c r="M1561" s="21"/>
      <c r="P1561" s="21"/>
    </row>
    <row r="1562" spans="12:16">
      <c r="L1562" s="21"/>
      <c r="M1562" s="21"/>
      <c r="P1562" s="21"/>
    </row>
    <row r="1563" spans="12:16">
      <c r="L1563" s="21"/>
      <c r="M1563" s="21"/>
      <c r="P1563" s="21"/>
    </row>
    <row r="1564" spans="12:16">
      <c r="L1564" s="21"/>
      <c r="M1564" s="21"/>
      <c r="P1564" s="21"/>
    </row>
    <row r="1565" spans="12:16">
      <c r="L1565" s="21"/>
      <c r="M1565" s="21"/>
      <c r="P1565" s="21"/>
    </row>
    <row r="1566" spans="12:16">
      <c r="L1566" s="21"/>
      <c r="M1566" s="21"/>
      <c r="P1566" s="21"/>
    </row>
    <row r="1567" spans="12:16">
      <c r="L1567" s="21"/>
      <c r="M1567" s="21"/>
      <c r="P1567" s="21"/>
    </row>
    <row r="1568" spans="12:16">
      <c r="L1568" s="21"/>
      <c r="M1568" s="21"/>
      <c r="P1568" s="21"/>
    </row>
    <row r="1569" spans="12:16">
      <c r="L1569" s="21"/>
      <c r="M1569" s="21"/>
      <c r="P1569" s="21"/>
    </row>
    <row r="1570" spans="12:16">
      <c r="L1570" s="21"/>
      <c r="M1570" s="21"/>
      <c r="P1570" s="21"/>
    </row>
    <row r="1571" spans="12:16">
      <c r="L1571" s="21"/>
      <c r="M1571" s="21"/>
      <c r="P1571" s="21"/>
    </row>
    <row r="1572" spans="12:16">
      <c r="L1572" s="21"/>
      <c r="M1572" s="21"/>
      <c r="P1572" s="21"/>
    </row>
    <row r="1573" spans="12:16">
      <c r="L1573" s="21"/>
      <c r="M1573" s="21"/>
      <c r="P1573" s="21"/>
    </row>
    <row r="1574" spans="12:16">
      <c r="L1574" s="21"/>
      <c r="M1574" s="21"/>
      <c r="P1574" s="21"/>
    </row>
    <row r="1575" spans="12:16">
      <c r="L1575" s="21"/>
      <c r="M1575" s="21"/>
      <c r="P1575" s="21"/>
    </row>
    <row r="1576" spans="12:16">
      <c r="L1576" s="21"/>
      <c r="M1576" s="21"/>
      <c r="P1576" s="21"/>
    </row>
    <row r="1577" spans="12:16">
      <c r="L1577" s="21"/>
      <c r="M1577" s="21"/>
      <c r="P1577" s="21"/>
    </row>
    <row r="1578" spans="12:16">
      <c r="L1578" s="21"/>
      <c r="M1578" s="21"/>
      <c r="P1578" s="21"/>
    </row>
    <row r="1579" spans="12:16">
      <c r="L1579" s="21"/>
      <c r="M1579" s="21"/>
      <c r="P1579" s="21"/>
    </row>
    <row r="1580" spans="12:16">
      <c r="L1580" s="21"/>
      <c r="M1580" s="21"/>
      <c r="P1580" s="21"/>
    </row>
    <row r="1581" spans="12:16">
      <c r="L1581" s="21"/>
      <c r="M1581" s="21"/>
      <c r="P1581" s="21"/>
    </row>
    <row r="1582" spans="12:16">
      <c r="L1582" s="21"/>
      <c r="M1582" s="21"/>
      <c r="P1582" s="21"/>
    </row>
    <row r="1583" spans="12:16">
      <c r="L1583" s="21"/>
      <c r="M1583" s="21"/>
      <c r="P1583" s="21"/>
    </row>
    <row r="1584" spans="12:16">
      <c r="L1584" s="21"/>
      <c r="M1584" s="21"/>
      <c r="P1584" s="21"/>
    </row>
    <row r="1585" spans="12:16">
      <c r="L1585" s="21"/>
      <c r="M1585" s="21"/>
      <c r="P1585" s="21"/>
    </row>
    <row r="1586" spans="12:16">
      <c r="L1586" s="21"/>
      <c r="M1586" s="21"/>
      <c r="P1586" s="21"/>
    </row>
    <row r="1587" spans="12:16">
      <c r="L1587" s="21"/>
      <c r="M1587" s="21"/>
      <c r="P1587" s="21"/>
    </row>
    <row r="1588" spans="12:16">
      <c r="L1588" s="21"/>
      <c r="M1588" s="21"/>
      <c r="P1588" s="21"/>
    </row>
    <row r="1589" spans="12:16">
      <c r="L1589" s="21"/>
      <c r="M1589" s="21"/>
      <c r="P1589" s="21"/>
    </row>
    <row r="1590" spans="12:16">
      <c r="L1590" s="21"/>
      <c r="M1590" s="21"/>
      <c r="P1590" s="21"/>
    </row>
    <row r="1591" spans="12:16">
      <c r="L1591" s="21"/>
      <c r="M1591" s="21"/>
      <c r="P1591" s="21"/>
    </row>
    <row r="1592" spans="12:16">
      <c r="L1592" s="21"/>
      <c r="M1592" s="21"/>
      <c r="P1592" s="21"/>
    </row>
    <row r="1593" spans="12:16">
      <c r="L1593" s="21"/>
      <c r="M1593" s="21"/>
      <c r="P1593" s="21"/>
    </row>
    <row r="1594" spans="12:16">
      <c r="L1594" s="21"/>
      <c r="M1594" s="21"/>
      <c r="P1594" s="21"/>
    </row>
    <row r="1595" spans="12:16">
      <c r="L1595" s="21"/>
      <c r="M1595" s="21"/>
      <c r="P1595" s="21"/>
    </row>
    <row r="1596" spans="12:16">
      <c r="L1596" s="21"/>
      <c r="M1596" s="21"/>
      <c r="P1596" s="21"/>
    </row>
    <row r="1597" spans="12:16">
      <c r="L1597" s="21"/>
      <c r="M1597" s="21"/>
      <c r="P1597" s="21"/>
    </row>
    <row r="1598" spans="12:16">
      <c r="L1598" s="21"/>
      <c r="M1598" s="21"/>
      <c r="P1598" s="21"/>
    </row>
    <row r="1599" spans="12:16">
      <c r="L1599" s="21"/>
      <c r="M1599" s="21"/>
      <c r="P1599" s="21"/>
    </row>
    <row r="1600" spans="12:16">
      <c r="L1600" s="21"/>
      <c r="M1600" s="21"/>
      <c r="P1600" s="21"/>
    </row>
    <row r="1601" spans="12:16">
      <c r="L1601" s="21"/>
      <c r="M1601" s="21"/>
      <c r="P1601" s="21"/>
    </row>
    <row r="1602" spans="12:16">
      <c r="L1602" s="21"/>
      <c r="M1602" s="21"/>
      <c r="P1602" s="21"/>
    </row>
    <row r="1603" spans="12:16">
      <c r="L1603" s="21"/>
      <c r="M1603" s="21"/>
      <c r="P1603" s="21"/>
    </row>
    <row r="1604" spans="12:16">
      <c r="L1604" s="21"/>
      <c r="M1604" s="21"/>
      <c r="P1604" s="21"/>
    </row>
    <row r="1605" spans="12:16">
      <c r="L1605" s="21"/>
      <c r="M1605" s="21"/>
      <c r="P1605" s="21"/>
    </row>
    <row r="1606" spans="12:16">
      <c r="L1606" s="21"/>
      <c r="M1606" s="21"/>
      <c r="P1606" s="21"/>
    </row>
    <row r="1607" spans="12:16">
      <c r="L1607" s="21"/>
      <c r="M1607" s="21"/>
      <c r="P1607" s="21"/>
    </row>
    <row r="1608" spans="12:16">
      <c r="L1608" s="21"/>
      <c r="M1608" s="21"/>
      <c r="P1608" s="21"/>
    </row>
    <row r="1609" spans="12:16">
      <c r="L1609" s="21"/>
      <c r="M1609" s="21"/>
      <c r="P1609" s="21"/>
    </row>
    <row r="1610" spans="12:16">
      <c r="L1610" s="21"/>
      <c r="M1610" s="21"/>
      <c r="P1610" s="21"/>
    </row>
    <row r="1611" spans="12:16">
      <c r="L1611" s="21"/>
      <c r="M1611" s="21"/>
      <c r="P1611" s="21"/>
    </row>
    <row r="1612" spans="12:16">
      <c r="L1612" s="21"/>
      <c r="M1612" s="21"/>
      <c r="P1612" s="21"/>
    </row>
    <row r="1613" spans="12:16">
      <c r="L1613" s="21"/>
      <c r="M1613" s="21"/>
      <c r="P1613" s="21"/>
    </row>
    <row r="1614" spans="12:16">
      <c r="L1614" s="21"/>
      <c r="M1614" s="21"/>
      <c r="P1614" s="21"/>
    </row>
    <row r="1615" spans="12:16">
      <c r="L1615" s="21"/>
      <c r="M1615" s="21"/>
      <c r="P1615" s="21"/>
    </row>
    <row r="1616" spans="12:16">
      <c r="L1616" s="21"/>
      <c r="M1616" s="21"/>
      <c r="P1616" s="21"/>
    </row>
    <row r="1617" spans="12:16">
      <c r="L1617" s="21"/>
      <c r="M1617" s="21"/>
      <c r="P1617" s="21"/>
    </row>
    <row r="1618" spans="12:16">
      <c r="L1618" s="21"/>
      <c r="M1618" s="21"/>
      <c r="P1618" s="21"/>
    </row>
    <row r="1619" spans="12:16">
      <c r="L1619" s="21"/>
      <c r="M1619" s="21"/>
      <c r="P1619" s="21"/>
    </row>
    <row r="1620" spans="12:16">
      <c r="L1620" s="21"/>
      <c r="M1620" s="21"/>
      <c r="P1620" s="21"/>
    </row>
    <row r="1621" spans="12:16">
      <c r="L1621" s="21"/>
      <c r="M1621" s="21"/>
      <c r="P1621" s="21"/>
    </row>
    <row r="1622" spans="12:16">
      <c r="L1622" s="21"/>
      <c r="M1622" s="21"/>
      <c r="P1622" s="21"/>
    </row>
    <row r="1623" spans="12:16">
      <c r="L1623" s="21"/>
      <c r="M1623" s="21"/>
      <c r="P1623" s="21"/>
    </row>
    <row r="1624" spans="12:16">
      <c r="L1624" s="21"/>
      <c r="M1624" s="21"/>
      <c r="P1624" s="21"/>
    </row>
    <row r="1625" spans="12:16">
      <c r="L1625" s="21"/>
      <c r="M1625" s="21"/>
      <c r="P1625" s="21"/>
    </row>
    <row r="1626" spans="12:16">
      <c r="L1626" s="21"/>
      <c r="M1626" s="21"/>
      <c r="P1626" s="21"/>
    </row>
    <row r="1627" spans="12:16">
      <c r="L1627" s="21"/>
      <c r="M1627" s="21"/>
      <c r="P1627" s="21"/>
    </row>
    <row r="1628" spans="12:16">
      <c r="L1628" s="21"/>
      <c r="M1628" s="21"/>
      <c r="P1628" s="21"/>
    </row>
    <row r="1629" spans="12:16">
      <c r="L1629" s="21"/>
      <c r="M1629" s="21"/>
      <c r="P1629" s="21"/>
    </row>
    <row r="1630" spans="12:16">
      <c r="L1630" s="21"/>
      <c r="M1630" s="21"/>
      <c r="P1630" s="21"/>
    </row>
    <row r="1631" spans="12:16">
      <c r="L1631" s="21"/>
      <c r="M1631" s="21"/>
      <c r="P1631" s="21"/>
    </row>
    <row r="1632" spans="12:16">
      <c r="L1632" s="21"/>
      <c r="M1632" s="21"/>
      <c r="P1632" s="21"/>
    </row>
    <row r="1633" spans="12:16">
      <c r="L1633" s="21"/>
      <c r="M1633" s="21"/>
      <c r="P1633" s="21"/>
    </row>
    <row r="1634" spans="12:16">
      <c r="L1634" s="21"/>
      <c r="M1634" s="21"/>
      <c r="P1634" s="21"/>
    </row>
    <row r="1635" spans="12:16">
      <c r="L1635" s="21"/>
      <c r="M1635" s="21"/>
      <c r="P1635" s="21"/>
    </row>
    <row r="1636" spans="12:16">
      <c r="L1636" s="21"/>
      <c r="M1636" s="21"/>
      <c r="P1636" s="21"/>
    </row>
    <row r="1637" spans="12:16">
      <c r="L1637" s="21"/>
      <c r="M1637" s="21"/>
      <c r="P1637" s="21"/>
    </row>
    <row r="1638" spans="12:16">
      <c r="L1638" s="21"/>
      <c r="M1638" s="21"/>
      <c r="P1638" s="21"/>
    </row>
    <row r="1639" spans="12:16">
      <c r="L1639" s="21"/>
      <c r="M1639" s="21"/>
      <c r="P1639" s="21"/>
    </row>
    <row r="1640" spans="12:16">
      <c r="L1640" s="21"/>
      <c r="M1640" s="21"/>
      <c r="P1640" s="21"/>
    </row>
    <row r="1641" spans="12:16">
      <c r="L1641" s="21"/>
      <c r="M1641" s="21"/>
      <c r="P1641" s="21"/>
    </row>
    <row r="1642" spans="12:16">
      <c r="L1642" s="21"/>
      <c r="M1642" s="21"/>
      <c r="P1642" s="21"/>
    </row>
    <row r="1643" spans="12:16">
      <c r="L1643" s="21"/>
      <c r="M1643" s="21"/>
      <c r="P1643" s="21"/>
    </row>
    <row r="1644" spans="12:16">
      <c r="L1644" s="21"/>
      <c r="M1644" s="21"/>
      <c r="P1644" s="21"/>
    </row>
    <row r="1645" spans="12:16">
      <c r="L1645" s="21"/>
      <c r="M1645" s="21"/>
      <c r="P1645" s="21"/>
    </row>
    <row r="1646" spans="12:16">
      <c r="L1646" s="21"/>
      <c r="M1646" s="21"/>
      <c r="P1646" s="21"/>
    </row>
    <row r="1647" spans="12:16">
      <c r="L1647" s="21"/>
      <c r="M1647" s="21"/>
      <c r="P1647" s="21"/>
    </row>
    <row r="1648" spans="12:16">
      <c r="L1648" s="21"/>
      <c r="M1648" s="21"/>
      <c r="P1648" s="21"/>
    </row>
    <row r="1649" spans="12:16">
      <c r="L1649" s="21"/>
      <c r="M1649" s="21"/>
      <c r="P1649" s="21"/>
    </row>
    <row r="1650" spans="12:16">
      <c r="L1650" s="21"/>
      <c r="M1650" s="21"/>
      <c r="P1650" s="21"/>
    </row>
    <row r="1651" spans="12:16">
      <c r="L1651" s="21"/>
      <c r="M1651" s="21"/>
      <c r="P1651" s="21"/>
    </row>
    <row r="1652" spans="12:16">
      <c r="L1652" s="21"/>
      <c r="M1652" s="21"/>
      <c r="P1652" s="21"/>
    </row>
    <row r="1653" spans="12:16">
      <c r="L1653" s="21"/>
      <c r="M1653" s="21"/>
      <c r="P1653" s="21"/>
    </row>
    <row r="1654" spans="12:16">
      <c r="L1654" s="21"/>
      <c r="M1654" s="21"/>
      <c r="P1654" s="21"/>
    </row>
    <row r="1655" spans="12:16">
      <c r="L1655" s="21"/>
      <c r="M1655" s="21"/>
      <c r="P1655" s="21"/>
    </row>
    <row r="1656" spans="12:16">
      <c r="L1656" s="21"/>
      <c r="M1656" s="21"/>
      <c r="P1656" s="21"/>
    </row>
    <row r="1657" spans="12:16">
      <c r="L1657" s="21"/>
      <c r="M1657" s="21"/>
      <c r="P1657" s="21"/>
    </row>
    <row r="1658" spans="12:16">
      <c r="L1658" s="21"/>
      <c r="M1658" s="21"/>
      <c r="P1658" s="21"/>
    </row>
    <row r="1659" spans="12:16">
      <c r="L1659" s="21"/>
      <c r="M1659" s="21"/>
      <c r="P1659" s="21"/>
    </row>
    <row r="1660" spans="12:16">
      <c r="L1660" s="21"/>
      <c r="M1660" s="21"/>
      <c r="P1660" s="21"/>
    </row>
    <row r="1661" spans="12:16">
      <c r="L1661" s="21"/>
      <c r="M1661" s="21"/>
      <c r="P1661" s="21"/>
    </row>
    <row r="1662" spans="12:16">
      <c r="L1662" s="21"/>
      <c r="M1662" s="21"/>
      <c r="P1662" s="21"/>
    </row>
    <row r="1663" spans="12:16">
      <c r="L1663" s="21"/>
      <c r="M1663" s="21"/>
      <c r="P1663" s="21"/>
    </row>
    <row r="1664" spans="12:16">
      <c r="L1664" s="21"/>
      <c r="M1664" s="21"/>
      <c r="P1664" s="21"/>
    </row>
    <row r="1665" spans="12:16">
      <c r="L1665" s="21"/>
      <c r="M1665" s="21"/>
      <c r="P1665" s="21"/>
    </row>
    <row r="1666" spans="12:16">
      <c r="L1666" s="21"/>
      <c r="M1666" s="21"/>
      <c r="P1666" s="21"/>
    </row>
    <row r="1667" spans="12:16">
      <c r="L1667" s="21"/>
      <c r="M1667" s="21"/>
      <c r="P1667" s="21"/>
    </row>
    <row r="1668" spans="12:16">
      <c r="L1668" s="21"/>
      <c r="M1668" s="21"/>
      <c r="P1668" s="21"/>
    </row>
    <row r="1669" spans="12:16">
      <c r="L1669" s="21"/>
      <c r="M1669" s="21"/>
      <c r="P1669" s="21"/>
    </row>
    <row r="1670" spans="12:16">
      <c r="L1670" s="21"/>
      <c r="M1670" s="21"/>
      <c r="P1670" s="21"/>
    </row>
    <row r="1671" spans="12:16">
      <c r="L1671" s="21"/>
      <c r="M1671" s="21"/>
      <c r="P1671" s="21"/>
    </row>
    <row r="1672" spans="12:16">
      <c r="L1672" s="21"/>
      <c r="M1672" s="21"/>
      <c r="P1672" s="21"/>
    </row>
    <row r="1673" spans="12:16">
      <c r="L1673" s="21"/>
      <c r="M1673" s="21"/>
      <c r="P1673" s="21"/>
    </row>
    <row r="1674" spans="12:16">
      <c r="L1674" s="21"/>
      <c r="M1674" s="21"/>
      <c r="P1674" s="21"/>
    </row>
    <row r="1675" spans="12:16">
      <c r="L1675" s="21"/>
      <c r="M1675" s="21"/>
      <c r="P1675" s="21"/>
    </row>
    <row r="1676" spans="12:16">
      <c r="L1676" s="21"/>
      <c r="M1676" s="21"/>
      <c r="P1676" s="21"/>
    </row>
    <row r="1677" spans="12:16">
      <c r="L1677" s="21"/>
      <c r="M1677" s="21"/>
      <c r="P1677" s="21"/>
    </row>
    <row r="1678" spans="12:16">
      <c r="L1678" s="21"/>
      <c r="M1678" s="21"/>
      <c r="P1678" s="21"/>
    </row>
    <row r="1679" spans="12:16">
      <c r="L1679" s="21"/>
      <c r="M1679" s="21"/>
      <c r="P1679" s="21"/>
    </row>
    <row r="1680" spans="12:16">
      <c r="L1680" s="21"/>
      <c r="M1680" s="21"/>
      <c r="P1680" s="21"/>
    </row>
    <row r="1681" spans="12:16">
      <c r="L1681" s="21"/>
      <c r="M1681" s="21"/>
      <c r="P1681" s="21"/>
    </row>
    <row r="1682" spans="12:16">
      <c r="L1682" s="21"/>
      <c r="M1682" s="21"/>
      <c r="P1682" s="21"/>
    </row>
    <row r="1683" spans="12:16">
      <c r="L1683" s="21"/>
      <c r="M1683" s="21"/>
      <c r="P1683" s="21"/>
    </row>
    <row r="1684" spans="12:16">
      <c r="L1684" s="21"/>
      <c r="M1684" s="21"/>
      <c r="P1684" s="21"/>
    </row>
    <row r="1685" spans="12:16">
      <c r="L1685" s="21"/>
      <c r="M1685" s="21"/>
      <c r="P1685" s="21"/>
    </row>
    <row r="1686" spans="12:16">
      <c r="L1686" s="21"/>
      <c r="M1686" s="21"/>
      <c r="P1686" s="21"/>
    </row>
    <row r="1687" spans="12:16">
      <c r="L1687" s="21"/>
      <c r="M1687" s="21"/>
      <c r="P1687" s="21"/>
    </row>
    <row r="1688" spans="12:16">
      <c r="L1688" s="21"/>
      <c r="M1688" s="21"/>
      <c r="P1688" s="21"/>
    </row>
    <row r="1689" spans="12:16">
      <c r="L1689" s="21"/>
      <c r="M1689" s="21"/>
      <c r="P1689" s="21"/>
    </row>
    <row r="1690" spans="12:16">
      <c r="L1690" s="21"/>
      <c r="M1690" s="21"/>
      <c r="P1690" s="21"/>
    </row>
    <row r="1691" spans="12:16">
      <c r="L1691" s="21"/>
      <c r="M1691" s="21"/>
      <c r="P1691" s="21"/>
    </row>
    <row r="1692" spans="12:16">
      <c r="L1692" s="21"/>
      <c r="M1692" s="21"/>
      <c r="P1692" s="21"/>
    </row>
    <row r="1693" spans="12:16">
      <c r="L1693" s="21"/>
      <c r="M1693" s="21"/>
      <c r="P1693" s="21"/>
    </row>
    <row r="1694" spans="12:16">
      <c r="L1694" s="21"/>
      <c r="M1694" s="21"/>
      <c r="P1694" s="21"/>
    </row>
    <row r="1695" spans="12:16">
      <c r="L1695" s="21"/>
      <c r="M1695" s="21"/>
      <c r="P1695" s="21"/>
    </row>
    <row r="1696" spans="12:16">
      <c r="L1696" s="21"/>
      <c r="M1696" s="21"/>
      <c r="P1696" s="21"/>
    </row>
    <row r="1697" spans="12:16">
      <c r="L1697" s="21"/>
      <c r="M1697" s="21"/>
      <c r="P1697" s="21"/>
    </row>
    <row r="1698" spans="12:16">
      <c r="L1698" s="21"/>
      <c r="M1698" s="21"/>
      <c r="P1698" s="21"/>
    </row>
    <row r="1699" spans="12:16">
      <c r="L1699" s="21"/>
      <c r="M1699" s="21"/>
      <c r="P1699" s="21"/>
    </row>
    <row r="1700" spans="12:16">
      <c r="L1700" s="21"/>
      <c r="M1700" s="21"/>
      <c r="P1700" s="21"/>
    </row>
    <row r="1701" spans="12:16">
      <c r="L1701" s="21"/>
      <c r="M1701" s="21"/>
      <c r="P1701" s="21"/>
    </row>
    <row r="1702" spans="12:16">
      <c r="L1702" s="21"/>
      <c r="M1702" s="21"/>
      <c r="P1702" s="21"/>
    </row>
    <row r="1703" spans="12:16">
      <c r="L1703" s="21"/>
      <c r="M1703" s="21"/>
      <c r="P1703" s="21"/>
    </row>
    <row r="1704" spans="12:16">
      <c r="L1704" s="21"/>
      <c r="M1704" s="21"/>
      <c r="P1704" s="21"/>
    </row>
    <row r="1705" spans="12:16">
      <c r="L1705" s="21"/>
      <c r="M1705" s="21"/>
      <c r="P1705" s="21"/>
    </row>
    <row r="1706" spans="12:16">
      <c r="L1706" s="21"/>
      <c r="M1706" s="21"/>
      <c r="P1706" s="21"/>
    </row>
    <row r="1707" spans="12:16">
      <c r="L1707" s="21"/>
      <c r="M1707" s="21"/>
      <c r="P1707" s="21"/>
    </row>
    <row r="1708" spans="12:16">
      <c r="L1708" s="21"/>
      <c r="M1708" s="21"/>
      <c r="P1708" s="21"/>
    </row>
    <row r="1709" spans="12:16">
      <c r="L1709" s="21"/>
      <c r="M1709" s="21"/>
      <c r="P1709" s="21"/>
    </row>
    <row r="1710" spans="12:16">
      <c r="L1710" s="21"/>
      <c r="M1710" s="21"/>
      <c r="P1710" s="21"/>
    </row>
    <row r="1711" spans="12:16">
      <c r="L1711" s="21"/>
      <c r="M1711" s="21"/>
      <c r="P1711" s="21"/>
    </row>
    <row r="1712" spans="12:16">
      <c r="L1712" s="21"/>
      <c r="M1712" s="21"/>
      <c r="P1712" s="21"/>
    </row>
    <row r="1713" spans="12:16">
      <c r="L1713" s="21"/>
      <c r="M1713" s="21"/>
      <c r="P1713" s="21"/>
    </row>
    <row r="1714" spans="12:16">
      <c r="L1714" s="21"/>
      <c r="M1714" s="21"/>
      <c r="P1714" s="21"/>
    </row>
    <row r="1715" spans="12:16">
      <c r="L1715" s="21"/>
      <c r="M1715" s="21"/>
      <c r="P1715" s="21"/>
    </row>
    <row r="1716" spans="12:16">
      <c r="L1716" s="21"/>
      <c r="M1716" s="21"/>
      <c r="P1716" s="21"/>
    </row>
    <row r="1717" spans="12:16">
      <c r="L1717" s="21"/>
      <c r="M1717" s="21"/>
      <c r="P1717" s="21"/>
    </row>
    <row r="1718" spans="12:16">
      <c r="L1718" s="21"/>
      <c r="M1718" s="21"/>
      <c r="P1718" s="21"/>
    </row>
    <row r="1719" spans="12:16">
      <c r="L1719" s="21"/>
      <c r="M1719" s="21"/>
      <c r="P1719" s="21"/>
    </row>
    <row r="1720" spans="12:16">
      <c r="L1720" s="21"/>
      <c r="M1720" s="21"/>
      <c r="P1720" s="21"/>
    </row>
    <row r="1721" spans="12:16">
      <c r="L1721" s="21"/>
      <c r="M1721" s="21"/>
      <c r="P1721" s="21"/>
    </row>
    <row r="1722" spans="12:16">
      <c r="L1722" s="21"/>
      <c r="M1722" s="21"/>
      <c r="P1722" s="21"/>
    </row>
    <row r="1723" spans="12:16">
      <c r="L1723" s="21"/>
      <c r="M1723" s="21"/>
      <c r="P1723" s="21"/>
    </row>
    <row r="1724" spans="12:16">
      <c r="L1724" s="21"/>
      <c r="M1724" s="21"/>
      <c r="P1724" s="21"/>
    </row>
    <row r="1725" spans="12:16">
      <c r="L1725" s="21"/>
      <c r="M1725" s="21"/>
      <c r="P1725" s="21"/>
    </row>
    <row r="1726" spans="12:16">
      <c r="L1726" s="21"/>
      <c r="M1726" s="21"/>
      <c r="P1726" s="21"/>
    </row>
    <row r="1727" spans="12:16">
      <c r="L1727" s="21"/>
      <c r="M1727" s="21"/>
      <c r="P1727" s="21"/>
    </row>
    <row r="1728" spans="12:16">
      <c r="L1728" s="21"/>
      <c r="M1728" s="21"/>
      <c r="P1728" s="21"/>
    </row>
    <row r="1729" spans="12:16">
      <c r="L1729" s="21"/>
      <c r="M1729" s="21"/>
      <c r="P1729" s="21"/>
    </row>
    <row r="1730" spans="12:16">
      <c r="L1730" s="21"/>
      <c r="M1730" s="21"/>
      <c r="P1730" s="21"/>
    </row>
    <row r="1731" spans="12:16">
      <c r="L1731" s="21"/>
      <c r="M1731" s="21"/>
      <c r="P1731" s="21"/>
    </row>
    <row r="1732" spans="12:16">
      <c r="L1732" s="21"/>
      <c r="M1732" s="21"/>
      <c r="P1732" s="21"/>
    </row>
    <row r="1733" spans="12:16">
      <c r="L1733" s="21"/>
      <c r="M1733" s="21"/>
      <c r="P1733" s="21"/>
    </row>
    <row r="1734" spans="12:16">
      <c r="L1734" s="21"/>
      <c r="M1734" s="21"/>
      <c r="P1734" s="21"/>
    </row>
    <row r="1735" spans="12:16">
      <c r="L1735" s="21"/>
      <c r="M1735" s="21"/>
      <c r="P1735" s="21"/>
    </row>
    <row r="1736" spans="12:16">
      <c r="L1736" s="21"/>
      <c r="M1736" s="21"/>
      <c r="P1736" s="21"/>
    </row>
    <row r="1737" spans="12:16">
      <c r="L1737" s="21"/>
      <c r="M1737" s="21"/>
      <c r="P1737" s="21"/>
    </row>
    <row r="1738" spans="12:16">
      <c r="L1738" s="21"/>
      <c r="M1738" s="21"/>
      <c r="P1738" s="21"/>
    </row>
    <row r="1739" spans="12:16">
      <c r="L1739" s="21"/>
      <c r="M1739" s="21"/>
      <c r="P1739" s="21"/>
    </row>
    <row r="1740" spans="12:16">
      <c r="L1740" s="21"/>
      <c r="M1740" s="21"/>
      <c r="P1740" s="21"/>
    </row>
    <row r="1741" spans="12:16">
      <c r="L1741" s="21"/>
      <c r="M1741" s="21"/>
      <c r="P1741" s="21"/>
    </row>
    <row r="1742" spans="12:16">
      <c r="L1742" s="21"/>
      <c r="M1742" s="21"/>
      <c r="P1742" s="21"/>
    </row>
    <row r="1743" spans="12:16">
      <c r="L1743" s="21"/>
      <c r="M1743" s="21"/>
      <c r="P1743" s="21"/>
    </row>
    <row r="1744" spans="12:16">
      <c r="L1744" s="21"/>
      <c r="M1744" s="21"/>
      <c r="P1744" s="21"/>
    </row>
    <row r="1745" spans="12:16">
      <c r="L1745" s="21"/>
      <c r="M1745" s="21"/>
      <c r="P1745" s="21"/>
    </row>
    <row r="1746" spans="12:16">
      <c r="L1746" s="21"/>
      <c r="M1746" s="21"/>
      <c r="P1746" s="21"/>
    </row>
    <row r="1747" spans="12:16">
      <c r="L1747" s="21"/>
      <c r="M1747" s="21"/>
      <c r="P1747" s="21"/>
    </row>
    <row r="1748" spans="12:16">
      <c r="L1748" s="21"/>
      <c r="M1748" s="21"/>
      <c r="P1748" s="21"/>
    </row>
    <row r="1749" spans="12:16">
      <c r="L1749" s="21"/>
      <c r="M1749" s="21"/>
      <c r="P1749" s="21"/>
    </row>
    <row r="1750" spans="12:16">
      <c r="L1750" s="21"/>
      <c r="M1750" s="21"/>
      <c r="P1750" s="21"/>
    </row>
    <row r="1751" spans="12:16">
      <c r="L1751" s="21"/>
      <c r="M1751" s="21"/>
      <c r="P1751" s="21"/>
    </row>
    <row r="1752" spans="12:16">
      <c r="L1752" s="21"/>
      <c r="M1752" s="21"/>
      <c r="P1752" s="21"/>
    </row>
    <row r="1753" spans="12:16">
      <c r="L1753" s="21"/>
      <c r="M1753" s="21"/>
      <c r="P1753" s="21"/>
    </row>
    <row r="1754" spans="12:16">
      <c r="L1754" s="21"/>
      <c r="M1754" s="21"/>
      <c r="P1754" s="21"/>
    </row>
    <row r="1755" spans="12:16">
      <c r="L1755" s="21"/>
      <c r="M1755" s="21"/>
      <c r="P1755" s="21"/>
    </row>
    <row r="1756" spans="12:16">
      <c r="L1756" s="21"/>
      <c r="M1756" s="21"/>
      <c r="P1756" s="21"/>
    </row>
    <row r="1757" spans="12:16">
      <c r="L1757" s="21"/>
      <c r="M1757" s="21"/>
      <c r="P1757" s="21"/>
    </row>
    <row r="1758" spans="12:16">
      <c r="L1758" s="21"/>
      <c r="M1758" s="21"/>
      <c r="P1758" s="21"/>
    </row>
    <row r="1759" spans="12:16">
      <c r="L1759" s="21"/>
      <c r="M1759" s="21"/>
      <c r="P1759" s="21"/>
    </row>
    <row r="1760" spans="12:16">
      <c r="L1760" s="21"/>
      <c r="M1760" s="21"/>
      <c r="P1760" s="21"/>
    </row>
    <row r="1761" spans="12:16">
      <c r="L1761" s="21"/>
      <c r="M1761" s="21"/>
      <c r="P1761" s="21"/>
    </row>
    <row r="1762" spans="12:16">
      <c r="L1762" s="21"/>
      <c r="M1762" s="21"/>
      <c r="P1762" s="21"/>
    </row>
    <row r="1763" spans="12:16">
      <c r="L1763" s="21"/>
      <c r="M1763" s="21"/>
      <c r="P1763" s="21"/>
    </row>
    <row r="1764" spans="12:16">
      <c r="L1764" s="21"/>
      <c r="M1764" s="21"/>
      <c r="P1764" s="21"/>
    </row>
    <row r="1765" spans="12:16">
      <c r="L1765" s="21"/>
      <c r="M1765" s="21"/>
      <c r="P1765" s="21"/>
    </row>
    <row r="1766" spans="12:16">
      <c r="L1766" s="21"/>
      <c r="M1766" s="21"/>
      <c r="P1766" s="21"/>
    </row>
    <row r="1767" spans="12:16">
      <c r="L1767" s="21"/>
      <c r="M1767" s="21"/>
      <c r="P1767" s="21"/>
    </row>
    <row r="1768" spans="12:16">
      <c r="L1768" s="21"/>
      <c r="M1768" s="21"/>
      <c r="P1768" s="21"/>
    </row>
    <row r="1769" spans="12:16">
      <c r="L1769" s="21"/>
      <c r="M1769" s="21"/>
      <c r="P1769" s="21"/>
    </row>
    <row r="1770" spans="12:16">
      <c r="L1770" s="21"/>
      <c r="M1770" s="21"/>
      <c r="P1770" s="21"/>
    </row>
    <row r="1771" spans="12:16">
      <c r="L1771" s="21"/>
      <c r="M1771" s="21"/>
      <c r="P1771" s="21"/>
    </row>
    <row r="1772" spans="12:16">
      <c r="L1772" s="21"/>
      <c r="M1772" s="21"/>
      <c r="P1772" s="21"/>
    </row>
    <row r="1773" spans="12:16">
      <c r="L1773" s="21"/>
      <c r="M1773" s="21"/>
      <c r="P1773" s="21"/>
    </row>
    <row r="1774" spans="12:16">
      <c r="L1774" s="21"/>
      <c r="M1774" s="21"/>
      <c r="P1774" s="21"/>
    </row>
    <row r="1775" spans="12:16">
      <c r="L1775" s="21"/>
      <c r="M1775" s="21"/>
      <c r="P1775" s="21"/>
    </row>
    <row r="1776" spans="12:16">
      <c r="L1776" s="21"/>
      <c r="M1776" s="21"/>
      <c r="P1776" s="21"/>
    </row>
    <row r="1777" spans="12:16">
      <c r="L1777" s="21"/>
      <c r="M1777" s="21"/>
      <c r="P1777" s="21"/>
    </row>
    <row r="1778" spans="12:16">
      <c r="L1778" s="21"/>
      <c r="M1778" s="21"/>
      <c r="P1778" s="21"/>
    </row>
    <row r="1779" spans="12:16">
      <c r="L1779" s="21"/>
      <c r="M1779" s="21"/>
      <c r="P1779" s="21"/>
    </row>
    <row r="1780" spans="12:16">
      <c r="L1780" s="21"/>
      <c r="M1780" s="21"/>
      <c r="P1780" s="21"/>
    </row>
    <row r="1781" spans="12:16">
      <c r="L1781" s="21"/>
      <c r="M1781" s="21"/>
      <c r="P1781" s="21"/>
    </row>
    <row r="1782" spans="12:16">
      <c r="L1782" s="21"/>
      <c r="M1782" s="21"/>
      <c r="P1782" s="21"/>
    </row>
    <row r="1783" spans="12:16">
      <c r="L1783" s="21"/>
      <c r="M1783" s="21"/>
      <c r="P1783" s="21"/>
    </row>
    <row r="1784" spans="12:16">
      <c r="L1784" s="21"/>
      <c r="M1784" s="21"/>
      <c r="P1784" s="21"/>
    </row>
    <row r="1785" spans="12:16">
      <c r="L1785" s="21"/>
      <c r="M1785" s="21"/>
      <c r="P1785" s="21"/>
    </row>
    <row r="1786" spans="12:16">
      <c r="L1786" s="21"/>
      <c r="M1786" s="21"/>
      <c r="P1786" s="21"/>
    </row>
    <row r="1787" spans="12:16">
      <c r="L1787" s="21"/>
      <c r="M1787" s="21"/>
      <c r="P1787" s="21"/>
    </row>
    <row r="1788" spans="12:16">
      <c r="L1788" s="21"/>
      <c r="M1788" s="21"/>
      <c r="P1788" s="21"/>
    </row>
    <row r="1789" spans="12:16">
      <c r="L1789" s="21"/>
      <c r="M1789" s="21"/>
      <c r="P1789" s="21"/>
    </row>
    <row r="1790" spans="12:16">
      <c r="L1790" s="21"/>
      <c r="M1790" s="21"/>
      <c r="P1790" s="21"/>
    </row>
    <row r="1791" spans="12:16">
      <c r="L1791" s="21"/>
      <c r="M1791" s="21"/>
      <c r="P1791" s="21"/>
    </row>
    <row r="1792" spans="12:16">
      <c r="L1792" s="21"/>
      <c r="M1792" s="21"/>
      <c r="P1792" s="21"/>
    </row>
    <row r="1793" spans="12:16">
      <c r="L1793" s="21"/>
      <c r="M1793" s="21"/>
      <c r="P1793" s="21"/>
    </row>
    <row r="1794" spans="12:16">
      <c r="L1794" s="21"/>
      <c r="M1794" s="21"/>
      <c r="P1794" s="21"/>
    </row>
    <row r="1795" spans="12:16">
      <c r="L1795" s="21"/>
      <c r="M1795" s="21"/>
      <c r="P1795" s="21"/>
    </row>
    <row r="1796" spans="12:16">
      <c r="L1796" s="21"/>
      <c r="M1796" s="21"/>
      <c r="P1796" s="21"/>
    </row>
    <row r="1797" spans="12:16">
      <c r="L1797" s="21"/>
      <c r="M1797" s="21"/>
      <c r="P1797" s="21"/>
    </row>
    <row r="1798" spans="12:16">
      <c r="L1798" s="21"/>
      <c r="M1798" s="21"/>
      <c r="P1798" s="21"/>
    </row>
    <row r="1799" spans="12:16">
      <c r="L1799" s="21"/>
      <c r="M1799" s="21"/>
      <c r="P1799" s="21"/>
    </row>
    <row r="1800" spans="12:16">
      <c r="L1800" s="21"/>
      <c r="M1800" s="21"/>
      <c r="P1800" s="21"/>
    </row>
    <row r="1801" spans="12:16">
      <c r="L1801" s="21"/>
      <c r="M1801" s="21"/>
      <c r="P1801" s="21"/>
    </row>
    <row r="1802" spans="12:16">
      <c r="L1802" s="21"/>
      <c r="M1802" s="21"/>
      <c r="P1802" s="21"/>
    </row>
    <row r="1803" spans="12:16">
      <c r="L1803" s="21"/>
      <c r="M1803" s="21"/>
      <c r="P1803" s="21"/>
    </row>
    <row r="1804" spans="12:16">
      <c r="L1804" s="21"/>
      <c r="M1804" s="21"/>
      <c r="P1804" s="21"/>
    </row>
    <row r="1805" spans="12:16">
      <c r="L1805" s="21"/>
      <c r="M1805" s="21"/>
      <c r="P1805" s="21"/>
    </row>
    <row r="1806" spans="12:16">
      <c r="L1806" s="21"/>
      <c r="M1806" s="21"/>
      <c r="P1806" s="21"/>
    </row>
    <row r="1807" spans="12:16">
      <c r="L1807" s="21"/>
      <c r="M1807" s="21"/>
      <c r="P1807" s="21"/>
    </row>
    <row r="1808" spans="12:16">
      <c r="L1808" s="21"/>
      <c r="M1808" s="21"/>
      <c r="P1808" s="21"/>
    </row>
    <row r="1809" spans="12:16">
      <c r="L1809" s="21"/>
      <c r="M1809" s="21"/>
      <c r="P1809" s="21"/>
    </row>
    <row r="1810" spans="12:16">
      <c r="L1810" s="21"/>
      <c r="M1810" s="21"/>
      <c r="P1810" s="21"/>
    </row>
    <row r="1811" spans="12:16">
      <c r="L1811" s="21"/>
      <c r="M1811" s="21"/>
      <c r="P1811" s="21"/>
    </row>
    <row r="1812" spans="12:16">
      <c r="L1812" s="21"/>
      <c r="M1812" s="21"/>
      <c r="P1812" s="21"/>
    </row>
    <row r="1813" spans="12:16">
      <c r="L1813" s="21"/>
      <c r="M1813" s="21"/>
      <c r="P1813" s="21"/>
    </row>
    <row r="1814" spans="12:16">
      <c r="L1814" s="21"/>
      <c r="M1814" s="21"/>
      <c r="P1814" s="21"/>
    </row>
    <row r="1815" spans="12:16">
      <c r="L1815" s="21"/>
      <c r="M1815" s="21"/>
      <c r="P1815" s="21"/>
    </row>
    <row r="1816" spans="12:16">
      <c r="L1816" s="21"/>
      <c r="M1816" s="21"/>
      <c r="P1816" s="21"/>
    </row>
    <row r="1817" spans="12:16">
      <c r="L1817" s="21"/>
      <c r="M1817" s="21"/>
      <c r="P1817" s="21"/>
    </row>
    <row r="1818" spans="12:16">
      <c r="L1818" s="21"/>
      <c r="M1818" s="21"/>
      <c r="P1818" s="21"/>
    </row>
    <row r="1819" spans="12:16">
      <c r="L1819" s="21"/>
      <c r="M1819" s="21"/>
      <c r="P1819" s="21"/>
    </row>
    <row r="1820" spans="12:16">
      <c r="L1820" s="21"/>
      <c r="M1820" s="21"/>
      <c r="P1820" s="21"/>
    </row>
    <row r="1821" spans="12:16">
      <c r="L1821" s="21"/>
      <c r="M1821" s="21"/>
      <c r="P1821" s="21"/>
    </row>
    <row r="1822" spans="12:16">
      <c r="L1822" s="21"/>
      <c r="M1822" s="21"/>
      <c r="P1822" s="21"/>
    </row>
    <row r="1823" spans="12:16">
      <c r="L1823" s="21"/>
      <c r="M1823" s="21"/>
      <c r="P1823" s="21"/>
    </row>
    <row r="1824" spans="12:16">
      <c r="L1824" s="21"/>
      <c r="M1824" s="21"/>
      <c r="P1824" s="21"/>
    </row>
    <row r="1825" spans="12:16">
      <c r="L1825" s="21"/>
      <c r="M1825" s="21"/>
      <c r="P1825" s="21"/>
    </row>
    <row r="1826" spans="12:16">
      <c r="L1826" s="21"/>
      <c r="M1826" s="21"/>
      <c r="P1826" s="21"/>
    </row>
    <row r="1827" spans="12:16">
      <c r="L1827" s="21"/>
      <c r="M1827" s="21"/>
      <c r="P1827" s="21"/>
    </row>
    <row r="1828" spans="12:16">
      <c r="L1828" s="21"/>
      <c r="M1828" s="21"/>
      <c r="P1828" s="21"/>
    </row>
    <row r="1829" spans="12:16">
      <c r="L1829" s="21"/>
      <c r="M1829" s="21"/>
      <c r="P1829" s="21"/>
    </row>
    <row r="1830" spans="12:16">
      <c r="L1830" s="21"/>
      <c r="M1830" s="21"/>
      <c r="P1830" s="21"/>
    </row>
    <row r="1831" spans="12:16">
      <c r="L1831" s="21"/>
      <c r="M1831" s="21"/>
      <c r="P1831" s="21"/>
    </row>
    <row r="1832" spans="12:16">
      <c r="L1832" s="21"/>
      <c r="M1832" s="21"/>
      <c r="P1832" s="21"/>
    </row>
    <row r="1833" spans="12:16">
      <c r="L1833" s="21"/>
      <c r="M1833" s="21"/>
      <c r="P1833" s="21"/>
    </row>
    <row r="1834" spans="12:16">
      <c r="L1834" s="21"/>
      <c r="M1834" s="21"/>
      <c r="P1834" s="21"/>
    </row>
    <row r="1835" spans="12:16">
      <c r="L1835" s="21"/>
      <c r="M1835" s="21"/>
      <c r="P1835" s="21"/>
    </row>
    <row r="1836" spans="12:16">
      <c r="L1836" s="21"/>
      <c r="M1836" s="21"/>
      <c r="P1836" s="21"/>
    </row>
    <row r="1837" spans="12:16">
      <c r="L1837" s="21"/>
      <c r="M1837" s="21"/>
      <c r="P1837" s="21"/>
    </row>
    <row r="1838" spans="12:16">
      <c r="L1838" s="21"/>
      <c r="M1838" s="21"/>
      <c r="P1838" s="21"/>
    </row>
    <row r="1839" spans="12:16">
      <c r="L1839" s="21"/>
      <c r="M1839" s="21"/>
      <c r="P1839" s="21"/>
    </row>
    <row r="1840" spans="12:16">
      <c r="L1840" s="21"/>
      <c r="M1840" s="21"/>
      <c r="P1840" s="21"/>
    </row>
    <row r="1841" spans="12:16">
      <c r="L1841" s="21"/>
      <c r="M1841" s="21"/>
      <c r="P1841" s="21"/>
    </row>
    <row r="1842" spans="12:16">
      <c r="L1842" s="21"/>
      <c r="M1842" s="21"/>
      <c r="P1842" s="21"/>
    </row>
    <row r="1843" spans="12:16">
      <c r="L1843" s="21"/>
      <c r="M1843" s="21"/>
      <c r="P1843" s="21"/>
    </row>
    <row r="1844" spans="12:16">
      <c r="L1844" s="21"/>
      <c r="M1844" s="21"/>
      <c r="P1844" s="21"/>
    </row>
    <row r="1845" spans="12:16">
      <c r="L1845" s="21"/>
      <c r="M1845" s="21"/>
      <c r="P1845" s="21"/>
    </row>
    <row r="1846" spans="12:16">
      <c r="L1846" s="21"/>
      <c r="M1846" s="21"/>
      <c r="P1846" s="21"/>
    </row>
    <row r="1847" spans="12:16">
      <c r="L1847" s="21"/>
      <c r="M1847" s="21"/>
      <c r="P1847" s="21"/>
    </row>
    <row r="1848" spans="12:16">
      <c r="L1848" s="21"/>
      <c r="M1848" s="21"/>
      <c r="P1848" s="21"/>
    </row>
    <row r="1849" spans="12:16">
      <c r="L1849" s="21"/>
      <c r="M1849" s="21"/>
      <c r="P1849" s="21"/>
    </row>
    <row r="1850" spans="12:16">
      <c r="L1850" s="21"/>
      <c r="M1850" s="21"/>
      <c r="P1850" s="21"/>
    </row>
    <row r="1851" spans="12:16">
      <c r="L1851" s="21"/>
      <c r="M1851" s="21"/>
      <c r="P1851" s="21"/>
    </row>
    <row r="1852" spans="12:16">
      <c r="L1852" s="21"/>
      <c r="M1852" s="21"/>
      <c r="P1852" s="21"/>
    </row>
    <row r="1853" spans="12:16">
      <c r="L1853" s="21"/>
      <c r="M1853" s="21"/>
      <c r="P1853" s="21"/>
    </row>
    <row r="1854" spans="12:16">
      <c r="L1854" s="21"/>
      <c r="M1854" s="21"/>
      <c r="P1854" s="21"/>
    </row>
    <row r="1855" spans="12:16">
      <c r="L1855" s="21"/>
      <c r="M1855" s="21"/>
      <c r="P1855" s="21"/>
    </row>
    <row r="1856" spans="12:16">
      <c r="L1856" s="21"/>
      <c r="M1856" s="21"/>
      <c r="P1856" s="21"/>
    </row>
    <row r="1857" spans="12:16">
      <c r="L1857" s="21"/>
      <c r="M1857" s="21"/>
      <c r="P1857" s="21"/>
    </row>
    <row r="1858" spans="12:16">
      <c r="L1858" s="21"/>
      <c r="M1858" s="21"/>
      <c r="P1858" s="21"/>
    </row>
    <row r="1859" spans="12:16">
      <c r="L1859" s="21"/>
      <c r="M1859" s="21"/>
      <c r="P1859" s="21"/>
    </row>
    <row r="1860" spans="12:16">
      <c r="L1860" s="21"/>
      <c r="M1860" s="21"/>
      <c r="P1860" s="21"/>
    </row>
    <row r="1861" spans="12:16">
      <c r="L1861" s="21"/>
      <c r="M1861" s="21"/>
      <c r="P1861" s="21"/>
    </row>
    <row r="1862" spans="12:16">
      <c r="L1862" s="21"/>
      <c r="M1862" s="21"/>
      <c r="P1862" s="21"/>
    </row>
    <row r="1863" spans="12:16">
      <c r="L1863" s="21"/>
      <c r="M1863" s="21"/>
      <c r="P1863" s="21"/>
    </row>
    <row r="1864" spans="12:16">
      <c r="L1864" s="21"/>
      <c r="M1864" s="21"/>
      <c r="P1864" s="21"/>
    </row>
    <row r="1865" spans="12:16">
      <c r="L1865" s="21"/>
      <c r="M1865" s="21"/>
      <c r="P1865" s="21"/>
    </row>
    <row r="1866" spans="12:16">
      <c r="L1866" s="21"/>
      <c r="M1866" s="21"/>
      <c r="P1866" s="21"/>
    </row>
    <row r="1867" spans="12:16">
      <c r="L1867" s="21"/>
      <c r="M1867" s="21"/>
      <c r="P1867" s="21"/>
    </row>
    <row r="1868" spans="12:16">
      <c r="L1868" s="21"/>
      <c r="M1868" s="21"/>
      <c r="P1868" s="21"/>
    </row>
    <row r="1869" spans="12:16">
      <c r="L1869" s="21"/>
      <c r="M1869" s="21"/>
      <c r="P1869" s="21"/>
    </row>
    <row r="1870" spans="12:16">
      <c r="L1870" s="21"/>
      <c r="M1870" s="21"/>
      <c r="P1870" s="21"/>
    </row>
    <row r="1871" spans="12:16">
      <c r="L1871" s="21"/>
      <c r="M1871" s="21"/>
      <c r="P1871" s="21"/>
    </row>
    <row r="1872" spans="12:16">
      <c r="L1872" s="21"/>
      <c r="M1872" s="21"/>
      <c r="P1872" s="21"/>
    </row>
    <row r="1873" spans="12:16">
      <c r="L1873" s="21"/>
      <c r="M1873" s="21"/>
      <c r="P1873" s="21"/>
    </row>
    <row r="1874" spans="12:16">
      <c r="L1874" s="21"/>
      <c r="M1874" s="21"/>
      <c r="P1874" s="21"/>
    </row>
    <row r="1875" spans="12:16">
      <c r="L1875" s="21"/>
      <c r="M1875" s="21"/>
      <c r="P1875" s="21"/>
    </row>
    <row r="1876" spans="12:16">
      <c r="L1876" s="21"/>
      <c r="M1876" s="21"/>
      <c r="P1876" s="21"/>
    </row>
    <row r="1877" spans="12:16">
      <c r="L1877" s="21"/>
      <c r="M1877" s="21"/>
      <c r="P1877" s="21"/>
    </row>
    <row r="1878" spans="12:16">
      <c r="L1878" s="21"/>
      <c r="M1878" s="21"/>
      <c r="P1878" s="21"/>
    </row>
    <row r="1879" spans="12:16">
      <c r="L1879" s="21"/>
      <c r="M1879" s="21"/>
      <c r="P1879" s="21"/>
    </row>
    <row r="1880" spans="12:16">
      <c r="L1880" s="21"/>
      <c r="M1880" s="21"/>
      <c r="P1880" s="21"/>
    </row>
    <row r="1881" spans="12:16">
      <c r="L1881" s="21"/>
      <c r="M1881" s="21"/>
      <c r="P1881" s="21"/>
    </row>
    <row r="1882" spans="12:16">
      <c r="L1882" s="21"/>
      <c r="M1882" s="21"/>
      <c r="P1882" s="21"/>
    </row>
    <row r="1883" spans="12:16">
      <c r="L1883" s="21"/>
      <c r="M1883" s="21"/>
      <c r="P1883" s="21"/>
    </row>
    <row r="1884" spans="12:16">
      <c r="L1884" s="21"/>
      <c r="M1884" s="21"/>
      <c r="P1884" s="21"/>
    </row>
    <row r="1885" spans="12:16">
      <c r="L1885" s="21"/>
      <c r="M1885" s="21"/>
      <c r="P1885" s="21"/>
    </row>
    <row r="1886" spans="12:16">
      <c r="L1886" s="21"/>
      <c r="M1886" s="21"/>
      <c r="P1886" s="21"/>
    </row>
    <row r="1887" spans="12:16">
      <c r="L1887" s="21"/>
      <c r="M1887" s="21"/>
      <c r="P1887" s="21"/>
    </row>
    <row r="1888" spans="12:16">
      <c r="L1888" s="21"/>
      <c r="M1888" s="21"/>
      <c r="P1888" s="21"/>
    </row>
    <row r="1889" spans="12:16">
      <c r="L1889" s="21"/>
      <c r="M1889" s="21"/>
      <c r="P1889" s="21"/>
    </row>
    <row r="1890" spans="12:16">
      <c r="L1890" s="21"/>
      <c r="M1890" s="21"/>
      <c r="P1890" s="21"/>
    </row>
    <row r="1891" spans="12:16">
      <c r="L1891" s="21"/>
      <c r="M1891" s="21"/>
      <c r="P1891" s="21"/>
    </row>
    <row r="1892" spans="12:16">
      <c r="L1892" s="21"/>
      <c r="M1892" s="21"/>
      <c r="P1892" s="21"/>
    </row>
    <row r="1893" spans="12:16">
      <c r="L1893" s="21"/>
      <c r="M1893" s="21"/>
      <c r="P1893" s="21"/>
    </row>
    <row r="1894" spans="12:16">
      <c r="L1894" s="21"/>
      <c r="M1894" s="21"/>
      <c r="P1894" s="21"/>
    </row>
    <row r="1895" spans="12:16">
      <c r="L1895" s="21"/>
      <c r="M1895" s="21"/>
      <c r="P1895" s="21"/>
    </row>
    <row r="1896" spans="12:16">
      <c r="L1896" s="21"/>
      <c r="M1896" s="21"/>
      <c r="P1896" s="21"/>
    </row>
    <row r="1897" spans="12:16">
      <c r="L1897" s="21"/>
      <c r="M1897" s="21"/>
      <c r="P1897" s="21"/>
    </row>
    <row r="1898" spans="12:16">
      <c r="L1898" s="21"/>
      <c r="M1898" s="21"/>
      <c r="P1898" s="21"/>
    </row>
    <row r="1899" spans="12:16">
      <c r="L1899" s="21"/>
      <c r="M1899" s="21"/>
      <c r="P1899" s="21"/>
    </row>
    <row r="1900" spans="12:16">
      <c r="L1900" s="21"/>
      <c r="M1900" s="21"/>
      <c r="P1900" s="21"/>
    </row>
    <row r="1901" spans="12:16">
      <c r="L1901" s="21"/>
      <c r="M1901" s="21"/>
      <c r="P1901" s="21"/>
    </row>
    <row r="1902" spans="12:16">
      <c r="L1902" s="21"/>
      <c r="M1902" s="21"/>
      <c r="P1902" s="21"/>
    </row>
    <row r="1903" spans="12:16">
      <c r="L1903" s="21"/>
      <c r="M1903" s="21"/>
      <c r="P1903" s="21"/>
    </row>
    <row r="1904" spans="12:16">
      <c r="L1904" s="21"/>
      <c r="M1904" s="21"/>
      <c r="P1904" s="21"/>
    </row>
    <row r="1905" spans="12:16">
      <c r="L1905" s="21"/>
      <c r="M1905" s="21"/>
      <c r="P1905" s="21"/>
    </row>
    <row r="1906" spans="12:16">
      <c r="L1906" s="21"/>
      <c r="M1906" s="21"/>
      <c r="P1906" s="21"/>
    </row>
    <row r="1907" spans="12:16">
      <c r="L1907" s="21"/>
      <c r="M1907" s="21"/>
      <c r="P1907" s="21"/>
    </row>
    <row r="1908" spans="12:16">
      <c r="L1908" s="21"/>
      <c r="M1908" s="21"/>
      <c r="P1908" s="21"/>
    </row>
    <row r="1909" spans="12:16">
      <c r="L1909" s="21"/>
      <c r="M1909" s="21"/>
      <c r="P1909" s="21"/>
    </row>
    <row r="1910" spans="12:16">
      <c r="L1910" s="21"/>
      <c r="M1910" s="21"/>
      <c r="P1910" s="21"/>
    </row>
    <row r="1911" spans="12:16">
      <c r="L1911" s="21"/>
      <c r="M1911" s="21"/>
      <c r="P1911" s="21"/>
    </row>
    <row r="1912" spans="12:16">
      <c r="L1912" s="21"/>
      <c r="M1912" s="21"/>
      <c r="P1912" s="21"/>
    </row>
    <row r="1913" spans="12:16">
      <c r="L1913" s="21"/>
      <c r="M1913" s="21"/>
      <c r="P1913" s="21"/>
    </row>
    <row r="1914" spans="12:16">
      <c r="L1914" s="21"/>
      <c r="M1914" s="21"/>
      <c r="P1914" s="21"/>
    </row>
    <row r="1915" spans="12:16">
      <c r="L1915" s="21"/>
      <c r="M1915" s="21"/>
      <c r="P1915" s="21"/>
    </row>
    <row r="1916" spans="12:16">
      <c r="L1916" s="21"/>
      <c r="M1916" s="21"/>
      <c r="P1916" s="21"/>
    </row>
    <row r="1917" spans="12:16">
      <c r="L1917" s="21"/>
      <c r="M1917" s="21"/>
      <c r="P1917" s="21"/>
    </row>
    <row r="1918" spans="12:16">
      <c r="L1918" s="21"/>
      <c r="M1918" s="21"/>
      <c r="P1918" s="21"/>
    </row>
    <row r="1919" spans="12:16">
      <c r="L1919" s="21"/>
      <c r="M1919" s="21"/>
      <c r="P1919" s="21"/>
    </row>
    <row r="1920" spans="12:16">
      <c r="L1920" s="21"/>
      <c r="M1920" s="21"/>
      <c r="P1920" s="21"/>
    </row>
    <row r="1921" spans="12:16">
      <c r="L1921" s="21"/>
      <c r="M1921" s="21"/>
      <c r="P1921" s="21"/>
    </row>
    <row r="1922" spans="12:16">
      <c r="L1922" s="21"/>
      <c r="M1922" s="21"/>
      <c r="P1922" s="21"/>
    </row>
    <row r="1923" spans="12:16">
      <c r="L1923" s="21"/>
      <c r="M1923" s="21"/>
      <c r="P1923" s="21"/>
    </row>
    <row r="1924" spans="12:16">
      <c r="L1924" s="21"/>
      <c r="M1924" s="21"/>
      <c r="P1924" s="21"/>
    </row>
    <row r="1925" spans="12:16">
      <c r="L1925" s="21"/>
      <c r="M1925" s="21"/>
      <c r="P1925" s="21"/>
    </row>
    <row r="1926" spans="12:16">
      <c r="L1926" s="21"/>
      <c r="M1926" s="21"/>
      <c r="P1926" s="21"/>
    </row>
    <row r="1927" spans="12:16">
      <c r="L1927" s="21"/>
      <c r="M1927" s="21"/>
      <c r="P1927" s="21"/>
    </row>
    <row r="1928" spans="12:16">
      <c r="L1928" s="21"/>
      <c r="M1928" s="21"/>
      <c r="P1928" s="21"/>
    </row>
    <row r="1929" spans="12:16">
      <c r="L1929" s="21"/>
      <c r="M1929" s="21"/>
      <c r="P1929" s="21"/>
    </row>
    <row r="1930" spans="12:16">
      <c r="L1930" s="21"/>
      <c r="M1930" s="21"/>
      <c r="P1930" s="21"/>
    </row>
    <row r="1931" spans="12:16">
      <c r="L1931" s="21"/>
      <c r="M1931" s="21"/>
      <c r="P1931" s="21"/>
    </row>
    <row r="1932" spans="12:16">
      <c r="L1932" s="21"/>
      <c r="M1932" s="21"/>
      <c r="P1932" s="21"/>
    </row>
    <row r="1933" spans="12:16">
      <c r="L1933" s="21"/>
      <c r="M1933" s="21"/>
      <c r="P1933" s="21"/>
    </row>
    <row r="1934" spans="12:16">
      <c r="L1934" s="21"/>
      <c r="M1934" s="21"/>
      <c r="P1934" s="21"/>
    </row>
    <row r="1935" spans="12:16">
      <c r="L1935" s="21"/>
      <c r="M1935" s="21"/>
      <c r="P1935" s="21"/>
    </row>
    <row r="1936" spans="12:16">
      <c r="L1936" s="21"/>
      <c r="M1936" s="21"/>
      <c r="P1936" s="21"/>
    </row>
    <row r="1937" spans="12:16">
      <c r="L1937" s="21"/>
      <c r="M1937" s="21"/>
      <c r="P1937" s="21"/>
    </row>
    <row r="1938" spans="12:16">
      <c r="L1938" s="21"/>
      <c r="M1938" s="21"/>
      <c r="P1938" s="21"/>
    </row>
    <row r="1939" spans="12:16">
      <c r="L1939" s="21"/>
      <c r="M1939" s="21"/>
      <c r="P1939" s="21"/>
    </row>
    <row r="1940" spans="12:16">
      <c r="L1940" s="21"/>
      <c r="M1940" s="21"/>
      <c r="P1940" s="21"/>
    </row>
    <row r="1941" spans="12:16">
      <c r="L1941" s="21"/>
      <c r="M1941" s="21"/>
      <c r="P1941" s="21"/>
    </row>
    <row r="1942" spans="12:16">
      <c r="L1942" s="21"/>
      <c r="M1942" s="21"/>
      <c r="P1942" s="21"/>
    </row>
    <row r="1943" spans="12:16">
      <c r="L1943" s="21"/>
      <c r="M1943" s="21"/>
      <c r="P1943" s="21"/>
    </row>
    <row r="1944" spans="12:16">
      <c r="L1944" s="21"/>
      <c r="M1944" s="21"/>
      <c r="P1944" s="21"/>
    </row>
    <row r="1945" spans="12:16">
      <c r="L1945" s="21"/>
      <c r="M1945" s="21"/>
      <c r="P1945" s="21"/>
    </row>
    <row r="1946" spans="12:16">
      <c r="L1946" s="21"/>
      <c r="M1946" s="21"/>
      <c r="P1946" s="21"/>
    </row>
    <row r="1947" spans="12:16">
      <c r="L1947" s="21"/>
      <c r="M1947" s="21"/>
      <c r="P1947" s="21"/>
    </row>
    <row r="1948" spans="12:16">
      <c r="L1948" s="21"/>
      <c r="M1948" s="21"/>
      <c r="P1948" s="21"/>
    </row>
    <row r="1949" spans="12:16">
      <c r="L1949" s="21"/>
      <c r="M1949" s="21"/>
      <c r="P1949" s="21"/>
    </row>
    <row r="1950" spans="12:16">
      <c r="L1950" s="21"/>
      <c r="M1950" s="21"/>
      <c r="P1950" s="21"/>
    </row>
    <row r="1951" spans="12:16">
      <c r="L1951" s="21"/>
      <c r="M1951" s="21"/>
      <c r="P1951" s="21"/>
    </row>
    <row r="1952" spans="12:16">
      <c r="L1952" s="21"/>
      <c r="M1952" s="21"/>
      <c r="P1952" s="21"/>
    </row>
    <row r="1953" spans="12:16">
      <c r="L1953" s="21"/>
      <c r="M1953" s="21"/>
      <c r="P1953" s="21"/>
    </row>
    <row r="1954" spans="12:16">
      <c r="L1954" s="21"/>
      <c r="M1954" s="21"/>
      <c r="P1954" s="21"/>
    </row>
    <row r="1955" spans="12:16">
      <c r="L1955" s="21"/>
      <c r="M1955" s="21"/>
      <c r="P1955" s="21"/>
    </row>
    <row r="1956" spans="12:16">
      <c r="L1956" s="21"/>
      <c r="M1956" s="21"/>
      <c r="P1956" s="21"/>
    </row>
    <row r="1957" spans="12:16">
      <c r="L1957" s="21"/>
      <c r="M1957" s="21"/>
      <c r="P1957" s="21"/>
    </row>
    <row r="1958" spans="12:16">
      <c r="L1958" s="21"/>
      <c r="M1958" s="21"/>
      <c r="P1958" s="21"/>
    </row>
    <row r="1959" spans="12:16">
      <c r="L1959" s="21"/>
      <c r="M1959" s="21"/>
      <c r="P1959" s="21"/>
    </row>
    <row r="1960" spans="12:16">
      <c r="L1960" s="21"/>
      <c r="M1960" s="21"/>
      <c r="P1960" s="21"/>
    </row>
    <row r="1961" spans="12:16">
      <c r="L1961" s="21"/>
      <c r="M1961" s="21"/>
      <c r="P1961" s="21"/>
    </row>
    <row r="1962" spans="12:16">
      <c r="L1962" s="21"/>
      <c r="M1962" s="21"/>
      <c r="P1962" s="21"/>
    </row>
    <row r="1963" spans="12:16">
      <c r="L1963" s="21"/>
      <c r="M1963" s="21"/>
      <c r="P1963" s="21"/>
    </row>
    <row r="1964" spans="12:16">
      <c r="L1964" s="21"/>
      <c r="M1964" s="21"/>
      <c r="P1964" s="21"/>
    </row>
    <row r="1965" spans="12:16">
      <c r="L1965" s="21"/>
      <c r="M1965" s="21"/>
      <c r="P1965" s="21"/>
    </row>
    <row r="1966" spans="12:16">
      <c r="L1966" s="21"/>
      <c r="M1966" s="21"/>
      <c r="P1966" s="21"/>
    </row>
    <row r="1967" spans="12:16">
      <c r="L1967" s="21"/>
      <c r="M1967" s="21"/>
      <c r="P1967" s="21"/>
    </row>
    <row r="1968" spans="12:16">
      <c r="L1968" s="21"/>
      <c r="M1968" s="21"/>
      <c r="P1968" s="21"/>
    </row>
    <row r="1969" spans="12:16">
      <c r="L1969" s="21"/>
      <c r="M1969" s="21"/>
      <c r="P1969" s="21"/>
    </row>
    <row r="1970" spans="12:16">
      <c r="L1970" s="21"/>
      <c r="M1970" s="21"/>
      <c r="P1970" s="21"/>
    </row>
    <row r="1971" spans="12:16">
      <c r="L1971" s="21"/>
      <c r="M1971" s="21"/>
      <c r="P1971" s="21"/>
    </row>
    <row r="1972" spans="12:16">
      <c r="L1972" s="21"/>
      <c r="M1972" s="21"/>
      <c r="P1972" s="21"/>
    </row>
    <row r="1973" spans="12:16">
      <c r="L1973" s="21"/>
      <c r="M1973" s="21"/>
      <c r="P1973" s="21"/>
    </row>
    <row r="1974" spans="12:16">
      <c r="L1974" s="21"/>
      <c r="M1974" s="21"/>
      <c r="P1974" s="21"/>
    </row>
    <row r="1975" spans="12:16">
      <c r="L1975" s="21"/>
      <c r="M1975" s="21"/>
      <c r="P1975" s="21"/>
    </row>
    <row r="1976" spans="12:16">
      <c r="L1976" s="21"/>
      <c r="M1976" s="21"/>
      <c r="P1976" s="21"/>
    </row>
    <row r="1977" spans="12:16">
      <c r="L1977" s="21"/>
      <c r="M1977" s="21"/>
      <c r="P1977" s="21"/>
    </row>
    <row r="1978" spans="12:16">
      <c r="L1978" s="21"/>
      <c r="M1978" s="21"/>
      <c r="P1978" s="21"/>
    </row>
    <row r="1979" spans="12:16">
      <c r="L1979" s="21"/>
      <c r="M1979" s="21"/>
      <c r="P1979" s="21"/>
    </row>
    <row r="1980" spans="12:16">
      <c r="L1980" s="21"/>
      <c r="M1980" s="21"/>
      <c r="P1980" s="21"/>
    </row>
    <row r="1981" spans="12:16">
      <c r="L1981" s="21"/>
      <c r="M1981" s="21"/>
      <c r="P1981" s="21"/>
    </row>
    <row r="1982" spans="12:16">
      <c r="L1982" s="21"/>
      <c r="M1982" s="21"/>
      <c r="P1982" s="21"/>
    </row>
    <row r="1983" spans="12:16">
      <c r="L1983" s="21"/>
      <c r="M1983" s="21"/>
      <c r="P1983" s="21"/>
    </row>
    <row r="1984" spans="12:16">
      <c r="L1984" s="21"/>
      <c r="M1984" s="21"/>
      <c r="P1984" s="21"/>
    </row>
    <row r="1985" spans="12:16">
      <c r="L1985" s="21"/>
      <c r="M1985" s="21"/>
      <c r="P1985" s="21"/>
    </row>
    <row r="1986" spans="12:16">
      <c r="L1986" s="21"/>
      <c r="M1986" s="21"/>
      <c r="P1986" s="21"/>
    </row>
    <row r="1987" spans="12:16">
      <c r="L1987" s="21"/>
      <c r="M1987" s="21"/>
      <c r="P1987" s="21"/>
    </row>
    <row r="1988" spans="12:16">
      <c r="L1988" s="21"/>
      <c r="M1988" s="21"/>
      <c r="P1988" s="21"/>
    </row>
    <row r="1989" spans="12:16">
      <c r="L1989" s="21"/>
      <c r="M1989" s="21"/>
      <c r="P1989" s="21"/>
    </row>
    <row r="1990" spans="12:16">
      <c r="L1990" s="21"/>
      <c r="M1990" s="21"/>
      <c r="P1990" s="21"/>
    </row>
    <row r="1991" spans="12:16">
      <c r="L1991" s="21"/>
      <c r="M1991" s="21"/>
      <c r="P1991" s="21"/>
    </row>
    <row r="1992" spans="12:16">
      <c r="L1992" s="21"/>
      <c r="M1992" s="21"/>
      <c r="P1992" s="21"/>
    </row>
    <row r="1993" spans="12:16">
      <c r="L1993" s="21"/>
      <c r="M1993" s="21"/>
      <c r="P1993" s="21"/>
    </row>
    <row r="1994" spans="12:16">
      <c r="L1994" s="21"/>
      <c r="M1994" s="21"/>
      <c r="P1994" s="21"/>
    </row>
    <row r="1995" spans="12:16">
      <c r="L1995" s="21"/>
      <c r="M1995" s="21"/>
      <c r="P1995" s="21"/>
    </row>
    <row r="1996" spans="12:16">
      <c r="L1996" s="21"/>
      <c r="M1996" s="21"/>
      <c r="P1996" s="21"/>
    </row>
    <row r="1997" spans="12:16">
      <c r="L1997" s="21"/>
      <c r="M1997" s="21"/>
      <c r="P1997" s="21"/>
    </row>
    <row r="1998" spans="12:16">
      <c r="L1998" s="21"/>
      <c r="M1998" s="21"/>
      <c r="P1998" s="21"/>
    </row>
    <row r="1999" spans="12:16">
      <c r="L1999" s="21"/>
      <c r="M1999" s="21"/>
      <c r="P1999" s="21"/>
    </row>
    <row r="2000" spans="12:16">
      <c r="L2000" s="21"/>
      <c r="M2000" s="21"/>
      <c r="P2000" s="21"/>
    </row>
    <row r="2001" spans="12:16">
      <c r="L2001" s="21"/>
      <c r="M2001" s="21"/>
      <c r="P2001" s="21"/>
    </row>
    <row r="2002" spans="12:16">
      <c r="L2002" s="21"/>
      <c r="M2002" s="21"/>
      <c r="P2002" s="21"/>
    </row>
    <row r="2003" spans="12:16">
      <c r="L2003" s="21"/>
      <c r="M2003" s="21"/>
      <c r="P2003" s="21"/>
    </row>
    <row r="2004" spans="12:16">
      <c r="L2004" s="21"/>
      <c r="M2004" s="21"/>
      <c r="P2004" s="21"/>
    </row>
    <row r="2005" spans="12:16">
      <c r="L2005" s="21"/>
      <c r="M2005" s="21"/>
      <c r="P2005" s="21"/>
    </row>
    <row r="2006" spans="12:16">
      <c r="L2006" s="21"/>
      <c r="M2006" s="21"/>
      <c r="P2006" s="21"/>
    </row>
    <row r="2007" spans="12:16">
      <c r="L2007" s="21"/>
      <c r="M2007" s="21"/>
      <c r="P2007" s="21"/>
    </row>
    <row r="2008" spans="12:16">
      <c r="L2008" s="21"/>
      <c r="M2008" s="21"/>
      <c r="P2008" s="21"/>
    </row>
    <row r="2009" spans="12:16">
      <c r="L2009" s="21"/>
      <c r="M2009" s="21"/>
      <c r="P2009" s="21"/>
    </row>
    <row r="2010" spans="12:16">
      <c r="L2010" s="21"/>
      <c r="M2010" s="21"/>
      <c r="P2010" s="21"/>
    </row>
    <row r="2011" spans="12:16">
      <c r="L2011" s="21"/>
      <c r="M2011" s="21"/>
      <c r="P2011" s="21"/>
    </row>
    <row r="2012" spans="12:16">
      <c r="L2012" s="21"/>
      <c r="M2012" s="21"/>
      <c r="P2012" s="21"/>
    </row>
    <row r="2013" spans="12:16">
      <c r="L2013" s="21"/>
      <c r="M2013" s="21"/>
      <c r="P2013" s="21"/>
    </row>
    <row r="2014" spans="12:16">
      <c r="L2014" s="21"/>
      <c r="M2014" s="21"/>
      <c r="P2014" s="21"/>
    </row>
    <row r="2015" spans="12:16">
      <c r="L2015" s="21"/>
      <c r="M2015" s="21"/>
      <c r="P2015" s="21"/>
    </row>
    <row r="2016" spans="12:16">
      <c r="L2016" s="21"/>
      <c r="M2016" s="21"/>
      <c r="P2016" s="21"/>
    </row>
    <row r="2017" spans="12:16">
      <c r="L2017" s="21"/>
      <c r="M2017" s="21"/>
      <c r="P2017" s="21"/>
    </row>
    <row r="2018" spans="12:16">
      <c r="L2018" s="21"/>
      <c r="M2018" s="21"/>
      <c r="P2018" s="21"/>
    </row>
    <row r="2019" spans="12:16">
      <c r="L2019" s="21"/>
      <c r="M2019" s="21"/>
      <c r="P2019" s="21"/>
    </row>
    <row r="2020" spans="12:16">
      <c r="L2020" s="21"/>
      <c r="M2020" s="21"/>
      <c r="P2020" s="21"/>
    </row>
    <row r="2021" spans="12:16">
      <c r="L2021" s="21"/>
      <c r="M2021" s="21"/>
      <c r="P2021" s="21"/>
    </row>
    <row r="2022" spans="12:16">
      <c r="L2022" s="21"/>
      <c r="M2022" s="21"/>
      <c r="P2022" s="21"/>
    </row>
    <row r="2023" spans="12:16">
      <c r="L2023" s="21"/>
      <c r="M2023" s="21"/>
      <c r="P2023" s="21"/>
    </row>
    <row r="2024" spans="12:16">
      <c r="L2024" s="21"/>
      <c r="M2024" s="21"/>
      <c r="P2024" s="21"/>
    </row>
    <row r="2025" spans="12:16">
      <c r="L2025" s="21"/>
      <c r="M2025" s="21"/>
      <c r="P2025" s="21"/>
    </row>
    <row r="2026" spans="12:16">
      <c r="L2026" s="21"/>
      <c r="M2026" s="21"/>
      <c r="P2026" s="21"/>
    </row>
    <row r="2027" spans="12:16">
      <c r="L2027" s="21"/>
      <c r="M2027" s="21"/>
      <c r="P2027" s="21"/>
    </row>
    <row r="2028" spans="12:16">
      <c r="L2028" s="21"/>
      <c r="M2028" s="21"/>
      <c r="P2028" s="21"/>
    </row>
    <row r="2029" spans="12:16">
      <c r="L2029" s="21"/>
      <c r="M2029" s="21"/>
      <c r="P2029" s="21"/>
    </row>
    <row r="2030" spans="12:16">
      <c r="L2030" s="21"/>
      <c r="M2030" s="21"/>
      <c r="P2030" s="21"/>
    </row>
    <row r="2031" spans="12:16">
      <c r="L2031" s="21"/>
      <c r="M2031" s="21"/>
      <c r="P2031" s="21"/>
    </row>
    <row r="2032" spans="12:16">
      <c r="L2032" s="21"/>
      <c r="M2032" s="21"/>
      <c r="P2032" s="21"/>
    </row>
    <row r="2033" spans="12:16">
      <c r="L2033" s="21"/>
      <c r="M2033" s="21"/>
      <c r="P2033" s="21"/>
    </row>
    <row r="2034" spans="12:16">
      <c r="L2034" s="21"/>
      <c r="M2034" s="21"/>
      <c r="P2034" s="21"/>
    </row>
    <row r="2035" spans="12:16">
      <c r="L2035" s="21"/>
      <c r="M2035" s="21"/>
      <c r="P2035" s="21"/>
    </row>
    <row r="2036" spans="12:16">
      <c r="L2036" s="21"/>
      <c r="M2036" s="21"/>
      <c r="P2036" s="21"/>
    </row>
    <row r="2037" spans="12:16">
      <c r="L2037" s="21"/>
      <c r="M2037" s="21"/>
      <c r="P2037" s="21"/>
    </row>
    <row r="2038" spans="12:16">
      <c r="L2038" s="21"/>
      <c r="M2038" s="21"/>
      <c r="P2038" s="21"/>
    </row>
    <row r="2039" spans="12:16">
      <c r="L2039" s="21"/>
      <c r="M2039" s="21"/>
      <c r="P2039" s="21"/>
    </row>
    <row r="2040" spans="12:16">
      <c r="L2040" s="21"/>
      <c r="M2040" s="21"/>
      <c r="P2040" s="21"/>
    </row>
    <row r="2041" spans="12:16">
      <c r="L2041" s="21"/>
      <c r="M2041" s="21"/>
      <c r="P2041" s="21"/>
    </row>
    <row r="2042" spans="12:16">
      <c r="L2042" s="21"/>
      <c r="M2042" s="21"/>
      <c r="P2042" s="21"/>
    </row>
    <row r="2043" spans="12:16">
      <c r="L2043" s="21"/>
      <c r="M2043" s="21"/>
      <c r="P2043" s="21"/>
    </row>
    <row r="2044" spans="12:16">
      <c r="L2044" s="21"/>
      <c r="M2044" s="21"/>
      <c r="P2044" s="21"/>
    </row>
    <row r="2045" spans="12:16">
      <c r="L2045" s="21"/>
      <c r="M2045" s="21"/>
      <c r="P2045" s="21"/>
    </row>
    <row r="2046" spans="12:16">
      <c r="L2046" s="21"/>
      <c r="M2046" s="21"/>
      <c r="P2046" s="21"/>
    </row>
    <row r="2047" spans="12:16">
      <c r="L2047" s="21"/>
      <c r="M2047" s="21"/>
      <c r="P2047" s="21"/>
    </row>
    <row r="2048" spans="12:16">
      <c r="L2048" s="21"/>
      <c r="M2048" s="21"/>
      <c r="P2048" s="21"/>
    </row>
    <row r="2049" spans="12:16">
      <c r="L2049" s="21"/>
      <c r="M2049" s="21"/>
      <c r="P2049" s="21"/>
    </row>
    <row r="2050" spans="12:16">
      <c r="L2050" s="21"/>
      <c r="M2050" s="21"/>
      <c r="P2050" s="21"/>
    </row>
    <row r="2051" spans="12:16">
      <c r="L2051" s="21"/>
      <c r="M2051" s="21"/>
      <c r="P2051" s="21"/>
    </row>
    <row r="2052" spans="12:16">
      <c r="L2052" s="21"/>
      <c r="M2052" s="21"/>
      <c r="P2052" s="21"/>
    </row>
    <row r="2053" spans="12:16">
      <c r="L2053" s="21"/>
      <c r="M2053" s="21"/>
      <c r="P2053" s="21"/>
    </row>
    <row r="2054" spans="12:16">
      <c r="L2054" s="21"/>
      <c r="M2054" s="21"/>
      <c r="P2054" s="21"/>
    </row>
    <row r="2055" spans="12:16">
      <c r="L2055" s="21"/>
      <c r="M2055" s="21"/>
      <c r="P2055" s="21"/>
    </row>
    <row r="2056" spans="12:16">
      <c r="L2056" s="21"/>
      <c r="M2056" s="21"/>
      <c r="P2056" s="21"/>
    </row>
    <row r="2057" spans="12:16">
      <c r="L2057" s="21"/>
      <c r="M2057" s="21"/>
      <c r="P2057" s="21"/>
    </row>
    <row r="2058" spans="12:16">
      <c r="L2058" s="21"/>
      <c r="M2058" s="21"/>
      <c r="P2058" s="21"/>
    </row>
    <row r="2059" spans="12:16">
      <c r="L2059" s="21"/>
      <c r="M2059" s="21"/>
      <c r="P2059" s="21"/>
    </row>
    <row r="2060" spans="12:16">
      <c r="L2060" s="21"/>
      <c r="M2060" s="21"/>
      <c r="P2060" s="21"/>
    </row>
    <row r="2061" spans="12:16">
      <c r="L2061" s="21"/>
      <c r="M2061" s="21"/>
      <c r="P2061" s="21"/>
    </row>
    <row r="2062" spans="12:16">
      <c r="L2062" s="21"/>
      <c r="M2062" s="21"/>
      <c r="P2062" s="21"/>
    </row>
    <row r="2063" spans="12:16">
      <c r="L2063" s="21"/>
      <c r="M2063" s="21"/>
      <c r="P2063" s="21"/>
    </row>
    <row r="2064" spans="12:16">
      <c r="L2064" s="21"/>
      <c r="M2064" s="21"/>
      <c r="P2064" s="21"/>
    </row>
    <row r="2065" spans="12:16">
      <c r="L2065" s="21"/>
      <c r="M2065" s="21"/>
      <c r="P2065" s="21"/>
    </row>
    <row r="2066" spans="12:16">
      <c r="L2066" s="21"/>
      <c r="M2066" s="21"/>
      <c r="P2066" s="21"/>
    </row>
    <row r="2067" spans="12:16">
      <c r="L2067" s="21"/>
      <c r="M2067" s="21"/>
      <c r="P2067" s="21"/>
    </row>
    <row r="2068" spans="12:16">
      <c r="L2068" s="21"/>
      <c r="M2068" s="21"/>
      <c r="P2068" s="21"/>
    </row>
    <row r="2069" spans="12:16">
      <c r="L2069" s="21"/>
      <c r="M2069" s="21"/>
      <c r="P2069" s="21"/>
    </row>
    <row r="2070" spans="12:16">
      <c r="L2070" s="21"/>
      <c r="M2070" s="21"/>
      <c r="P2070" s="21"/>
    </row>
    <row r="2071" spans="12:16">
      <c r="L2071" s="21"/>
      <c r="M2071" s="21"/>
      <c r="P2071" s="21"/>
    </row>
    <row r="2072" spans="12:16">
      <c r="L2072" s="21"/>
      <c r="M2072" s="21"/>
      <c r="P2072" s="21"/>
    </row>
    <row r="2073" spans="12:16">
      <c r="L2073" s="21"/>
      <c r="M2073" s="21"/>
      <c r="P2073" s="21"/>
    </row>
    <row r="2074" spans="12:16">
      <c r="L2074" s="21"/>
      <c r="M2074" s="21"/>
      <c r="P2074" s="21"/>
    </row>
    <row r="2075" spans="12:16">
      <c r="L2075" s="21"/>
      <c r="M2075" s="21"/>
      <c r="P2075" s="21"/>
    </row>
    <row r="2076" spans="12:16">
      <c r="L2076" s="21"/>
      <c r="M2076" s="21"/>
      <c r="P2076" s="21"/>
    </row>
    <row r="2077" spans="12:16">
      <c r="L2077" s="21"/>
      <c r="M2077" s="21"/>
      <c r="P2077" s="21"/>
    </row>
    <row r="2078" spans="12:16">
      <c r="L2078" s="21"/>
      <c r="M2078" s="21"/>
      <c r="P2078" s="21"/>
    </row>
    <row r="2079" spans="12:16">
      <c r="L2079" s="21"/>
      <c r="M2079" s="21"/>
      <c r="P2079" s="21"/>
    </row>
    <row r="2080" spans="12:16">
      <c r="L2080" s="21"/>
      <c r="M2080" s="21"/>
      <c r="P2080" s="21"/>
    </row>
    <row r="2081" spans="12:16">
      <c r="L2081" s="21"/>
      <c r="M2081" s="21"/>
      <c r="P2081" s="21"/>
    </row>
    <row r="2082" spans="12:16">
      <c r="L2082" s="21"/>
      <c r="M2082" s="21"/>
      <c r="P2082" s="21"/>
    </row>
    <row r="2083" spans="12:16">
      <c r="L2083" s="21"/>
      <c r="M2083" s="21"/>
      <c r="P2083" s="21"/>
    </row>
    <row r="2084" spans="12:16">
      <c r="L2084" s="21"/>
      <c r="M2084" s="21"/>
      <c r="P2084" s="21"/>
    </row>
    <row r="2085" spans="12:16">
      <c r="L2085" s="21"/>
      <c r="M2085" s="21"/>
      <c r="P2085" s="21"/>
    </row>
    <row r="2086" spans="12:16">
      <c r="L2086" s="21"/>
      <c r="M2086" s="21"/>
      <c r="P2086" s="21"/>
    </row>
    <row r="2087" spans="12:16">
      <c r="L2087" s="21"/>
      <c r="M2087" s="21"/>
      <c r="P2087" s="21"/>
    </row>
    <row r="2088" spans="12:16">
      <c r="L2088" s="21"/>
      <c r="M2088" s="21"/>
      <c r="P2088" s="21"/>
    </row>
    <row r="2089" spans="12:16">
      <c r="L2089" s="21"/>
      <c r="M2089" s="21"/>
      <c r="P2089" s="21"/>
    </row>
    <row r="2090" spans="12:16">
      <c r="L2090" s="21"/>
      <c r="M2090" s="21"/>
      <c r="P2090" s="21"/>
    </row>
    <row r="2091" spans="12:16">
      <c r="L2091" s="21"/>
      <c r="M2091" s="21"/>
      <c r="P2091" s="21"/>
    </row>
    <row r="2092" spans="12:16">
      <c r="L2092" s="21"/>
      <c r="M2092" s="21"/>
      <c r="P2092" s="21"/>
    </row>
    <row r="2093" spans="12:16">
      <c r="L2093" s="21"/>
      <c r="M2093" s="21"/>
      <c r="P2093" s="21"/>
    </row>
    <row r="2094" spans="12:16">
      <c r="L2094" s="21"/>
      <c r="M2094" s="21"/>
      <c r="P2094" s="21"/>
    </row>
    <row r="2095" spans="12:16">
      <c r="L2095" s="21"/>
      <c r="M2095" s="21"/>
      <c r="P2095" s="21"/>
    </row>
    <row r="2096" spans="12:16">
      <c r="L2096" s="21"/>
      <c r="M2096" s="21"/>
      <c r="P2096" s="21"/>
    </row>
    <row r="2097" spans="12:16">
      <c r="L2097" s="21"/>
      <c r="M2097" s="21"/>
      <c r="P2097" s="21"/>
    </row>
    <row r="2098" spans="12:16">
      <c r="L2098" s="21"/>
      <c r="M2098" s="21"/>
      <c r="P2098" s="21"/>
    </row>
    <row r="2099" spans="12:16">
      <c r="L2099" s="21"/>
      <c r="M2099" s="21"/>
      <c r="P2099" s="21"/>
    </row>
    <row r="2100" spans="12:16">
      <c r="L2100" s="21"/>
      <c r="M2100" s="21"/>
      <c r="P2100" s="21"/>
    </row>
    <row r="2101" spans="12:16">
      <c r="L2101" s="21"/>
      <c r="M2101" s="21"/>
      <c r="P2101" s="21"/>
    </row>
    <row r="2102" spans="12:16">
      <c r="L2102" s="21"/>
      <c r="M2102" s="21"/>
      <c r="P2102" s="21"/>
    </row>
    <row r="2103" spans="12:16">
      <c r="L2103" s="21"/>
      <c r="M2103" s="21"/>
      <c r="P2103" s="21"/>
    </row>
    <row r="2104" spans="12:16">
      <c r="L2104" s="21"/>
      <c r="M2104" s="21"/>
      <c r="P2104" s="21"/>
    </row>
    <row r="2105" spans="12:16">
      <c r="L2105" s="21"/>
      <c r="M2105" s="21"/>
      <c r="P2105" s="21"/>
    </row>
    <row r="2106" spans="12:16">
      <c r="L2106" s="21"/>
      <c r="M2106" s="21"/>
      <c r="P2106" s="21"/>
    </row>
    <row r="2107" spans="12:16">
      <c r="L2107" s="21"/>
      <c r="M2107" s="21"/>
      <c r="P2107" s="21"/>
    </row>
    <row r="2108" spans="12:16">
      <c r="L2108" s="21"/>
      <c r="M2108" s="21"/>
      <c r="P2108" s="21"/>
    </row>
    <row r="2109" spans="12:16">
      <c r="L2109" s="21"/>
      <c r="M2109" s="21"/>
      <c r="P2109" s="21"/>
    </row>
    <row r="2110" spans="12:16">
      <c r="L2110" s="21"/>
      <c r="M2110" s="21"/>
      <c r="P2110" s="21"/>
    </row>
    <row r="2111" spans="12:16">
      <c r="L2111" s="21"/>
      <c r="M2111" s="21"/>
      <c r="P2111" s="21"/>
    </row>
    <row r="2112" spans="12:16">
      <c r="L2112" s="21"/>
      <c r="M2112" s="21"/>
      <c r="P2112" s="21"/>
    </row>
    <row r="2113" spans="12:16">
      <c r="L2113" s="21"/>
      <c r="M2113" s="21"/>
      <c r="P2113" s="21"/>
    </row>
    <row r="2114" spans="12:16">
      <c r="L2114" s="21"/>
      <c r="M2114" s="21"/>
      <c r="P2114" s="21"/>
    </row>
    <row r="2115" spans="12:16">
      <c r="L2115" s="21"/>
      <c r="M2115" s="21"/>
      <c r="P2115" s="21"/>
    </row>
    <row r="2116" spans="12:16">
      <c r="L2116" s="21"/>
      <c r="M2116" s="21"/>
      <c r="P2116" s="21"/>
    </row>
    <row r="2117" spans="12:16">
      <c r="L2117" s="21"/>
      <c r="M2117" s="21"/>
      <c r="P2117" s="21"/>
    </row>
    <row r="2118" spans="12:16">
      <c r="L2118" s="21"/>
      <c r="M2118" s="21"/>
      <c r="P2118" s="21"/>
    </row>
    <row r="2119" spans="12:16">
      <c r="L2119" s="21"/>
      <c r="M2119" s="21"/>
      <c r="P2119" s="21"/>
    </row>
    <row r="2120" spans="12:16">
      <c r="L2120" s="21"/>
      <c r="M2120" s="21"/>
      <c r="P2120" s="21"/>
    </row>
    <row r="2121" spans="12:16">
      <c r="L2121" s="21"/>
      <c r="M2121" s="21"/>
      <c r="P2121" s="21"/>
    </row>
    <row r="2122" spans="12:16">
      <c r="L2122" s="21"/>
      <c r="M2122" s="21"/>
      <c r="P2122" s="21"/>
    </row>
    <row r="2123" spans="12:16">
      <c r="L2123" s="21"/>
      <c r="M2123" s="21"/>
      <c r="P2123" s="21"/>
    </row>
    <row r="2124" spans="12:16">
      <c r="L2124" s="21"/>
      <c r="M2124" s="21"/>
      <c r="P2124" s="21"/>
    </row>
    <row r="2125" spans="12:16">
      <c r="L2125" s="21"/>
      <c r="M2125" s="21"/>
      <c r="P2125" s="21"/>
    </row>
    <row r="2126" spans="12:16">
      <c r="L2126" s="21"/>
      <c r="M2126" s="21"/>
      <c r="P2126" s="21"/>
    </row>
    <row r="2127" spans="12:16">
      <c r="L2127" s="21"/>
      <c r="M2127" s="21"/>
      <c r="P2127" s="21"/>
    </row>
    <row r="2128" spans="12:16">
      <c r="L2128" s="21"/>
      <c r="M2128" s="21"/>
      <c r="P2128" s="21"/>
    </row>
    <row r="2129" spans="12:16">
      <c r="L2129" s="21"/>
      <c r="M2129" s="21"/>
      <c r="P2129" s="21"/>
    </row>
    <row r="2130" spans="12:16">
      <c r="L2130" s="21"/>
      <c r="M2130" s="21"/>
      <c r="P2130" s="21"/>
    </row>
    <row r="2131" spans="12:16">
      <c r="L2131" s="21"/>
      <c r="M2131" s="21"/>
      <c r="P2131" s="21"/>
    </row>
    <row r="2132" spans="12:16">
      <c r="L2132" s="21"/>
      <c r="M2132" s="21"/>
      <c r="P2132" s="21"/>
    </row>
    <row r="2133" spans="12:16">
      <c r="L2133" s="21"/>
      <c r="M2133" s="21"/>
      <c r="P2133" s="21"/>
    </row>
    <row r="2134" spans="12:16">
      <c r="L2134" s="21"/>
      <c r="M2134" s="21"/>
      <c r="P2134" s="21"/>
    </row>
    <row r="2135" spans="12:16">
      <c r="L2135" s="21"/>
      <c r="M2135" s="21"/>
      <c r="P2135" s="21"/>
    </row>
    <row r="2136" spans="12:16">
      <c r="L2136" s="21"/>
      <c r="M2136" s="21"/>
      <c r="P2136" s="21"/>
    </row>
    <row r="2137" spans="12:16">
      <c r="L2137" s="21"/>
      <c r="M2137" s="21"/>
      <c r="P2137" s="21"/>
    </row>
    <row r="2138" spans="12:16">
      <c r="L2138" s="21"/>
      <c r="M2138" s="21"/>
      <c r="P2138" s="21"/>
    </row>
    <row r="2139" spans="12:16">
      <c r="L2139" s="21"/>
      <c r="M2139" s="21"/>
      <c r="P2139" s="21"/>
    </row>
    <row r="2140" spans="12:16">
      <c r="L2140" s="21"/>
      <c r="M2140" s="21"/>
      <c r="P2140" s="21"/>
    </row>
    <row r="2141" spans="12:16">
      <c r="L2141" s="21"/>
      <c r="M2141" s="21"/>
      <c r="P2141" s="21"/>
    </row>
    <row r="2142" spans="12:16">
      <c r="L2142" s="21"/>
      <c r="M2142" s="21"/>
      <c r="P2142" s="21"/>
    </row>
    <row r="2143" spans="12:16">
      <c r="L2143" s="21"/>
      <c r="M2143" s="21"/>
      <c r="P2143" s="21"/>
    </row>
    <row r="2144" spans="12:16">
      <c r="L2144" s="21"/>
      <c r="M2144" s="21"/>
      <c r="P2144" s="21"/>
    </row>
    <row r="2145" spans="12:16">
      <c r="L2145" s="21"/>
      <c r="M2145" s="21"/>
      <c r="P2145" s="21"/>
    </row>
    <row r="2146" spans="12:16">
      <c r="L2146" s="21"/>
      <c r="M2146" s="21"/>
      <c r="P2146" s="21"/>
    </row>
    <row r="2147" spans="12:16">
      <c r="L2147" s="21"/>
      <c r="M2147" s="21"/>
      <c r="P2147" s="21"/>
    </row>
    <row r="2148" spans="12:16">
      <c r="L2148" s="21"/>
      <c r="M2148" s="21"/>
      <c r="P2148" s="21"/>
    </row>
    <row r="2149" spans="12:16">
      <c r="L2149" s="21"/>
      <c r="M2149" s="21"/>
      <c r="P2149" s="21"/>
    </row>
    <row r="2150" spans="12:16">
      <c r="L2150" s="21"/>
      <c r="M2150" s="21"/>
      <c r="P2150" s="21"/>
    </row>
    <row r="2151" spans="12:16">
      <c r="L2151" s="21"/>
      <c r="M2151" s="21"/>
      <c r="P2151" s="21"/>
    </row>
    <row r="2152" spans="12:16">
      <c r="L2152" s="21"/>
      <c r="M2152" s="21"/>
      <c r="P2152" s="21"/>
    </row>
    <row r="2153" spans="12:16">
      <c r="L2153" s="21"/>
      <c r="M2153" s="21"/>
      <c r="P2153" s="21"/>
    </row>
    <row r="2154" spans="12:16">
      <c r="L2154" s="21"/>
      <c r="M2154" s="21"/>
      <c r="P2154" s="21"/>
    </row>
    <row r="2155" spans="12:16">
      <c r="L2155" s="21"/>
      <c r="M2155" s="21"/>
      <c r="P2155" s="21"/>
    </row>
    <row r="2156" spans="12:16">
      <c r="L2156" s="21"/>
      <c r="M2156" s="21"/>
      <c r="P2156" s="21"/>
    </row>
    <row r="2157" spans="12:16">
      <c r="L2157" s="21"/>
      <c r="M2157" s="21"/>
      <c r="P2157" s="21"/>
    </row>
    <row r="2158" spans="12:16">
      <c r="L2158" s="21"/>
      <c r="M2158" s="21"/>
      <c r="P2158" s="21"/>
    </row>
    <row r="2159" spans="12:16">
      <c r="L2159" s="21"/>
      <c r="M2159" s="21"/>
      <c r="P2159" s="21"/>
    </row>
    <row r="2160" spans="12:16">
      <c r="L2160" s="21"/>
      <c r="M2160" s="21"/>
      <c r="P2160" s="21"/>
    </row>
    <row r="2161" spans="12:16">
      <c r="L2161" s="21"/>
      <c r="M2161" s="21"/>
      <c r="P2161" s="21"/>
    </row>
    <row r="2162" spans="12:16">
      <c r="L2162" s="21"/>
      <c r="M2162" s="21"/>
      <c r="P2162" s="21"/>
    </row>
    <row r="2163" spans="12:16">
      <c r="L2163" s="21"/>
      <c r="M2163" s="21"/>
      <c r="P2163" s="21"/>
    </row>
    <row r="2164" spans="12:16">
      <c r="L2164" s="21"/>
      <c r="M2164" s="21"/>
      <c r="P2164" s="21"/>
    </row>
    <row r="2165" spans="12:16">
      <c r="L2165" s="21"/>
      <c r="M2165" s="21"/>
      <c r="P2165" s="21"/>
    </row>
    <row r="2166" spans="12:16">
      <c r="L2166" s="21"/>
      <c r="M2166" s="21"/>
      <c r="P2166" s="21"/>
    </row>
    <row r="2167" spans="12:16">
      <c r="L2167" s="21"/>
      <c r="M2167" s="21"/>
      <c r="P2167" s="21"/>
    </row>
    <row r="2168" spans="12:16">
      <c r="L2168" s="21"/>
      <c r="M2168" s="21"/>
      <c r="P2168" s="21"/>
    </row>
    <row r="2169" spans="12:16">
      <c r="L2169" s="21"/>
      <c r="M2169" s="21"/>
      <c r="P2169" s="21"/>
    </row>
    <row r="2170" spans="12:16">
      <c r="L2170" s="21"/>
      <c r="M2170" s="21"/>
      <c r="P2170" s="21"/>
    </row>
    <row r="2171" spans="12:16">
      <c r="L2171" s="21"/>
      <c r="M2171" s="21"/>
      <c r="P2171" s="21"/>
    </row>
    <row r="2172" spans="12:16">
      <c r="L2172" s="21"/>
      <c r="M2172" s="21"/>
      <c r="P2172" s="21"/>
    </row>
    <row r="2173" spans="12:16">
      <c r="L2173" s="21"/>
      <c r="M2173" s="21"/>
      <c r="P2173" s="21"/>
    </row>
    <row r="2174" spans="12:16">
      <c r="L2174" s="21"/>
      <c r="M2174" s="21"/>
      <c r="P2174" s="21"/>
    </row>
    <row r="2175" spans="12:16">
      <c r="L2175" s="21"/>
      <c r="M2175" s="21"/>
      <c r="P2175" s="21"/>
    </row>
    <row r="2176" spans="12:16">
      <c r="L2176" s="21"/>
      <c r="M2176" s="21"/>
      <c r="P2176" s="21"/>
    </row>
    <row r="2177" spans="12:16">
      <c r="L2177" s="21"/>
      <c r="M2177" s="21"/>
      <c r="P2177" s="21"/>
    </row>
    <row r="2178" spans="12:16">
      <c r="L2178" s="21"/>
      <c r="M2178" s="21"/>
      <c r="P2178" s="21"/>
    </row>
    <row r="2179" spans="12:16">
      <c r="L2179" s="21"/>
      <c r="M2179" s="21"/>
      <c r="P2179" s="21"/>
    </row>
    <row r="2180" spans="12:16">
      <c r="L2180" s="21"/>
      <c r="M2180" s="21"/>
      <c r="P2180" s="21"/>
    </row>
    <row r="2181" spans="12:16">
      <c r="L2181" s="21"/>
      <c r="M2181" s="21"/>
      <c r="P2181" s="21"/>
    </row>
    <row r="2182" spans="12:16">
      <c r="L2182" s="21"/>
      <c r="M2182" s="21"/>
      <c r="P2182" s="21"/>
    </row>
    <row r="2183" spans="12:16">
      <c r="L2183" s="21"/>
      <c r="M2183" s="21"/>
      <c r="P2183" s="21"/>
    </row>
    <row r="2184" spans="12:16">
      <c r="L2184" s="21"/>
      <c r="M2184" s="21"/>
      <c r="P2184" s="21"/>
    </row>
    <row r="2185" spans="12:16">
      <c r="L2185" s="21"/>
      <c r="M2185" s="21"/>
      <c r="P2185" s="21"/>
    </row>
    <row r="2186" spans="12:16">
      <c r="L2186" s="21"/>
      <c r="M2186" s="21"/>
      <c r="P2186" s="21"/>
    </row>
    <row r="2187" spans="12:16">
      <c r="L2187" s="21"/>
      <c r="M2187" s="21"/>
      <c r="P2187" s="21"/>
    </row>
    <row r="2188" spans="12:16">
      <c r="L2188" s="21"/>
      <c r="M2188" s="21"/>
      <c r="P2188" s="21"/>
    </row>
    <row r="2189" spans="12:16">
      <c r="L2189" s="21"/>
      <c r="M2189" s="21"/>
      <c r="P2189" s="21"/>
    </row>
    <row r="2190" spans="12:16">
      <c r="L2190" s="21"/>
      <c r="M2190" s="21"/>
      <c r="P2190" s="21"/>
    </row>
    <row r="2191" spans="12:16">
      <c r="L2191" s="21"/>
      <c r="M2191" s="21"/>
      <c r="P2191" s="21"/>
    </row>
    <row r="2192" spans="12:16">
      <c r="L2192" s="21"/>
      <c r="M2192" s="21"/>
      <c r="P2192" s="21"/>
    </row>
    <row r="2193" spans="12:16">
      <c r="L2193" s="21"/>
      <c r="M2193" s="21"/>
      <c r="P2193" s="21"/>
    </row>
    <row r="2194" spans="12:16">
      <c r="L2194" s="21"/>
      <c r="M2194" s="21"/>
      <c r="P2194" s="21"/>
    </row>
    <row r="2195" spans="12:16">
      <c r="L2195" s="21"/>
      <c r="M2195" s="21"/>
      <c r="P2195" s="21"/>
    </row>
    <row r="2196" spans="12:16">
      <c r="L2196" s="21"/>
      <c r="M2196" s="21"/>
      <c r="P2196" s="21"/>
    </row>
    <row r="2197" spans="12:16">
      <c r="L2197" s="21"/>
      <c r="M2197" s="21"/>
      <c r="P2197" s="21"/>
    </row>
    <row r="2198" spans="12:16">
      <c r="L2198" s="21"/>
      <c r="M2198" s="21"/>
      <c r="P2198" s="21"/>
    </row>
    <row r="2199" spans="12:16">
      <c r="L2199" s="21"/>
      <c r="M2199" s="21"/>
      <c r="P2199" s="21"/>
    </row>
    <row r="2200" spans="12:16">
      <c r="L2200" s="21"/>
      <c r="M2200" s="21"/>
      <c r="P2200" s="21"/>
    </row>
    <row r="2201" spans="12:16">
      <c r="L2201" s="21"/>
      <c r="M2201" s="21"/>
      <c r="P2201" s="21"/>
    </row>
    <row r="2202" spans="12:16">
      <c r="L2202" s="21"/>
      <c r="M2202" s="21"/>
      <c r="P2202" s="21"/>
    </row>
    <row r="2203" spans="12:16">
      <c r="L2203" s="21"/>
      <c r="M2203" s="21"/>
      <c r="P2203" s="21"/>
    </row>
    <row r="2204" spans="12:16">
      <c r="L2204" s="21"/>
      <c r="M2204" s="21"/>
      <c r="P2204" s="21"/>
    </row>
    <row r="2205" spans="12:16">
      <c r="L2205" s="21"/>
      <c r="M2205" s="21"/>
      <c r="P2205" s="21"/>
    </row>
    <row r="2206" spans="12:16">
      <c r="L2206" s="21"/>
      <c r="M2206" s="21"/>
      <c r="P2206" s="21"/>
    </row>
    <row r="2207" spans="12:16">
      <c r="L2207" s="21"/>
      <c r="M2207" s="21"/>
      <c r="P2207" s="21"/>
    </row>
    <row r="2208" spans="12:16">
      <c r="L2208" s="21"/>
      <c r="M2208" s="21"/>
      <c r="P2208" s="21"/>
    </row>
    <row r="2209" spans="12:16">
      <c r="L2209" s="21"/>
      <c r="M2209" s="21"/>
      <c r="P2209" s="21"/>
    </row>
    <row r="2210" spans="12:16">
      <c r="L2210" s="21"/>
      <c r="M2210" s="21"/>
      <c r="P2210" s="21"/>
    </row>
    <row r="2211" spans="12:16">
      <c r="L2211" s="21"/>
      <c r="M2211" s="21"/>
      <c r="P2211" s="21"/>
    </row>
    <row r="2212" spans="12:16">
      <c r="L2212" s="21"/>
      <c r="M2212" s="21"/>
      <c r="P2212" s="21"/>
    </row>
    <row r="2213" spans="12:16">
      <c r="L2213" s="21"/>
      <c r="M2213" s="21"/>
      <c r="P2213" s="21"/>
    </row>
    <row r="2214" spans="12:16">
      <c r="L2214" s="21"/>
      <c r="M2214" s="21"/>
      <c r="P2214" s="21"/>
    </row>
    <row r="2215" spans="12:16">
      <c r="L2215" s="21"/>
      <c r="M2215" s="21"/>
      <c r="P2215" s="21"/>
    </row>
    <row r="2216" spans="12:16">
      <c r="L2216" s="21"/>
      <c r="M2216" s="21"/>
      <c r="P2216" s="21"/>
    </row>
    <row r="2217" spans="12:16">
      <c r="L2217" s="21"/>
      <c r="M2217" s="21"/>
      <c r="P2217" s="21"/>
    </row>
    <row r="2218" spans="12:16">
      <c r="L2218" s="21"/>
      <c r="M2218" s="21"/>
      <c r="P2218" s="21"/>
    </row>
    <row r="2219" spans="12:16">
      <c r="L2219" s="21"/>
      <c r="M2219" s="21"/>
      <c r="P2219" s="21"/>
    </row>
    <row r="2220" spans="12:16">
      <c r="L2220" s="21"/>
      <c r="M2220" s="21"/>
      <c r="P2220" s="21"/>
    </row>
    <row r="2221" spans="12:16">
      <c r="L2221" s="21"/>
      <c r="M2221" s="21"/>
      <c r="P2221" s="21"/>
    </row>
    <row r="2222" spans="12:16">
      <c r="L2222" s="21"/>
      <c r="M2222" s="21"/>
      <c r="P2222" s="21"/>
    </row>
    <row r="2223" spans="12:16">
      <c r="L2223" s="21"/>
      <c r="M2223" s="21"/>
      <c r="P2223" s="21"/>
    </row>
    <row r="2224" spans="12:16">
      <c r="L2224" s="21"/>
      <c r="M2224" s="21"/>
      <c r="P2224" s="21"/>
    </row>
    <row r="2225" spans="12:16">
      <c r="L2225" s="21"/>
      <c r="M2225" s="21"/>
      <c r="P2225" s="21"/>
    </row>
    <row r="2226" spans="12:16">
      <c r="L2226" s="21"/>
      <c r="M2226" s="21"/>
      <c r="P2226" s="21"/>
    </row>
    <row r="2227" spans="12:16">
      <c r="L2227" s="21"/>
      <c r="M2227" s="21"/>
      <c r="P2227" s="21"/>
    </row>
    <row r="2228" spans="12:16">
      <c r="L2228" s="21"/>
      <c r="M2228" s="21"/>
      <c r="P2228" s="21"/>
    </row>
    <row r="2229" spans="12:16">
      <c r="L2229" s="21"/>
      <c r="M2229" s="21"/>
      <c r="P2229" s="21"/>
    </row>
    <row r="2230" spans="12:16">
      <c r="L2230" s="21"/>
      <c r="M2230" s="21"/>
      <c r="P2230" s="21"/>
    </row>
    <row r="2231" spans="12:16">
      <c r="L2231" s="21"/>
      <c r="M2231" s="21"/>
      <c r="P2231" s="21"/>
    </row>
    <row r="2232" spans="12:16">
      <c r="L2232" s="21"/>
      <c r="M2232" s="21"/>
      <c r="P2232" s="21"/>
    </row>
    <row r="2233" spans="12:16">
      <c r="L2233" s="21"/>
      <c r="M2233" s="21"/>
      <c r="P2233" s="21"/>
    </row>
    <row r="2234" spans="12:16">
      <c r="L2234" s="21"/>
      <c r="M2234" s="21"/>
      <c r="P2234" s="21"/>
    </row>
    <row r="2235" spans="12:16">
      <c r="L2235" s="21"/>
      <c r="M2235" s="21"/>
      <c r="P2235" s="21"/>
    </row>
    <row r="2236" spans="12:16">
      <c r="L2236" s="21"/>
      <c r="M2236" s="21"/>
      <c r="P2236" s="21"/>
    </row>
    <row r="2237" spans="12:16">
      <c r="L2237" s="21"/>
      <c r="M2237" s="21"/>
      <c r="P2237" s="21"/>
    </row>
    <row r="2238" spans="12:16">
      <c r="L2238" s="21"/>
      <c r="M2238" s="21"/>
      <c r="P2238" s="21"/>
    </row>
    <row r="2239" spans="12:16">
      <c r="L2239" s="21"/>
      <c r="M2239" s="21"/>
      <c r="P2239" s="21"/>
    </row>
    <row r="2240" spans="12:16">
      <c r="L2240" s="21"/>
      <c r="M2240" s="21"/>
      <c r="P2240" s="21"/>
    </row>
    <row r="2241" spans="12:16">
      <c r="L2241" s="21"/>
      <c r="M2241" s="21"/>
      <c r="P2241" s="21"/>
    </row>
    <row r="2242" spans="12:16">
      <c r="L2242" s="21"/>
      <c r="M2242" s="21"/>
      <c r="P2242" s="21"/>
    </row>
    <row r="2243" spans="12:16">
      <c r="L2243" s="21"/>
      <c r="M2243" s="21"/>
      <c r="P2243" s="21"/>
    </row>
    <row r="2244" spans="12:16">
      <c r="L2244" s="21"/>
      <c r="M2244" s="21"/>
      <c r="P2244" s="21"/>
    </row>
    <row r="2245" spans="12:16">
      <c r="L2245" s="21"/>
      <c r="M2245" s="21"/>
      <c r="P2245" s="21"/>
    </row>
    <row r="2246" spans="12:16">
      <c r="L2246" s="21"/>
      <c r="M2246" s="21"/>
      <c r="P2246" s="21"/>
    </row>
    <row r="2247" spans="12:16">
      <c r="L2247" s="21"/>
      <c r="M2247" s="21"/>
      <c r="P2247" s="21"/>
    </row>
    <row r="2248" spans="12:16">
      <c r="L2248" s="21"/>
      <c r="M2248" s="21"/>
      <c r="P2248" s="21"/>
    </row>
    <row r="2249" spans="12:16">
      <c r="L2249" s="21"/>
      <c r="M2249" s="21"/>
      <c r="P2249" s="21"/>
    </row>
    <row r="2250" spans="12:16">
      <c r="L2250" s="21"/>
      <c r="M2250" s="21"/>
      <c r="P2250" s="21"/>
    </row>
    <row r="2251" spans="12:16">
      <c r="L2251" s="21"/>
      <c r="M2251" s="21"/>
      <c r="P2251" s="21"/>
    </row>
    <row r="2252" spans="12:16">
      <c r="L2252" s="21"/>
      <c r="M2252" s="21"/>
      <c r="P2252" s="21"/>
    </row>
    <row r="2253" spans="12:16">
      <c r="L2253" s="21"/>
      <c r="M2253" s="21"/>
      <c r="P2253" s="21"/>
    </row>
    <row r="2254" spans="12:16">
      <c r="L2254" s="21"/>
      <c r="M2254" s="21"/>
      <c r="P2254" s="21"/>
    </row>
    <row r="2255" spans="12:16">
      <c r="L2255" s="21"/>
      <c r="M2255" s="21"/>
      <c r="P2255" s="21"/>
    </row>
    <row r="2256" spans="12:16">
      <c r="L2256" s="21"/>
      <c r="M2256" s="21"/>
      <c r="P2256" s="21"/>
    </row>
    <row r="2257" spans="12:16">
      <c r="L2257" s="21"/>
      <c r="M2257" s="21"/>
      <c r="P2257" s="21"/>
    </row>
    <row r="2258" spans="12:16">
      <c r="L2258" s="21"/>
      <c r="M2258" s="21"/>
      <c r="P2258" s="21"/>
    </row>
    <row r="2259" spans="12:16">
      <c r="L2259" s="21"/>
      <c r="M2259" s="21"/>
      <c r="P2259" s="21"/>
    </row>
    <row r="2260" spans="12:16">
      <c r="L2260" s="21"/>
      <c r="M2260" s="21"/>
      <c r="P2260" s="21"/>
    </row>
    <row r="2261" spans="12:16">
      <c r="L2261" s="21"/>
      <c r="M2261" s="21"/>
      <c r="P2261" s="21"/>
    </row>
    <row r="2262" spans="12:16">
      <c r="L2262" s="21"/>
      <c r="M2262" s="21"/>
      <c r="P2262" s="21"/>
    </row>
    <row r="2263" spans="12:16">
      <c r="L2263" s="21"/>
      <c r="M2263" s="21"/>
      <c r="P2263" s="21"/>
    </row>
    <row r="2264" spans="12:16">
      <c r="L2264" s="21"/>
      <c r="M2264" s="21"/>
      <c r="P2264" s="21"/>
    </row>
    <row r="2265" spans="12:16">
      <c r="L2265" s="21"/>
      <c r="M2265" s="21"/>
      <c r="P2265" s="21"/>
    </row>
    <row r="2266" spans="12:16">
      <c r="L2266" s="21"/>
      <c r="M2266" s="21"/>
      <c r="P2266" s="21"/>
    </row>
    <row r="2267" spans="12:16">
      <c r="L2267" s="21"/>
      <c r="M2267" s="21"/>
      <c r="P2267" s="21"/>
    </row>
    <row r="2268" spans="12:16">
      <c r="L2268" s="21"/>
      <c r="M2268" s="21"/>
      <c r="P2268" s="21"/>
    </row>
    <row r="2269" spans="12:16">
      <c r="L2269" s="21"/>
      <c r="M2269" s="21"/>
      <c r="P2269" s="21"/>
    </row>
    <row r="2270" spans="12:16">
      <c r="L2270" s="21"/>
      <c r="M2270" s="21"/>
      <c r="P2270" s="21"/>
    </row>
    <row r="2271" spans="12:16">
      <c r="L2271" s="21"/>
      <c r="M2271" s="21"/>
      <c r="P2271" s="21"/>
    </row>
    <row r="2272" spans="12:16">
      <c r="L2272" s="21"/>
      <c r="M2272" s="21"/>
      <c r="P2272" s="21"/>
    </row>
    <row r="2273" spans="12:16">
      <c r="L2273" s="21"/>
      <c r="M2273" s="21"/>
      <c r="P2273" s="21"/>
    </row>
    <row r="2274" spans="12:16">
      <c r="L2274" s="21"/>
      <c r="M2274" s="21"/>
      <c r="P2274" s="21"/>
    </row>
    <row r="2275" spans="12:16">
      <c r="L2275" s="21"/>
      <c r="M2275" s="21"/>
      <c r="P2275" s="21"/>
    </row>
    <row r="2276" spans="12:16">
      <c r="L2276" s="21"/>
      <c r="M2276" s="21"/>
      <c r="P2276" s="21"/>
    </row>
    <row r="2277" spans="12:16">
      <c r="L2277" s="21"/>
      <c r="M2277" s="21"/>
      <c r="P2277" s="21"/>
    </row>
    <row r="2278" spans="12:16">
      <c r="L2278" s="21"/>
      <c r="M2278" s="21"/>
      <c r="P2278" s="21"/>
    </row>
    <row r="2279" spans="12:16">
      <c r="L2279" s="21"/>
      <c r="M2279" s="21"/>
      <c r="P2279" s="21"/>
    </row>
    <row r="2280" spans="12:16">
      <c r="L2280" s="21"/>
      <c r="M2280" s="21"/>
      <c r="P2280" s="21"/>
    </row>
    <row r="2281" spans="12:16">
      <c r="L2281" s="21"/>
      <c r="M2281" s="21"/>
      <c r="P2281" s="21"/>
    </row>
    <row r="2282" spans="12:16">
      <c r="L2282" s="21"/>
      <c r="M2282" s="21"/>
      <c r="P2282" s="21"/>
    </row>
    <row r="2283" spans="12:16">
      <c r="L2283" s="21"/>
      <c r="M2283" s="21"/>
      <c r="P2283" s="21"/>
    </row>
    <row r="2284" spans="12:16">
      <c r="L2284" s="21"/>
      <c r="M2284" s="21"/>
      <c r="P2284" s="21"/>
    </row>
    <row r="2285" spans="12:16">
      <c r="L2285" s="21"/>
      <c r="M2285" s="21"/>
      <c r="P2285" s="21"/>
    </row>
    <row r="2286" spans="12:16">
      <c r="L2286" s="21"/>
      <c r="M2286" s="21"/>
      <c r="P2286" s="21"/>
    </row>
    <row r="2287" spans="12:16">
      <c r="L2287" s="21"/>
      <c r="M2287" s="21"/>
      <c r="P2287" s="21"/>
    </row>
    <row r="2288" spans="12:16">
      <c r="L2288" s="21"/>
      <c r="M2288" s="21"/>
      <c r="P2288" s="21"/>
    </row>
    <row r="2289" spans="12:16">
      <c r="L2289" s="21"/>
      <c r="M2289" s="21"/>
      <c r="P2289" s="21"/>
    </row>
    <row r="2290" spans="12:16">
      <c r="L2290" s="21"/>
      <c r="M2290" s="21"/>
      <c r="P2290" s="21"/>
    </row>
    <row r="2291" spans="12:16">
      <c r="L2291" s="21"/>
      <c r="M2291" s="21"/>
      <c r="P2291" s="21"/>
    </row>
    <row r="2292" spans="12:16">
      <c r="L2292" s="21"/>
      <c r="M2292" s="21"/>
      <c r="P2292" s="21"/>
    </row>
    <row r="2293" spans="12:16">
      <c r="L2293" s="21"/>
      <c r="M2293" s="21"/>
      <c r="P2293" s="21"/>
    </row>
    <row r="2294" spans="12:16">
      <c r="L2294" s="21"/>
      <c r="M2294" s="21"/>
      <c r="P2294" s="21"/>
    </row>
    <row r="2295" spans="12:16">
      <c r="L2295" s="21"/>
      <c r="M2295" s="21"/>
      <c r="P2295" s="21"/>
    </row>
    <row r="2296" spans="12:16">
      <c r="L2296" s="21"/>
      <c r="M2296" s="21"/>
      <c r="P2296" s="21"/>
    </row>
    <row r="2297" spans="12:16">
      <c r="L2297" s="21"/>
      <c r="M2297" s="21"/>
      <c r="P2297" s="21"/>
    </row>
    <row r="2298" spans="12:16">
      <c r="L2298" s="21"/>
      <c r="M2298" s="21"/>
      <c r="P2298" s="21"/>
    </row>
    <row r="2299" spans="12:16">
      <c r="L2299" s="21"/>
      <c r="M2299" s="21"/>
      <c r="P2299" s="21"/>
    </row>
    <row r="2300" spans="12:16">
      <c r="L2300" s="21"/>
      <c r="M2300" s="21"/>
      <c r="P2300" s="21"/>
    </row>
    <row r="2301" spans="12:16">
      <c r="L2301" s="21"/>
      <c r="M2301" s="21"/>
      <c r="P2301" s="21"/>
    </row>
    <row r="2302" spans="12:16">
      <c r="L2302" s="21"/>
      <c r="M2302" s="21"/>
      <c r="P2302" s="21"/>
    </row>
    <row r="2303" spans="12:16">
      <c r="L2303" s="21"/>
      <c r="M2303" s="21"/>
      <c r="P2303" s="21"/>
    </row>
    <row r="2304" spans="12:16">
      <c r="L2304" s="21"/>
      <c r="M2304" s="21"/>
      <c r="P2304" s="21"/>
    </row>
    <row r="2305" spans="12:16">
      <c r="L2305" s="21"/>
      <c r="M2305" s="21"/>
      <c r="P2305" s="21"/>
    </row>
    <row r="2306" spans="12:16">
      <c r="L2306" s="21"/>
      <c r="M2306" s="21"/>
      <c r="P2306" s="21"/>
    </row>
    <row r="2307" spans="12:16">
      <c r="L2307" s="21"/>
      <c r="M2307" s="21"/>
      <c r="P2307" s="21"/>
    </row>
    <row r="2308" spans="12:16">
      <c r="L2308" s="21"/>
      <c r="M2308" s="21"/>
      <c r="P2308" s="21"/>
    </row>
    <row r="2309" spans="12:16">
      <c r="L2309" s="21"/>
      <c r="M2309" s="21"/>
      <c r="P2309" s="21"/>
    </row>
    <row r="2310" spans="12:16">
      <c r="L2310" s="21"/>
      <c r="M2310" s="21"/>
      <c r="P2310" s="21"/>
    </row>
    <row r="2311" spans="12:16">
      <c r="L2311" s="21"/>
      <c r="M2311" s="21"/>
      <c r="P2311" s="21"/>
    </row>
    <row r="2312" spans="12:16">
      <c r="L2312" s="21"/>
      <c r="M2312" s="21"/>
      <c r="P2312" s="21"/>
    </row>
    <row r="2313" spans="12:16">
      <c r="L2313" s="21"/>
      <c r="M2313" s="21"/>
      <c r="P2313" s="21"/>
    </row>
    <row r="2314" spans="12:16">
      <c r="L2314" s="21"/>
      <c r="M2314" s="21"/>
      <c r="P2314" s="21"/>
    </row>
    <row r="2315" spans="12:16">
      <c r="L2315" s="21"/>
      <c r="M2315" s="21"/>
      <c r="P2315" s="21"/>
    </row>
    <row r="2316" spans="12:16">
      <c r="L2316" s="21"/>
      <c r="M2316" s="21"/>
      <c r="P2316" s="21"/>
    </row>
    <row r="2317" spans="12:16">
      <c r="L2317" s="21"/>
      <c r="M2317" s="21"/>
      <c r="P2317" s="21"/>
    </row>
    <row r="2318" spans="12:16">
      <c r="L2318" s="21"/>
      <c r="M2318" s="21"/>
      <c r="P2318" s="21"/>
    </row>
    <row r="2319" spans="12:16">
      <c r="L2319" s="21"/>
      <c r="M2319" s="21"/>
      <c r="P2319" s="21"/>
    </row>
    <row r="2320" spans="12:16">
      <c r="L2320" s="21"/>
      <c r="M2320" s="21"/>
      <c r="P2320" s="21"/>
    </row>
    <row r="2321" spans="12:16">
      <c r="L2321" s="21"/>
      <c r="M2321" s="21"/>
      <c r="P2321" s="21"/>
    </row>
    <row r="2322" spans="12:16">
      <c r="L2322" s="21"/>
      <c r="M2322" s="21"/>
      <c r="P2322" s="21"/>
    </row>
    <row r="2323" spans="12:16">
      <c r="L2323" s="21"/>
      <c r="M2323" s="21"/>
      <c r="P2323" s="21"/>
    </row>
    <row r="2324" spans="12:16">
      <c r="L2324" s="21"/>
      <c r="M2324" s="21"/>
      <c r="P2324" s="21"/>
    </row>
    <row r="2325" spans="12:16">
      <c r="L2325" s="21"/>
      <c r="M2325" s="21"/>
      <c r="P2325" s="21"/>
    </row>
    <row r="2326" spans="12:16">
      <c r="L2326" s="21"/>
      <c r="M2326" s="21"/>
      <c r="P2326" s="21"/>
    </row>
    <row r="2327" spans="12:16">
      <c r="L2327" s="21"/>
      <c r="M2327" s="21"/>
      <c r="P2327" s="21"/>
    </row>
    <row r="2328" spans="12:16">
      <c r="L2328" s="21"/>
      <c r="M2328" s="21"/>
      <c r="P2328" s="21"/>
    </row>
    <row r="2329" spans="12:16">
      <c r="L2329" s="21"/>
      <c r="M2329" s="21"/>
      <c r="P2329" s="21"/>
    </row>
    <row r="2330" spans="12:16">
      <c r="L2330" s="21"/>
      <c r="M2330" s="21"/>
      <c r="P2330" s="21"/>
    </row>
    <row r="2331" spans="12:16">
      <c r="L2331" s="21"/>
      <c r="M2331" s="21"/>
      <c r="P2331" s="21"/>
    </row>
    <row r="2332" spans="12:16">
      <c r="L2332" s="21"/>
      <c r="M2332" s="21"/>
      <c r="P2332" s="21"/>
    </row>
    <row r="2333" spans="12:16">
      <c r="L2333" s="21"/>
      <c r="M2333" s="21"/>
      <c r="P2333" s="21"/>
    </row>
    <row r="2334" spans="12:16">
      <c r="L2334" s="21"/>
      <c r="M2334" s="21"/>
      <c r="P2334" s="21"/>
    </row>
    <row r="2335" spans="12:16">
      <c r="L2335" s="21"/>
      <c r="M2335" s="21"/>
      <c r="P2335" s="21"/>
    </row>
    <row r="2336" spans="12:16">
      <c r="L2336" s="21"/>
      <c r="M2336" s="21"/>
      <c r="P2336" s="21"/>
    </row>
    <row r="2337" spans="12:16">
      <c r="L2337" s="21"/>
      <c r="M2337" s="21"/>
      <c r="P2337" s="21"/>
    </row>
    <row r="2338" spans="12:16">
      <c r="L2338" s="21"/>
      <c r="M2338" s="21"/>
      <c r="P2338" s="21"/>
    </row>
    <row r="2339" spans="12:16">
      <c r="L2339" s="21"/>
      <c r="M2339" s="21"/>
      <c r="P2339" s="21"/>
    </row>
    <row r="2340" spans="12:16">
      <c r="L2340" s="21"/>
      <c r="M2340" s="21"/>
      <c r="P2340" s="21"/>
    </row>
    <row r="2341" spans="12:16">
      <c r="L2341" s="21"/>
      <c r="M2341" s="21"/>
      <c r="P2341" s="21"/>
    </row>
    <row r="2342" spans="12:16">
      <c r="L2342" s="21"/>
      <c r="M2342" s="21"/>
      <c r="P2342" s="21"/>
    </row>
    <row r="2343" spans="12:16">
      <c r="L2343" s="21"/>
      <c r="M2343" s="21"/>
      <c r="P2343" s="21"/>
    </row>
    <row r="2344" spans="12:16">
      <c r="L2344" s="21"/>
      <c r="M2344" s="21"/>
      <c r="P2344" s="21"/>
    </row>
    <row r="2345" spans="12:16">
      <c r="L2345" s="21"/>
      <c r="M2345" s="21"/>
      <c r="P2345" s="21"/>
    </row>
    <row r="2346" spans="12:16">
      <c r="L2346" s="21"/>
      <c r="M2346" s="21"/>
      <c r="P2346" s="21"/>
    </row>
    <row r="2347" spans="12:16">
      <c r="L2347" s="21"/>
      <c r="M2347" s="21"/>
      <c r="P2347" s="21"/>
    </row>
    <row r="2348" spans="12:16">
      <c r="L2348" s="21"/>
      <c r="M2348" s="21"/>
      <c r="P2348" s="21"/>
    </row>
    <row r="2349" spans="12:16">
      <c r="L2349" s="21"/>
      <c r="M2349" s="21"/>
      <c r="P2349" s="21"/>
    </row>
    <row r="2350" spans="12:16">
      <c r="L2350" s="21"/>
      <c r="M2350" s="21"/>
      <c r="P2350" s="21"/>
    </row>
    <row r="2351" spans="12:16">
      <c r="L2351" s="21"/>
      <c r="M2351" s="21"/>
      <c r="P2351" s="21"/>
    </row>
    <row r="2352" spans="12:16">
      <c r="L2352" s="21"/>
      <c r="M2352" s="21"/>
      <c r="P2352" s="21"/>
    </row>
    <row r="2353" spans="12:16">
      <c r="L2353" s="21"/>
      <c r="M2353" s="21"/>
      <c r="P2353" s="21"/>
    </row>
    <row r="2354" spans="12:16">
      <c r="L2354" s="21"/>
      <c r="M2354" s="21"/>
      <c r="P2354" s="21"/>
    </row>
    <row r="2355" spans="12:16">
      <c r="L2355" s="21"/>
      <c r="M2355" s="21"/>
      <c r="P2355" s="21"/>
    </row>
    <row r="2356" spans="12:16">
      <c r="L2356" s="21"/>
      <c r="M2356" s="21"/>
      <c r="P2356" s="21"/>
    </row>
    <row r="2357" spans="12:16">
      <c r="L2357" s="21"/>
      <c r="M2357" s="21"/>
      <c r="P2357" s="21"/>
    </row>
    <row r="2358" spans="12:16">
      <c r="L2358" s="21"/>
      <c r="M2358" s="21"/>
      <c r="P2358" s="21"/>
    </row>
    <row r="2359" spans="12:16">
      <c r="L2359" s="21"/>
      <c r="M2359" s="21"/>
      <c r="P2359" s="21"/>
    </row>
    <row r="2360" spans="12:16">
      <c r="L2360" s="21"/>
      <c r="M2360" s="21"/>
      <c r="P2360" s="21"/>
    </row>
    <row r="2361" spans="12:16">
      <c r="L2361" s="21"/>
      <c r="M2361" s="21"/>
      <c r="P2361" s="21"/>
    </row>
    <row r="2362" spans="12:16">
      <c r="L2362" s="21"/>
      <c r="M2362" s="21"/>
      <c r="P2362" s="21"/>
    </row>
    <row r="2363" spans="12:16">
      <c r="L2363" s="21"/>
      <c r="M2363" s="21"/>
      <c r="P2363" s="21"/>
    </row>
    <row r="2364" spans="12:16">
      <c r="L2364" s="21"/>
      <c r="M2364" s="21"/>
      <c r="P2364" s="21"/>
    </row>
    <row r="2365" spans="12:16">
      <c r="L2365" s="21"/>
      <c r="M2365" s="21"/>
      <c r="P2365" s="21"/>
    </row>
    <row r="2366" spans="12:16">
      <c r="L2366" s="21"/>
      <c r="M2366" s="21"/>
      <c r="P2366" s="21"/>
    </row>
    <row r="2367" spans="12:16">
      <c r="L2367" s="21"/>
      <c r="M2367" s="21"/>
      <c r="P2367" s="21"/>
    </row>
    <row r="2368" spans="12:16">
      <c r="L2368" s="21"/>
      <c r="M2368" s="21"/>
      <c r="P2368" s="21"/>
    </row>
    <row r="2369" spans="12:16">
      <c r="L2369" s="21"/>
      <c r="M2369" s="21"/>
      <c r="P2369" s="21"/>
    </row>
    <row r="2370" spans="12:16">
      <c r="L2370" s="21"/>
      <c r="M2370" s="21"/>
      <c r="P2370" s="21"/>
    </row>
    <row r="2371" spans="12:16">
      <c r="L2371" s="21"/>
      <c r="M2371" s="21"/>
      <c r="P2371" s="21"/>
    </row>
    <row r="2372" spans="12:16">
      <c r="L2372" s="21"/>
      <c r="M2372" s="21"/>
      <c r="P2372" s="21"/>
    </row>
    <row r="2373" spans="12:16">
      <c r="L2373" s="21"/>
      <c r="M2373" s="21"/>
      <c r="P2373" s="21"/>
    </row>
    <row r="2374" spans="12:16">
      <c r="L2374" s="21"/>
      <c r="M2374" s="21"/>
      <c r="P2374" s="21"/>
    </row>
    <row r="2375" spans="12:16">
      <c r="L2375" s="21"/>
      <c r="M2375" s="21"/>
      <c r="P2375" s="21"/>
    </row>
    <row r="2376" spans="12:16">
      <c r="L2376" s="21"/>
      <c r="M2376" s="21"/>
      <c r="P2376" s="21"/>
    </row>
    <row r="2377" spans="12:16">
      <c r="L2377" s="21"/>
      <c r="M2377" s="21"/>
      <c r="P2377" s="21"/>
    </row>
    <row r="2378" spans="12:16">
      <c r="L2378" s="21"/>
      <c r="M2378" s="21"/>
      <c r="P2378" s="21"/>
    </row>
    <row r="2379" spans="12:16">
      <c r="L2379" s="21"/>
      <c r="M2379" s="21"/>
      <c r="P2379" s="21"/>
    </row>
    <row r="2380" spans="12:16">
      <c r="L2380" s="21"/>
      <c r="M2380" s="21"/>
      <c r="P2380" s="21"/>
    </row>
    <row r="2381" spans="12:16">
      <c r="L2381" s="21"/>
      <c r="M2381" s="21"/>
      <c r="P2381" s="21"/>
    </row>
    <row r="2382" spans="12:16">
      <c r="L2382" s="21"/>
      <c r="M2382" s="21"/>
      <c r="P2382" s="21"/>
    </row>
    <row r="2383" spans="12:16">
      <c r="L2383" s="21"/>
      <c r="M2383" s="21"/>
      <c r="P2383" s="21"/>
    </row>
    <row r="2384" spans="12:16">
      <c r="L2384" s="21"/>
      <c r="M2384" s="21"/>
      <c r="P2384" s="21"/>
    </row>
    <row r="2385" spans="12:16">
      <c r="L2385" s="21"/>
      <c r="M2385" s="21"/>
      <c r="P2385" s="21"/>
    </row>
    <row r="2386" spans="12:16">
      <c r="L2386" s="21"/>
      <c r="M2386" s="21"/>
      <c r="P2386" s="21"/>
    </row>
    <row r="2387" spans="12:16">
      <c r="L2387" s="21"/>
      <c r="M2387" s="21"/>
      <c r="P2387" s="21"/>
    </row>
    <row r="2388" spans="12:16">
      <c r="L2388" s="21"/>
      <c r="M2388" s="21"/>
      <c r="P2388" s="21"/>
    </row>
    <row r="2389" spans="12:16">
      <c r="L2389" s="21"/>
      <c r="M2389" s="21"/>
      <c r="P2389" s="21"/>
    </row>
    <row r="2390" spans="12:16">
      <c r="L2390" s="21"/>
      <c r="M2390" s="21"/>
      <c r="P2390" s="21"/>
    </row>
    <row r="2391" spans="12:16">
      <c r="L2391" s="21"/>
      <c r="M2391" s="21"/>
      <c r="P2391" s="21"/>
    </row>
    <row r="2392" spans="12:16">
      <c r="L2392" s="21"/>
      <c r="M2392" s="21"/>
      <c r="P2392" s="21"/>
    </row>
    <row r="2393" spans="12:16">
      <c r="L2393" s="21"/>
      <c r="M2393" s="21"/>
      <c r="P2393" s="21"/>
    </row>
    <row r="2394" spans="12:16">
      <c r="L2394" s="21"/>
      <c r="M2394" s="21"/>
      <c r="P2394" s="21"/>
    </row>
    <row r="2395" spans="12:16">
      <c r="L2395" s="21"/>
      <c r="M2395" s="21"/>
      <c r="P2395" s="21"/>
    </row>
    <row r="2396" spans="12:16">
      <c r="L2396" s="21"/>
      <c r="M2396" s="21"/>
      <c r="P2396" s="21"/>
    </row>
    <row r="2397" spans="12:16">
      <c r="L2397" s="21"/>
      <c r="M2397" s="21"/>
      <c r="P2397" s="21"/>
    </row>
    <row r="2398" spans="12:16">
      <c r="L2398" s="21"/>
      <c r="M2398" s="21"/>
      <c r="P2398" s="21"/>
    </row>
    <row r="2399" spans="12:16">
      <c r="L2399" s="21"/>
      <c r="M2399" s="21"/>
      <c r="P2399" s="21"/>
    </row>
    <row r="2400" spans="12:16">
      <c r="L2400" s="21"/>
      <c r="M2400" s="21"/>
      <c r="P2400" s="21"/>
    </row>
    <row r="2401" spans="12:16">
      <c r="L2401" s="21"/>
      <c r="M2401" s="21"/>
      <c r="P2401" s="21"/>
    </row>
    <row r="2402" spans="12:16">
      <c r="L2402" s="21"/>
      <c r="M2402" s="21"/>
      <c r="P2402" s="21"/>
    </row>
    <row r="2403" spans="12:16">
      <c r="L2403" s="21"/>
      <c r="M2403" s="21"/>
      <c r="P2403" s="21"/>
    </row>
    <row r="2404" spans="12:16">
      <c r="L2404" s="21"/>
      <c r="M2404" s="21"/>
      <c r="P2404" s="21"/>
    </row>
    <row r="2405" spans="12:16">
      <c r="L2405" s="21"/>
      <c r="M2405" s="21"/>
      <c r="P2405" s="21"/>
    </row>
    <row r="2406" spans="12:16">
      <c r="L2406" s="21"/>
      <c r="M2406" s="21"/>
      <c r="P2406" s="21"/>
    </row>
    <row r="2407" spans="12:16">
      <c r="L2407" s="21"/>
      <c r="M2407" s="21"/>
      <c r="P2407" s="21"/>
    </row>
    <row r="2408" spans="12:16">
      <c r="L2408" s="21"/>
      <c r="M2408" s="21"/>
      <c r="P2408" s="21"/>
    </row>
    <row r="2409" spans="12:16">
      <c r="L2409" s="21"/>
      <c r="M2409" s="21"/>
      <c r="P2409" s="21"/>
    </row>
    <row r="2410" spans="12:16">
      <c r="L2410" s="21"/>
      <c r="M2410" s="21"/>
      <c r="P2410" s="21"/>
    </row>
    <row r="2411" spans="12:16">
      <c r="L2411" s="21"/>
      <c r="M2411" s="21"/>
      <c r="P2411" s="21"/>
    </row>
    <row r="2412" spans="12:16">
      <c r="L2412" s="21"/>
      <c r="M2412" s="21"/>
      <c r="P2412" s="21"/>
    </row>
    <row r="2413" spans="12:16">
      <c r="L2413" s="21"/>
      <c r="M2413" s="21"/>
      <c r="P2413" s="21"/>
    </row>
    <row r="2414" spans="12:16">
      <c r="L2414" s="21"/>
      <c r="M2414" s="21"/>
      <c r="P2414" s="21"/>
    </row>
    <row r="2415" spans="12:16">
      <c r="L2415" s="21"/>
      <c r="M2415" s="21"/>
      <c r="P2415" s="21"/>
    </row>
    <row r="2416" spans="12:16">
      <c r="L2416" s="21"/>
      <c r="M2416" s="21"/>
      <c r="P2416" s="21"/>
    </row>
    <row r="2417" spans="12:16">
      <c r="L2417" s="21"/>
      <c r="M2417" s="21"/>
      <c r="P2417" s="21"/>
    </row>
    <row r="2418" spans="12:16">
      <c r="L2418" s="21"/>
      <c r="M2418" s="21"/>
      <c r="P2418" s="21"/>
    </row>
    <row r="2419" spans="12:16">
      <c r="L2419" s="21"/>
      <c r="M2419" s="21"/>
      <c r="P2419" s="21"/>
    </row>
    <row r="2420" spans="12:16">
      <c r="L2420" s="21"/>
      <c r="M2420" s="21"/>
      <c r="P2420" s="21"/>
    </row>
    <row r="2421" spans="12:16">
      <c r="L2421" s="21"/>
      <c r="M2421" s="21"/>
      <c r="P2421" s="21"/>
    </row>
    <row r="2422" spans="12:16">
      <c r="L2422" s="21"/>
      <c r="M2422" s="21"/>
      <c r="P2422" s="21"/>
    </row>
    <row r="2423" spans="12:16">
      <c r="L2423" s="21"/>
      <c r="M2423" s="21"/>
      <c r="P2423" s="21"/>
    </row>
    <row r="2424" spans="12:16">
      <c r="L2424" s="21"/>
      <c r="M2424" s="21"/>
      <c r="P2424" s="21"/>
    </row>
    <row r="2425" spans="12:16">
      <c r="L2425" s="21"/>
      <c r="M2425" s="21"/>
      <c r="P2425" s="21"/>
    </row>
    <row r="2426" spans="12:16">
      <c r="L2426" s="21"/>
      <c r="M2426" s="21"/>
      <c r="P2426" s="21"/>
    </row>
    <row r="2427" spans="12:16">
      <c r="L2427" s="21"/>
      <c r="M2427" s="21"/>
      <c r="P2427" s="21"/>
    </row>
    <row r="2428" spans="12:16">
      <c r="L2428" s="21"/>
      <c r="M2428" s="21"/>
      <c r="P2428" s="21"/>
    </row>
    <row r="2429" spans="12:16">
      <c r="L2429" s="21"/>
      <c r="M2429" s="21"/>
      <c r="P2429" s="21"/>
    </row>
    <row r="2430" spans="12:16">
      <c r="L2430" s="21"/>
      <c r="M2430" s="21"/>
      <c r="P2430" s="21"/>
    </row>
    <row r="2431" spans="12:16">
      <c r="L2431" s="21"/>
      <c r="M2431" s="21"/>
      <c r="P2431" s="21"/>
    </row>
    <row r="2432" spans="12:16">
      <c r="L2432" s="21"/>
      <c r="M2432" s="21"/>
      <c r="P2432" s="21"/>
    </row>
    <row r="2433" spans="12:16">
      <c r="L2433" s="21"/>
      <c r="M2433" s="21"/>
      <c r="P2433" s="21"/>
    </row>
    <row r="2434" spans="12:16">
      <c r="L2434" s="21"/>
      <c r="M2434" s="21"/>
      <c r="P2434" s="21"/>
    </row>
    <row r="2435" spans="12:16">
      <c r="L2435" s="21"/>
      <c r="M2435" s="21"/>
      <c r="P2435" s="21"/>
    </row>
    <row r="2436" spans="12:16">
      <c r="L2436" s="21"/>
      <c r="M2436" s="21"/>
      <c r="P2436" s="21"/>
    </row>
    <row r="2437" spans="12:16">
      <c r="L2437" s="21"/>
      <c r="M2437" s="21"/>
      <c r="P2437" s="21"/>
    </row>
    <row r="2438" spans="12:16">
      <c r="L2438" s="21"/>
      <c r="M2438" s="21"/>
      <c r="P2438" s="21"/>
    </row>
    <row r="2439" spans="12:16">
      <c r="L2439" s="21"/>
      <c r="M2439" s="21"/>
      <c r="P2439" s="21"/>
    </row>
    <row r="2440" spans="12:16">
      <c r="L2440" s="21"/>
      <c r="M2440" s="21"/>
      <c r="P2440" s="21"/>
    </row>
    <row r="2441" spans="12:16">
      <c r="L2441" s="21"/>
      <c r="M2441" s="21"/>
      <c r="P2441" s="21"/>
    </row>
    <row r="2442" spans="12:16">
      <c r="L2442" s="21"/>
      <c r="M2442" s="21"/>
      <c r="P2442" s="21"/>
    </row>
    <row r="2443" spans="12:16">
      <c r="L2443" s="21"/>
      <c r="M2443" s="21"/>
      <c r="P2443" s="21"/>
    </row>
    <row r="2444" spans="12:16">
      <c r="L2444" s="21"/>
      <c r="M2444" s="21"/>
      <c r="P2444" s="21"/>
    </row>
    <row r="2445" spans="12:16">
      <c r="L2445" s="21"/>
      <c r="M2445" s="21"/>
      <c r="P2445" s="21"/>
    </row>
    <row r="2446" spans="12:16">
      <c r="L2446" s="21"/>
      <c r="M2446" s="21"/>
      <c r="P2446" s="21"/>
    </row>
    <row r="2447" spans="12:16">
      <c r="L2447" s="21"/>
      <c r="M2447" s="21"/>
      <c r="P2447" s="21"/>
    </row>
    <row r="2448" spans="12:16">
      <c r="L2448" s="21"/>
      <c r="M2448" s="21"/>
      <c r="P2448" s="21"/>
    </row>
    <row r="2449" spans="12:16">
      <c r="L2449" s="21"/>
      <c r="M2449" s="21"/>
      <c r="P2449" s="21"/>
    </row>
    <row r="2450" spans="12:16">
      <c r="L2450" s="21"/>
      <c r="M2450" s="21"/>
      <c r="P2450" s="21"/>
    </row>
    <row r="2451" spans="12:16">
      <c r="L2451" s="21"/>
      <c r="M2451" s="21"/>
      <c r="P2451" s="21"/>
    </row>
    <row r="2452" spans="12:16">
      <c r="L2452" s="21"/>
      <c r="M2452" s="21"/>
      <c r="P2452" s="21"/>
    </row>
    <row r="2453" spans="12:16">
      <c r="L2453" s="21"/>
      <c r="M2453" s="21"/>
      <c r="P2453" s="21"/>
    </row>
    <row r="2454" spans="12:16">
      <c r="L2454" s="21"/>
      <c r="M2454" s="21"/>
      <c r="P2454" s="21"/>
    </row>
    <row r="2455" spans="12:16">
      <c r="L2455" s="21"/>
      <c r="M2455" s="21"/>
      <c r="P2455" s="21"/>
    </row>
    <row r="2456" spans="12:16">
      <c r="L2456" s="21"/>
      <c r="M2456" s="21"/>
      <c r="P2456" s="21"/>
    </row>
    <row r="2457" spans="12:16">
      <c r="L2457" s="21"/>
      <c r="M2457" s="21"/>
      <c r="P2457" s="21"/>
    </row>
    <row r="2458" spans="12:16">
      <c r="L2458" s="21"/>
      <c r="M2458" s="21"/>
      <c r="P2458" s="21"/>
    </row>
    <row r="2459" spans="12:16">
      <c r="L2459" s="21"/>
      <c r="M2459" s="21"/>
      <c r="P2459" s="21"/>
    </row>
    <row r="2460" spans="12:16">
      <c r="L2460" s="21"/>
      <c r="M2460" s="21"/>
      <c r="P2460" s="21"/>
    </row>
    <row r="2461" spans="12:16">
      <c r="L2461" s="21"/>
      <c r="M2461" s="21"/>
      <c r="P2461" s="21"/>
    </row>
    <row r="2462" spans="12:16">
      <c r="L2462" s="21"/>
      <c r="M2462" s="21"/>
      <c r="P2462" s="21"/>
    </row>
    <row r="2463" spans="12:16">
      <c r="L2463" s="21"/>
      <c r="M2463" s="21"/>
      <c r="P2463" s="21"/>
    </row>
    <row r="2464" spans="12:16">
      <c r="L2464" s="21"/>
      <c r="M2464" s="21"/>
      <c r="P2464" s="21"/>
    </row>
    <row r="2465" spans="12:16">
      <c r="L2465" s="21"/>
      <c r="M2465" s="21"/>
      <c r="P2465" s="21"/>
    </row>
    <row r="2466" spans="12:16">
      <c r="L2466" s="21"/>
      <c r="M2466" s="21"/>
      <c r="P2466" s="21"/>
    </row>
    <row r="2467" spans="12:16">
      <c r="L2467" s="21"/>
      <c r="M2467" s="21"/>
      <c r="P2467" s="21"/>
    </row>
    <row r="2468" spans="12:16">
      <c r="L2468" s="21"/>
      <c r="M2468" s="21"/>
      <c r="P2468" s="21"/>
    </row>
    <row r="2469" spans="12:16">
      <c r="L2469" s="21"/>
      <c r="M2469" s="21"/>
      <c r="P2469" s="21"/>
    </row>
    <row r="2470" spans="12:16">
      <c r="L2470" s="21"/>
      <c r="M2470" s="21"/>
      <c r="P2470" s="21"/>
    </row>
    <row r="2471" spans="12:16">
      <c r="L2471" s="21"/>
      <c r="M2471" s="21"/>
      <c r="P2471" s="21"/>
    </row>
    <row r="2472" spans="12:16">
      <c r="L2472" s="21"/>
      <c r="M2472" s="21"/>
      <c r="P2472" s="21"/>
    </row>
    <row r="2473" spans="12:16">
      <c r="L2473" s="21"/>
      <c r="M2473" s="21"/>
      <c r="P2473" s="21"/>
    </row>
    <row r="2474" spans="12:16">
      <c r="L2474" s="21"/>
      <c r="M2474" s="21"/>
      <c r="P2474" s="21"/>
    </row>
    <row r="2475" spans="12:16">
      <c r="L2475" s="21"/>
      <c r="M2475" s="21"/>
      <c r="P2475" s="21"/>
    </row>
    <row r="2476" spans="12:16">
      <c r="L2476" s="21"/>
      <c r="M2476" s="21"/>
      <c r="P2476" s="21"/>
    </row>
    <row r="2477" spans="12:16">
      <c r="L2477" s="21"/>
      <c r="M2477" s="21"/>
      <c r="P2477" s="21"/>
    </row>
    <row r="2478" spans="12:16">
      <c r="L2478" s="21"/>
      <c r="M2478" s="21"/>
      <c r="P2478" s="21"/>
    </row>
    <row r="2479" spans="12:16">
      <c r="L2479" s="21"/>
      <c r="M2479" s="21"/>
      <c r="P2479" s="21"/>
    </row>
    <row r="2480" spans="12:16">
      <c r="L2480" s="21"/>
      <c r="M2480" s="21"/>
      <c r="P2480" s="21"/>
    </row>
    <row r="2481" spans="12:16">
      <c r="L2481" s="21"/>
      <c r="M2481" s="21"/>
      <c r="P2481" s="21"/>
    </row>
    <row r="2482" spans="12:16">
      <c r="L2482" s="21"/>
      <c r="M2482" s="21"/>
      <c r="P2482" s="21"/>
    </row>
    <row r="2483" spans="12:16">
      <c r="L2483" s="21"/>
      <c r="M2483" s="21"/>
      <c r="P2483" s="21"/>
    </row>
    <row r="2484" spans="12:16">
      <c r="L2484" s="21"/>
      <c r="M2484" s="21"/>
      <c r="P2484" s="21"/>
    </row>
    <row r="2485" spans="12:16">
      <c r="L2485" s="21"/>
      <c r="M2485" s="21"/>
      <c r="P2485" s="21"/>
    </row>
    <row r="2486" spans="12:16">
      <c r="L2486" s="21"/>
      <c r="M2486" s="21"/>
      <c r="P2486" s="21"/>
    </row>
    <row r="2487" spans="12:16">
      <c r="L2487" s="21"/>
      <c r="M2487" s="21"/>
      <c r="P2487" s="21"/>
    </row>
    <row r="2488" spans="12:16">
      <c r="L2488" s="21"/>
      <c r="M2488" s="21"/>
      <c r="P2488" s="21"/>
    </row>
    <row r="2489" spans="12:16">
      <c r="L2489" s="21"/>
      <c r="M2489" s="21"/>
      <c r="P2489" s="21"/>
    </row>
    <row r="2490" spans="12:16">
      <c r="L2490" s="21"/>
      <c r="M2490" s="21"/>
      <c r="P2490" s="21"/>
    </row>
    <row r="2491" spans="12:16">
      <c r="L2491" s="21"/>
      <c r="M2491" s="21"/>
      <c r="P2491" s="21"/>
    </row>
    <row r="2492" spans="12:16">
      <c r="L2492" s="21"/>
      <c r="M2492" s="21"/>
      <c r="P2492" s="21"/>
    </row>
    <row r="2493" spans="12:16">
      <c r="L2493" s="21"/>
      <c r="M2493" s="21"/>
      <c r="P2493" s="21"/>
    </row>
    <row r="2494" spans="12:16">
      <c r="L2494" s="21"/>
      <c r="M2494" s="21"/>
      <c r="P2494" s="21"/>
    </row>
    <row r="2495" spans="12:16">
      <c r="L2495" s="21"/>
      <c r="M2495" s="21"/>
      <c r="P2495" s="21"/>
    </row>
    <row r="2496" spans="12:16">
      <c r="L2496" s="21"/>
      <c r="M2496" s="21"/>
      <c r="P2496" s="21"/>
    </row>
    <row r="2497" spans="12:16">
      <c r="L2497" s="21"/>
      <c r="M2497" s="21"/>
      <c r="P2497" s="21"/>
    </row>
    <row r="2498" spans="12:16">
      <c r="L2498" s="21"/>
      <c r="M2498" s="21"/>
      <c r="P2498" s="21"/>
    </row>
    <row r="2499" spans="12:16">
      <c r="L2499" s="21"/>
      <c r="M2499" s="21"/>
      <c r="P2499" s="21"/>
    </row>
    <row r="2500" spans="12:16">
      <c r="L2500" s="21"/>
      <c r="M2500" s="21"/>
      <c r="P2500" s="21"/>
    </row>
    <row r="2501" spans="12:16">
      <c r="L2501" s="21"/>
      <c r="M2501" s="21"/>
      <c r="P2501" s="21"/>
    </row>
    <row r="2502" spans="12:16">
      <c r="L2502" s="21"/>
      <c r="M2502" s="21"/>
      <c r="P2502" s="21"/>
    </row>
    <row r="2503" spans="12:16">
      <c r="L2503" s="21"/>
      <c r="M2503" s="21"/>
      <c r="P2503" s="21"/>
    </row>
    <row r="2504" spans="12:16">
      <c r="L2504" s="21"/>
      <c r="M2504" s="21"/>
      <c r="P2504" s="21"/>
    </row>
    <row r="2505" spans="12:16">
      <c r="L2505" s="21"/>
      <c r="M2505" s="21"/>
      <c r="P2505" s="21"/>
    </row>
    <row r="2506" spans="12:16">
      <c r="L2506" s="21"/>
      <c r="M2506" s="21"/>
      <c r="P2506" s="21"/>
    </row>
    <row r="2507" spans="12:16">
      <c r="L2507" s="21"/>
      <c r="M2507" s="21"/>
      <c r="P2507" s="21"/>
    </row>
    <row r="2508" spans="12:16">
      <c r="L2508" s="21"/>
      <c r="M2508" s="21"/>
      <c r="P2508" s="21"/>
    </row>
    <row r="2509" spans="12:16">
      <c r="L2509" s="21"/>
      <c r="M2509" s="21"/>
      <c r="P2509" s="21"/>
    </row>
    <row r="2510" spans="12:16">
      <c r="L2510" s="21"/>
      <c r="M2510" s="21"/>
      <c r="P2510" s="21"/>
    </row>
    <row r="2511" spans="12:16">
      <c r="L2511" s="21"/>
      <c r="M2511" s="21"/>
      <c r="P2511" s="21"/>
    </row>
    <row r="2512" spans="12:16">
      <c r="L2512" s="21"/>
      <c r="M2512" s="21"/>
      <c r="P2512" s="21"/>
    </row>
    <row r="2513" spans="12:16">
      <c r="L2513" s="21"/>
      <c r="M2513" s="21"/>
      <c r="P2513" s="21"/>
    </row>
    <row r="2514" spans="12:16">
      <c r="L2514" s="21"/>
      <c r="M2514" s="21"/>
      <c r="P2514" s="21"/>
    </row>
    <row r="2515" spans="12:16">
      <c r="L2515" s="21"/>
      <c r="M2515" s="21"/>
      <c r="P2515" s="21"/>
    </row>
    <row r="2516" spans="12:16">
      <c r="L2516" s="21"/>
      <c r="M2516" s="21"/>
      <c r="P2516" s="21"/>
    </row>
    <row r="2517" spans="12:16">
      <c r="L2517" s="21"/>
      <c r="M2517" s="21"/>
      <c r="P2517" s="21"/>
    </row>
    <row r="2518" spans="12:16">
      <c r="L2518" s="21"/>
      <c r="M2518" s="21"/>
      <c r="P2518" s="21"/>
    </row>
    <row r="2519" spans="12:16">
      <c r="L2519" s="21"/>
      <c r="M2519" s="21"/>
      <c r="P2519" s="21"/>
    </row>
    <row r="2520" spans="12:16">
      <c r="L2520" s="21"/>
      <c r="M2520" s="21"/>
      <c r="P2520" s="21"/>
    </row>
    <row r="2521" spans="12:16">
      <c r="L2521" s="21"/>
      <c r="M2521" s="21"/>
      <c r="P2521" s="21"/>
    </row>
    <row r="2522" spans="12:16">
      <c r="L2522" s="21"/>
      <c r="M2522" s="21"/>
      <c r="P2522" s="21"/>
    </row>
    <row r="2523" spans="12:16">
      <c r="L2523" s="21"/>
      <c r="M2523" s="21"/>
      <c r="P2523" s="21"/>
    </row>
    <row r="2524" spans="12:16">
      <c r="L2524" s="21"/>
      <c r="M2524" s="21"/>
      <c r="P2524" s="21"/>
    </row>
    <row r="2525" spans="12:16">
      <c r="L2525" s="21"/>
      <c r="M2525" s="21"/>
      <c r="P2525" s="21"/>
    </row>
    <row r="2526" spans="12:16">
      <c r="L2526" s="21"/>
      <c r="M2526" s="21"/>
      <c r="P2526" s="21"/>
    </row>
    <row r="2527" spans="12:16">
      <c r="L2527" s="21"/>
      <c r="M2527" s="21"/>
      <c r="P2527" s="21"/>
    </row>
    <row r="2528" spans="12:16">
      <c r="L2528" s="21"/>
      <c r="M2528" s="21"/>
      <c r="P2528" s="21"/>
    </row>
    <row r="2529" spans="12:16">
      <c r="L2529" s="21"/>
      <c r="M2529" s="21"/>
      <c r="P2529" s="21"/>
    </row>
    <row r="2530" spans="12:16">
      <c r="L2530" s="21"/>
      <c r="M2530" s="21"/>
      <c r="P2530" s="21"/>
    </row>
    <row r="2531" spans="12:16">
      <c r="L2531" s="21"/>
      <c r="M2531" s="21"/>
      <c r="P2531" s="21"/>
    </row>
    <row r="2532" spans="12:16">
      <c r="L2532" s="21"/>
      <c r="M2532" s="21"/>
      <c r="P2532" s="21"/>
    </row>
    <row r="2533" spans="12:16">
      <c r="L2533" s="21"/>
      <c r="M2533" s="21"/>
      <c r="P2533" s="21"/>
    </row>
    <row r="2534" spans="12:16">
      <c r="L2534" s="21"/>
      <c r="M2534" s="21"/>
      <c r="P2534" s="21"/>
    </row>
    <row r="2535" spans="12:16">
      <c r="L2535" s="21"/>
      <c r="M2535" s="21"/>
      <c r="P2535" s="21"/>
    </row>
    <row r="2536" spans="12:16">
      <c r="L2536" s="21"/>
      <c r="M2536" s="21"/>
      <c r="P2536" s="21"/>
    </row>
    <row r="2537" spans="12:16">
      <c r="L2537" s="21"/>
      <c r="M2537" s="21"/>
      <c r="P2537" s="21"/>
    </row>
    <row r="2538" spans="12:16">
      <c r="L2538" s="21"/>
      <c r="M2538" s="21"/>
      <c r="P2538" s="21"/>
    </row>
    <row r="2539" spans="12:16">
      <c r="L2539" s="21"/>
      <c r="M2539" s="21"/>
      <c r="P2539" s="21"/>
    </row>
    <row r="2540" spans="12:16">
      <c r="L2540" s="21"/>
      <c r="M2540" s="21"/>
      <c r="P2540" s="21"/>
    </row>
    <row r="2541" spans="12:16">
      <c r="L2541" s="21"/>
      <c r="M2541" s="21"/>
      <c r="P2541" s="21"/>
    </row>
    <row r="2542" spans="12:16">
      <c r="L2542" s="21"/>
      <c r="M2542" s="21"/>
      <c r="P2542" s="21"/>
    </row>
    <row r="2543" spans="12:16">
      <c r="L2543" s="21"/>
      <c r="M2543" s="21"/>
      <c r="P2543" s="21"/>
    </row>
    <row r="2544" spans="12:16">
      <c r="L2544" s="21"/>
      <c r="M2544" s="21"/>
      <c r="P2544" s="21"/>
    </row>
    <row r="2545" spans="12:16">
      <c r="L2545" s="21"/>
      <c r="M2545" s="21"/>
      <c r="P2545" s="21"/>
    </row>
    <row r="2546" spans="12:16">
      <c r="L2546" s="21"/>
      <c r="M2546" s="21"/>
      <c r="P2546" s="21"/>
    </row>
    <row r="2547" spans="12:16">
      <c r="L2547" s="21"/>
      <c r="M2547" s="21"/>
      <c r="P2547" s="21"/>
    </row>
    <row r="2548" spans="12:16">
      <c r="L2548" s="21"/>
      <c r="M2548" s="21"/>
      <c r="P2548" s="21"/>
    </row>
    <row r="2549" spans="12:16">
      <c r="L2549" s="21"/>
      <c r="M2549" s="21"/>
      <c r="P2549" s="21"/>
    </row>
    <row r="2550" spans="12:16">
      <c r="L2550" s="21"/>
      <c r="M2550" s="21"/>
      <c r="P2550" s="21"/>
    </row>
    <row r="2551" spans="12:16">
      <c r="L2551" s="21"/>
      <c r="M2551" s="21"/>
      <c r="P2551" s="21"/>
    </row>
    <row r="2552" spans="12:16">
      <c r="L2552" s="21"/>
      <c r="M2552" s="21"/>
      <c r="P2552" s="21"/>
    </row>
    <row r="2553" spans="12:16">
      <c r="L2553" s="21"/>
      <c r="M2553" s="21"/>
      <c r="P2553" s="21"/>
    </row>
    <row r="2554" spans="12:16">
      <c r="L2554" s="21"/>
      <c r="M2554" s="21"/>
      <c r="P2554" s="21"/>
    </row>
    <row r="2555" spans="12:16">
      <c r="L2555" s="21"/>
      <c r="M2555" s="21"/>
      <c r="P2555" s="21"/>
    </row>
    <row r="2556" spans="12:16">
      <c r="L2556" s="21"/>
      <c r="M2556" s="21"/>
      <c r="P2556" s="21"/>
    </row>
    <row r="2557" spans="12:16">
      <c r="L2557" s="21"/>
      <c r="M2557" s="21"/>
      <c r="P2557" s="21"/>
    </row>
    <row r="2558" spans="12:16">
      <c r="L2558" s="21"/>
      <c r="M2558" s="21"/>
      <c r="P2558" s="21"/>
    </row>
    <row r="2559" spans="12:16">
      <c r="L2559" s="21"/>
      <c r="M2559" s="21"/>
      <c r="P2559" s="21"/>
    </row>
    <row r="2560" spans="12:16">
      <c r="L2560" s="21"/>
      <c r="M2560" s="21"/>
      <c r="P2560" s="21"/>
    </row>
    <row r="2561" spans="12:16">
      <c r="L2561" s="21"/>
      <c r="M2561" s="21"/>
      <c r="P2561" s="21"/>
    </row>
    <row r="2562" spans="12:16">
      <c r="L2562" s="21"/>
      <c r="M2562" s="21"/>
      <c r="P2562" s="21"/>
    </row>
    <row r="2563" spans="12:16">
      <c r="L2563" s="21"/>
      <c r="M2563" s="21"/>
      <c r="P2563" s="21"/>
    </row>
    <row r="2564" spans="12:16">
      <c r="L2564" s="21"/>
      <c r="M2564" s="21"/>
      <c r="P2564" s="21"/>
    </row>
    <row r="2565" spans="12:16">
      <c r="L2565" s="21"/>
      <c r="M2565" s="21"/>
      <c r="P2565" s="21"/>
    </row>
    <row r="2566" spans="12:16">
      <c r="L2566" s="21"/>
      <c r="M2566" s="21"/>
      <c r="P2566" s="21"/>
    </row>
    <row r="2567" spans="12:16">
      <c r="L2567" s="21"/>
      <c r="M2567" s="21"/>
      <c r="P2567" s="21"/>
    </row>
    <row r="2568" spans="12:16">
      <c r="L2568" s="21"/>
      <c r="M2568" s="21"/>
      <c r="P2568" s="21"/>
    </row>
    <row r="2569" spans="12:16">
      <c r="L2569" s="21"/>
      <c r="M2569" s="21"/>
      <c r="P2569" s="21"/>
    </row>
    <row r="2570" spans="12:16">
      <c r="L2570" s="21"/>
      <c r="M2570" s="21"/>
      <c r="P2570" s="21"/>
    </row>
    <row r="2571" spans="12:16">
      <c r="L2571" s="21"/>
      <c r="M2571" s="21"/>
      <c r="P2571" s="21"/>
    </row>
    <row r="2572" spans="12:16">
      <c r="L2572" s="21"/>
      <c r="M2572" s="21"/>
      <c r="P2572" s="21"/>
    </row>
    <row r="2573" spans="12:16">
      <c r="L2573" s="21"/>
      <c r="M2573" s="21"/>
      <c r="P2573" s="21"/>
    </row>
    <row r="2574" spans="12:16">
      <c r="L2574" s="21"/>
      <c r="M2574" s="21"/>
      <c r="P2574" s="21"/>
    </row>
    <row r="2575" spans="12:16">
      <c r="L2575" s="21"/>
      <c r="M2575" s="21"/>
      <c r="P2575" s="21"/>
    </row>
    <row r="2576" spans="12:16">
      <c r="L2576" s="21"/>
      <c r="M2576" s="21"/>
      <c r="P2576" s="21"/>
    </row>
    <row r="2577" spans="12:16">
      <c r="L2577" s="21"/>
      <c r="M2577" s="21"/>
      <c r="P2577" s="21"/>
    </row>
    <row r="2578" spans="12:16">
      <c r="L2578" s="21"/>
      <c r="M2578" s="21"/>
      <c r="P2578" s="21"/>
    </row>
    <row r="2579" spans="12:16">
      <c r="L2579" s="21"/>
      <c r="M2579" s="21"/>
      <c r="P2579" s="21"/>
    </row>
    <row r="2580" spans="12:16">
      <c r="L2580" s="21"/>
      <c r="M2580" s="21"/>
      <c r="P2580" s="21"/>
    </row>
    <row r="2581" spans="12:16">
      <c r="L2581" s="21"/>
      <c r="M2581" s="21"/>
      <c r="P2581" s="21"/>
    </row>
    <row r="2582" spans="12:16">
      <c r="L2582" s="21"/>
      <c r="M2582" s="21"/>
      <c r="P2582" s="21"/>
    </row>
    <row r="2583" spans="12:16">
      <c r="L2583" s="21"/>
      <c r="M2583" s="21"/>
      <c r="P2583" s="21"/>
    </row>
    <row r="2584" spans="12:16">
      <c r="L2584" s="21"/>
      <c r="M2584" s="21"/>
      <c r="P2584" s="21"/>
    </row>
    <row r="2585" spans="12:16">
      <c r="L2585" s="21"/>
      <c r="M2585" s="21"/>
      <c r="P2585" s="21"/>
    </row>
    <row r="2586" spans="12:16">
      <c r="L2586" s="21"/>
      <c r="M2586" s="21"/>
      <c r="P2586" s="21"/>
    </row>
    <row r="2587" spans="12:16">
      <c r="L2587" s="21"/>
      <c r="M2587" s="21"/>
      <c r="P2587" s="21"/>
    </row>
    <row r="2588" spans="12:16">
      <c r="L2588" s="21"/>
      <c r="M2588" s="21"/>
      <c r="P2588" s="21"/>
    </row>
    <row r="2589" spans="12:16">
      <c r="L2589" s="21"/>
      <c r="M2589" s="21"/>
      <c r="P2589" s="21"/>
    </row>
    <row r="2590" spans="12:16">
      <c r="L2590" s="21"/>
      <c r="M2590" s="21"/>
      <c r="P2590" s="21"/>
    </row>
    <row r="2591" spans="12:16">
      <c r="L2591" s="21"/>
      <c r="M2591" s="21"/>
      <c r="P2591" s="21"/>
    </row>
    <row r="2592" spans="12:16">
      <c r="L2592" s="21"/>
      <c r="M2592" s="21"/>
      <c r="P2592" s="21"/>
    </row>
    <row r="2593" spans="12:16">
      <c r="L2593" s="21"/>
      <c r="M2593" s="21"/>
      <c r="P2593" s="21"/>
    </row>
    <row r="2594" spans="12:16">
      <c r="L2594" s="21"/>
      <c r="M2594" s="21"/>
      <c r="P2594" s="21"/>
    </row>
    <row r="2595" spans="12:16">
      <c r="L2595" s="21"/>
      <c r="M2595" s="21"/>
      <c r="P2595" s="21"/>
    </row>
    <row r="2596" spans="12:16">
      <c r="L2596" s="21"/>
      <c r="M2596" s="21"/>
      <c r="P2596" s="21"/>
    </row>
    <row r="2597" spans="12:16">
      <c r="L2597" s="21"/>
      <c r="M2597" s="21"/>
      <c r="P2597" s="21"/>
    </row>
    <row r="2598" spans="12:16">
      <c r="L2598" s="21"/>
      <c r="M2598" s="21"/>
      <c r="P2598" s="21"/>
    </row>
    <row r="2599" spans="12:16">
      <c r="L2599" s="21"/>
      <c r="M2599" s="21"/>
      <c r="P2599" s="21"/>
    </row>
    <row r="2600" spans="12:16">
      <c r="L2600" s="21"/>
      <c r="M2600" s="21"/>
      <c r="P2600" s="21"/>
    </row>
    <row r="2601" spans="12:16">
      <c r="L2601" s="21"/>
      <c r="M2601" s="21"/>
      <c r="P2601" s="21"/>
    </row>
    <row r="2602" spans="12:16">
      <c r="L2602" s="21"/>
      <c r="M2602" s="21"/>
      <c r="P2602" s="21"/>
    </row>
    <row r="2603" spans="12:16">
      <c r="L2603" s="21"/>
      <c r="M2603" s="21"/>
      <c r="P2603" s="21"/>
    </row>
    <row r="2604" spans="12:16">
      <c r="L2604" s="21"/>
      <c r="M2604" s="21"/>
      <c r="P2604" s="21"/>
    </row>
    <row r="2605" spans="12:16">
      <c r="L2605" s="21"/>
      <c r="M2605" s="21"/>
      <c r="P2605" s="21"/>
    </row>
    <row r="2606" spans="12:16">
      <c r="L2606" s="21"/>
      <c r="M2606" s="21"/>
      <c r="P2606" s="21"/>
    </row>
    <row r="2607" spans="12:16">
      <c r="L2607" s="21"/>
      <c r="M2607" s="21"/>
      <c r="P2607" s="21"/>
    </row>
    <row r="2608" spans="12:16">
      <c r="L2608" s="21"/>
      <c r="M2608" s="21"/>
      <c r="P2608" s="21"/>
    </row>
    <row r="2609" spans="12:16">
      <c r="L2609" s="21"/>
      <c r="M2609" s="21"/>
      <c r="P2609" s="21"/>
    </row>
    <row r="2610" spans="12:16">
      <c r="L2610" s="21"/>
      <c r="M2610" s="21"/>
      <c r="P2610" s="21"/>
    </row>
    <row r="2611" spans="12:16">
      <c r="L2611" s="21"/>
      <c r="M2611" s="21"/>
      <c r="P2611" s="21"/>
    </row>
    <row r="2612" spans="12:16">
      <c r="L2612" s="21"/>
      <c r="M2612" s="21"/>
      <c r="P2612" s="21"/>
    </row>
    <row r="2613" spans="12:16">
      <c r="L2613" s="21"/>
      <c r="M2613" s="21"/>
      <c r="P2613" s="21"/>
    </row>
    <row r="2614" spans="12:16">
      <c r="L2614" s="21"/>
      <c r="M2614" s="21"/>
      <c r="P2614" s="21"/>
    </row>
    <row r="2615" spans="12:16">
      <c r="L2615" s="21"/>
      <c r="M2615" s="21"/>
      <c r="P2615" s="21"/>
    </row>
    <row r="2616" spans="12:16">
      <c r="L2616" s="21"/>
      <c r="M2616" s="21"/>
      <c r="P2616" s="21"/>
    </row>
    <row r="2617" spans="12:16">
      <c r="L2617" s="21"/>
      <c r="M2617" s="21"/>
      <c r="P2617" s="21"/>
    </row>
    <row r="2618" spans="12:16">
      <c r="L2618" s="21"/>
      <c r="M2618" s="21"/>
      <c r="P2618" s="21"/>
    </row>
    <row r="2619" spans="12:16">
      <c r="L2619" s="21"/>
      <c r="M2619" s="21"/>
      <c r="P2619" s="21"/>
    </row>
    <row r="2620" spans="12:16">
      <c r="L2620" s="21"/>
      <c r="M2620" s="21"/>
      <c r="P2620" s="21"/>
    </row>
    <row r="2621" spans="12:16">
      <c r="L2621" s="21"/>
      <c r="M2621" s="21"/>
      <c r="P2621" s="21"/>
    </row>
    <row r="2622" spans="12:16">
      <c r="L2622" s="21"/>
      <c r="M2622" s="21"/>
      <c r="P2622" s="21"/>
    </row>
    <row r="2623" spans="12:16">
      <c r="L2623" s="21"/>
      <c r="M2623" s="21"/>
      <c r="P2623" s="21"/>
    </row>
    <row r="2624" spans="12:16">
      <c r="L2624" s="21"/>
      <c r="M2624" s="21"/>
      <c r="P2624" s="21"/>
    </row>
    <row r="2625" spans="12:16">
      <c r="L2625" s="21"/>
      <c r="M2625" s="21"/>
      <c r="P2625" s="21"/>
    </row>
    <row r="2626" spans="12:16">
      <c r="L2626" s="21"/>
      <c r="M2626" s="21"/>
      <c r="P2626" s="21"/>
    </row>
    <row r="2627" spans="12:16">
      <c r="L2627" s="21"/>
      <c r="M2627" s="21"/>
      <c r="P2627" s="21"/>
    </row>
    <row r="2628" spans="12:16">
      <c r="L2628" s="21"/>
      <c r="M2628" s="21"/>
      <c r="P2628" s="21"/>
    </row>
    <row r="2629" spans="12:16">
      <c r="L2629" s="21"/>
      <c r="M2629" s="21"/>
      <c r="P2629" s="21"/>
    </row>
    <row r="2630" spans="12:16">
      <c r="L2630" s="21"/>
      <c r="M2630" s="21"/>
      <c r="P2630" s="21"/>
    </row>
    <row r="2631" spans="12:16">
      <c r="L2631" s="21"/>
      <c r="M2631" s="21"/>
      <c r="P2631" s="21"/>
    </row>
    <row r="2632" spans="12:16">
      <c r="L2632" s="21"/>
      <c r="M2632" s="21"/>
      <c r="P2632" s="21"/>
    </row>
    <row r="2633" spans="12:16">
      <c r="L2633" s="21"/>
      <c r="M2633" s="21"/>
      <c r="P2633" s="21"/>
    </row>
    <row r="2634" spans="12:16">
      <c r="L2634" s="21"/>
      <c r="M2634" s="21"/>
      <c r="P2634" s="21"/>
    </row>
    <row r="2635" spans="12:16">
      <c r="L2635" s="21"/>
      <c r="M2635" s="21"/>
      <c r="P2635" s="21"/>
    </row>
    <row r="2636" spans="12:16">
      <c r="L2636" s="21"/>
      <c r="M2636" s="21"/>
      <c r="P2636" s="21"/>
    </row>
    <row r="2637" spans="12:16">
      <c r="L2637" s="21"/>
      <c r="M2637" s="21"/>
      <c r="P2637" s="21"/>
    </row>
    <row r="2638" spans="12:16">
      <c r="L2638" s="21"/>
      <c r="M2638" s="21"/>
      <c r="P2638" s="21"/>
    </row>
    <row r="2639" spans="12:16">
      <c r="L2639" s="21"/>
      <c r="M2639" s="21"/>
      <c r="P2639" s="21"/>
    </row>
    <row r="2640" spans="12:16">
      <c r="L2640" s="21"/>
      <c r="M2640" s="21"/>
      <c r="P2640" s="21"/>
    </row>
    <row r="2641" spans="12:16">
      <c r="L2641" s="21"/>
      <c r="M2641" s="21"/>
      <c r="P2641" s="21"/>
    </row>
    <row r="2642" spans="12:16">
      <c r="L2642" s="21"/>
      <c r="M2642" s="21"/>
      <c r="P2642" s="21"/>
    </row>
    <row r="2643" spans="12:16">
      <c r="L2643" s="21"/>
      <c r="M2643" s="21"/>
      <c r="P2643" s="21"/>
    </row>
    <row r="2644" spans="12:16">
      <c r="L2644" s="21"/>
      <c r="M2644" s="21"/>
      <c r="P2644" s="21"/>
    </row>
    <row r="2645" spans="12:16">
      <c r="L2645" s="21"/>
      <c r="M2645" s="21"/>
      <c r="P2645" s="21"/>
    </row>
    <row r="2646" spans="12:16">
      <c r="L2646" s="21"/>
      <c r="M2646" s="21"/>
      <c r="P2646" s="21"/>
    </row>
    <row r="2647" spans="12:16">
      <c r="L2647" s="21"/>
      <c r="M2647" s="21"/>
      <c r="P2647" s="21"/>
    </row>
    <row r="2648" spans="12:16">
      <c r="L2648" s="21"/>
      <c r="M2648" s="21"/>
      <c r="P2648" s="21"/>
    </row>
    <row r="2649" spans="12:16">
      <c r="L2649" s="21"/>
      <c r="M2649" s="21"/>
      <c r="P2649" s="21"/>
    </row>
    <row r="2650" spans="12:16">
      <c r="L2650" s="21"/>
      <c r="M2650" s="21"/>
      <c r="P2650" s="21"/>
    </row>
    <row r="2651" spans="12:16">
      <c r="L2651" s="21"/>
      <c r="M2651" s="21"/>
      <c r="P2651" s="21"/>
    </row>
    <row r="2652" spans="12:16">
      <c r="L2652" s="21"/>
      <c r="M2652" s="21"/>
      <c r="P2652" s="21"/>
    </row>
    <row r="2653" spans="12:16">
      <c r="L2653" s="21"/>
      <c r="M2653" s="21"/>
      <c r="P2653" s="21"/>
    </row>
    <row r="2654" spans="12:16">
      <c r="L2654" s="21"/>
      <c r="M2654" s="21"/>
      <c r="P2654" s="21"/>
    </row>
    <row r="2655" spans="12:16">
      <c r="L2655" s="21"/>
      <c r="M2655" s="21"/>
      <c r="P2655" s="21"/>
    </row>
    <row r="2656" spans="12:16">
      <c r="L2656" s="21"/>
      <c r="M2656" s="21"/>
      <c r="P2656" s="21"/>
    </row>
    <row r="2657" spans="12:16">
      <c r="L2657" s="21"/>
      <c r="M2657" s="21"/>
      <c r="P2657" s="21"/>
    </row>
    <row r="2658" spans="12:16">
      <c r="L2658" s="21"/>
      <c r="M2658" s="21"/>
      <c r="P2658" s="21"/>
    </row>
    <row r="2659" spans="12:16">
      <c r="L2659" s="21"/>
      <c r="M2659" s="21"/>
      <c r="P2659" s="21"/>
    </row>
    <row r="2660" spans="12:16">
      <c r="L2660" s="21"/>
      <c r="M2660" s="21"/>
      <c r="P2660" s="21"/>
    </row>
    <row r="2661" spans="12:16">
      <c r="L2661" s="21"/>
      <c r="M2661" s="21"/>
      <c r="P2661" s="21"/>
    </row>
    <row r="2662" spans="12:16">
      <c r="L2662" s="21"/>
      <c r="M2662" s="21"/>
      <c r="P2662" s="21"/>
    </row>
    <row r="2663" spans="12:16">
      <c r="L2663" s="21"/>
      <c r="M2663" s="21"/>
      <c r="P2663" s="21"/>
    </row>
    <row r="2664" spans="12:16">
      <c r="L2664" s="21"/>
      <c r="M2664" s="21"/>
      <c r="P2664" s="21"/>
    </row>
    <row r="2665" spans="12:16">
      <c r="L2665" s="21"/>
      <c r="M2665" s="21"/>
      <c r="P2665" s="21"/>
    </row>
    <row r="2666" spans="12:16">
      <c r="L2666" s="21"/>
      <c r="M2666" s="21"/>
      <c r="P2666" s="21"/>
    </row>
    <row r="2667" spans="12:16">
      <c r="L2667" s="21"/>
      <c r="M2667" s="21"/>
      <c r="P2667" s="21"/>
    </row>
    <row r="2668" spans="12:16">
      <c r="L2668" s="21"/>
      <c r="M2668" s="21"/>
      <c r="P2668" s="21"/>
    </row>
    <row r="2669" spans="12:16">
      <c r="L2669" s="21"/>
      <c r="M2669" s="21"/>
      <c r="P2669" s="21"/>
    </row>
    <row r="2670" spans="12:16">
      <c r="L2670" s="21"/>
      <c r="M2670" s="21"/>
      <c r="P2670" s="21"/>
    </row>
    <row r="2671" spans="12:16">
      <c r="L2671" s="21"/>
      <c r="M2671" s="21"/>
      <c r="P2671" s="21"/>
    </row>
    <row r="2672" spans="12:16">
      <c r="L2672" s="21"/>
      <c r="M2672" s="21"/>
      <c r="P2672" s="21"/>
    </row>
    <row r="2673" spans="12:16">
      <c r="L2673" s="21"/>
      <c r="M2673" s="21"/>
      <c r="P2673" s="21"/>
    </row>
    <row r="2674" spans="12:16">
      <c r="L2674" s="21"/>
      <c r="M2674" s="21"/>
      <c r="P2674" s="21"/>
    </row>
    <row r="2675" spans="12:16">
      <c r="L2675" s="21"/>
      <c r="M2675" s="21"/>
      <c r="P2675" s="21"/>
    </row>
    <row r="2676" spans="12:16">
      <c r="L2676" s="21"/>
      <c r="M2676" s="21"/>
      <c r="P2676" s="21"/>
    </row>
    <row r="2677" spans="12:16">
      <c r="L2677" s="21"/>
      <c r="M2677" s="21"/>
      <c r="P2677" s="21"/>
    </row>
    <row r="2678" spans="12:16">
      <c r="L2678" s="21"/>
      <c r="M2678" s="21"/>
      <c r="P2678" s="21"/>
    </row>
    <row r="2679" spans="12:16">
      <c r="L2679" s="21"/>
      <c r="M2679" s="21"/>
      <c r="P2679" s="21"/>
    </row>
    <row r="2680" spans="12:16">
      <c r="L2680" s="21"/>
      <c r="M2680" s="21"/>
      <c r="P2680" s="21"/>
    </row>
    <row r="2681" spans="12:16">
      <c r="L2681" s="21"/>
      <c r="M2681" s="21"/>
      <c r="P2681" s="21"/>
    </row>
    <row r="2682" spans="12:16">
      <c r="L2682" s="21"/>
      <c r="M2682" s="21"/>
      <c r="P2682" s="21"/>
    </row>
    <row r="2683" spans="12:16">
      <c r="L2683" s="21"/>
      <c r="M2683" s="21"/>
      <c r="P2683" s="21"/>
    </row>
    <row r="2684" spans="12:16">
      <c r="L2684" s="21"/>
      <c r="M2684" s="21"/>
      <c r="P2684" s="21"/>
    </row>
    <row r="2685" spans="12:16">
      <c r="L2685" s="21"/>
      <c r="M2685" s="21"/>
      <c r="P2685" s="21"/>
    </row>
    <row r="2686" spans="12:16">
      <c r="L2686" s="21"/>
      <c r="M2686" s="21"/>
      <c r="P2686" s="21"/>
    </row>
    <row r="2687" spans="12:16">
      <c r="L2687" s="21"/>
      <c r="M2687" s="21"/>
      <c r="P2687" s="21"/>
    </row>
    <row r="2688" spans="12:16">
      <c r="L2688" s="21"/>
      <c r="M2688" s="21"/>
      <c r="P2688" s="21"/>
    </row>
    <row r="2689" spans="12:16">
      <c r="L2689" s="21"/>
      <c r="M2689" s="21"/>
      <c r="P2689" s="21"/>
    </row>
    <row r="2690" spans="12:16">
      <c r="L2690" s="21"/>
      <c r="M2690" s="21"/>
      <c r="P2690" s="21"/>
    </row>
    <row r="2691" spans="12:16">
      <c r="L2691" s="21"/>
      <c r="M2691" s="21"/>
      <c r="P2691" s="21"/>
    </row>
    <row r="2692" spans="12:16">
      <c r="L2692" s="21"/>
      <c r="M2692" s="21"/>
      <c r="P2692" s="21"/>
    </row>
    <row r="2693" spans="12:16">
      <c r="L2693" s="21"/>
      <c r="M2693" s="21"/>
      <c r="P2693" s="21"/>
    </row>
    <row r="2694" spans="12:16">
      <c r="L2694" s="21"/>
      <c r="M2694" s="21"/>
      <c r="P2694" s="21"/>
    </row>
    <row r="2695" spans="12:16">
      <c r="L2695" s="21"/>
      <c r="M2695" s="21"/>
      <c r="P2695" s="21"/>
    </row>
    <row r="2696" spans="12:16">
      <c r="L2696" s="21"/>
      <c r="M2696" s="21"/>
      <c r="P2696" s="21"/>
    </row>
    <row r="2697" spans="12:16">
      <c r="L2697" s="21"/>
      <c r="M2697" s="21"/>
      <c r="P2697" s="21"/>
    </row>
    <row r="2698" spans="12:16">
      <c r="L2698" s="21"/>
      <c r="M2698" s="21"/>
      <c r="P2698" s="21"/>
    </row>
    <row r="2699" spans="12:16">
      <c r="L2699" s="21"/>
      <c r="M2699" s="21"/>
      <c r="P2699" s="21"/>
    </row>
    <row r="2700" spans="12:16">
      <c r="L2700" s="21"/>
      <c r="M2700" s="21"/>
      <c r="P2700" s="21"/>
    </row>
    <row r="2701" spans="12:16">
      <c r="L2701" s="21"/>
      <c r="M2701" s="21"/>
      <c r="P2701" s="21"/>
    </row>
    <row r="2702" spans="12:16">
      <c r="L2702" s="21"/>
      <c r="M2702" s="21"/>
      <c r="P2702" s="21"/>
    </row>
    <row r="2703" spans="12:16">
      <c r="L2703" s="21"/>
      <c r="M2703" s="21"/>
      <c r="P2703" s="21"/>
    </row>
    <row r="2704" spans="12:16">
      <c r="L2704" s="21"/>
      <c r="M2704" s="21"/>
      <c r="P2704" s="21"/>
    </row>
    <row r="2705" spans="12:16">
      <c r="L2705" s="21"/>
      <c r="M2705" s="21"/>
      <c r="P2705" s="21"/>
    </row>
    <row r="2706" spans="12:16">
      <c r="L2706" s="21"/>
      <c r="M2706" s="21"/>
      <c r="P2706" s="21"/>
    </row>
    <row r="2707" spans="12:16">
      <c r="L2707" s="21"/>
      <c r="M2707" s="21"/>
      <c r="P2707" s="21"/>
    </row>
    <row r="2708" spans="12:16">
      <c r="L2708" s="21"/>
      <c r="M2708" s="21"/>
      <c r="P2708" s="21"/>
    </row>
    <row r="2709" spans="12:16">
      <c r="L2709" s="21"/>
      <c r="M2709" s="21"/>
      <c r="P2709" s="21"/>
    </row>
    <row r="2710" spans="12:16">
      <c r="L2710" s="21"/>
      <c r="M2710" s="21"/>
      <c r="P2710" s="21"/>
    </row>
    <row r="2711" spans="12:16">
      <c r="L2711" s="21"/>
      <c r="M2711" s="21"/>
      <c r="P2711" s="21"/>
    </row>
    <row r="2712" spans="12:16">
      <c r="L2712" s="21"/>
      <c r="M2712" s="21"/>
      <c r="P2712" s="21"/>
    </row>
    <row r="2713" spans="12:16">
      <c r="L2713" s="21"/>
      <c r="M2713" s="21"/>
      <c r="P2713" s="21"/>
    </row>
    <row r="2714" spans="12:16">
      <c r="L2714" s="21"/>
      <c r="M2714" s="21"/>
      <c r="P2714" s="21"/>
    </row>
    <row r="2715" spans="12:16">
      <c r="L2715" s="21"/>
      <c r="M2715" s="21"/>
      <c r="P2715" s="21"/>
    </row>
    <row r="2716" spans="12:16">
      <c r="L2716" s="21"/>
      <c r="M2716" s="21"/>
      <c r="P2716" s="21"/>
    </row>
    <row r="2717" spans="12:16">
      <c r="L2717" s="21"/>
      <c r="M2717" s="21"/>
      <c r="P2717" s="21"/>
    </row>
    <row r="2718" spans="12:16">
      <c r="L2718" s="21"/>
      <c r="M2718" s="21"/>
      <c r="P2718" s="21"/>
    </row>
    <row r="2719" spans="12:16">
      <c r="L2719" s="21"/>
      <c r="M2719" s="21"/>
      <c r="P2719" s="21"/>
    </row>
    <row r="2720" spans="12:16">
      <c r="L2720" s="21"/>
      <c r="M2720" s="21"/>
      <c r="P2720" s="21"/>
    </row>
    <row r="2721" spans="12:16">
      <c r="L2721" s="21"/>
      <c r="M2721" s="21"/>
      <c r="P2721" s="21"/>
    </row>
    <row r="2722" spans="12:16">
      <c r="L2722" s="21"/>
      <c r="M2722" s="21"/>
      <c r="P2722" s="21"/>
    </row>
    <row r="2723" spans="12:16">
      <c r="L2723" s="21"/>
      <c r="M2723" s="21"/>
      <c r="P2723" s="21"/>
    </row>
    <row r="2724" spans="12:16">
      <c r="L2724" s="21"/>
      <c r="M2724" s="21"/>
      <c r="P2724" s="21"/>
    </row>
    <row r="2725" spans="12:16">
      <c r="L2725" s="21"/>
      <c r="M2725" s="21"/>
      <c r="P2725" s="21"/>
    </row>
    <row r="2726" spans="12:16">
      <c r="L2726" s="21"/>
      <c r="M2726" s="21"/>
      <c r="P2726" s="21"/>
    </row>
    <row r="2727" spans="12:16">
      <c r="L2727" s="21"/>
      <c r="M2727" s="21"/>
      <c r="P2727" s="21"/>
    </row>
    <row r="2728" spans="12:16">
      <c r="L2728" s="21"/>
      <c r="M2728" s="21"/>
      <c r="P2728" s="21"/>
    </row>
    <row r="2729" spans="12:16">
      <c r="L2729" s="21"/>
      <c r="M2729" s="21"/>
      <c r="P2729" s="21"/>
    </row>
    <row r="2730" spans="12:16">
      <c r="L2730" s="21"/>
      <c r="M2730" s="21"/>
      <c r="P2730" s="21"/>
    </row>
    <row r="2731" spans="12:16">
      <c r="L2731" s="21"/>
      <c r="M2731" s="21"/>
      <c r="P2731" s="21"/>
    </row>
    <row r="2732" spans="12:16">
      <c r="L2732" s="21"/>
      <c r="M2732" s="21"/>
      <c r="P2732" s="21"/>
    </row>
    <row r="2733" spans="12:16">
      <c r="L2733" s="21"/>
      <c r="M2733" s="21"/>
      <c r="P2733" s="21"/>
    </row>
    <row r="2734" spans="12:16">
      <c r="L2734" s="21"/>
      <c r="M2734" s="21"/>
      <c r="P2734" s="21"/>
    </row>
    <row r="2735" spans="12:16">
      <c r="L2735" s="21"/>
      <c r="M2735" s="21"/>
      <c r="P2735" s="21"/>
    </row>
    <row r="2736" spans="12:16">
      <c r="L2736" s="21"/>
      <c r="M2736" s="21"/>
      <c r="P2736" s="21"/>
    </row>
    <row r="2737" spans="12:16">
      <c r="L2737" s="21"/>
      <c r="M2737" s="21"/>
      <c r="P2737" s="21"/>
    </row>
    <row r="2738" spans="12:16">
      <c r="L2738" s="21"/>
      <c r="M2738" s="21"/>
      <c r="P2738" s="21"/>
    </row>
    <row r="2739" spans="12:16">
      <c r="L2739" s="21"/>
      <c r="M2739" s="21"/>
      <c r="P2739" s="21"/>
    </row>
    <row r="2740" spans="12:16">
      <c r="L2740" s="21"/>
      <c r="M2740" s="21"/>
      <c r="P2740" s="21"/>
    </row>
    <row r="2741" spans="12:16">
      <c r="L2741" s="21"/>
      <c r="M2741" s="21"/>
      <c r="P2741" s="21"/>
    </row>
    <row r="2742" spans="12:16">
      <c r="L2742" s="21"/>
      <c r="M2742" s="21"/>
      <c r="P2742" s="21"/>
    </row>
    <row r="2743" spans="12:16">
      <c r="L2743" s="21"/>
      <c r="M2743" s="21"/>
      <c r="P2743" s="21"/>
    </row>
    <row r="2744" spans="12:16">
      <c r="L2744" s="21"/>
      <c r="M2744" s="21"/>
      <c r="P2744" s="21"/>
    </row>
    <row r="2745" spans="12:16">
      <c r="L2745" s="21"/>
      <c r="M2745" s="21"/>
      <c r="P2745" s="21"/>
    </row>
    <row r="2746" spans="12:16">
      <c r="L2746" s="21"/>
      <c r="M2746" s="21"/>
      <c r="P2746" s="21"/>
    </row>
    <row r="2747" spans="12:16">
      <c r="L2747" s="21"/>
      <c r="M2747" s="21"/>
      <c r="P2747" s="21"/>
    </row>
    <row r="2748" spans="12:16">
      <c r="L2748" s="21"/>
      <c r="M2748" s="21"/>
      <c r="P2748" s="21"/>
    </row>
    <row r="2749" spans="12:16">
      <c r="L2749" s="21"/>
      <c r="M2749" s="21"/>
      <c r="P2749" s="21"/>
    </row>
    <row r="2750" spans="12:16">
      <c r="L2750" s="21"/>
      <c r="M2750" s="21"/>
      <c r="P2750" s="21"/>
    </row>
    <row r="2751" spans="12:16">
      <c r="L2751" s="21"/>
      <c r="M2751" s="21"/>
      <c r="P2751" s="21"/>
    </row>
    <row r="2752" spans="12:16">
      <c r="L2752" s="21"/>
      <c r="M2752" s="21"/>
      <c r="P2752" s="21"/>
    </row>
    <row r="2753" spans="12:16">
      <c r="L2753" s="21"/>
      <c r="M2753" s="21"/>
      <c r="P2753" s="21"/>
    </row>
    <row r="2754" spans="12:16">
      <c r="L2754" s="21"/>
      <c r="M2754" s="21"/>
      <c r="P2754" s="21"/>
    </row>
    <row r="2755" spans="12:16">
      <c r="L2755" s="21"/>
      <c r="M2755" s="21"/>
      <c r="P2755" s="21"/>
    </row>
    <row r="2756" spans="12:16">
      <c r="L2756" s="21"/>
      <c r="M2756" s="21"/>
      <c r="P2756" s="21"/>
    </row>
    <row r="2757" spans="12:16">
      <c r="L2757" s="21"/>
      <c r="M2757" s="21"/>
      <c r="P2757" s="21"/>
    </row>
    <row r="2758" spans="12:16">
      <c r="L2758" s="21"/>
      <c r="M2758" s="21"/>
      <c r="P2758" s="21"/>
    </row>
    <row r="2759" spans="12:16">
      <c r="L2759" s="21"/>
      <c r="M2759" s="21"/>
      <c r="P2759" s="21"/>
    </row>
    <row r="2760" spans="12:16">
      <c r="L2760" s="21"/>
      <c r="M2760" s="21"/>
      <c r="P2760" s="21"/>
    </row>
    <row r="2761" spans="12:16">
      <c r="L2761" s="21"/>
      <c r="M2761" s="21"/>
      <c r="P2761" s="21"/>
    </row>
    <row r="2762" spans="12:16">
      <c r="L2762" s="21"/>
      <c r="M2762" s="21"/>
      <c r="P2762" s="21"/>
    </row>
    <row r="2763" spans="12:16">
      <c r="L2763" s="21"/>
      <c r="M2763" s="21"/>
      <c r="P2763" s="21"/>
    </row>
    <row r="2764" spans="12:16">
      <c r="L2764" s="21"/>
      <c r="M2764" s="21"/>
      <c r="P2764" s="21"/>
    </row>
    <row r="2765" spans="12:16">
      <c r="L2765" s="21"/>
      <c r="M2765" s="21"/>
      <c r="P2765" s="21"/>
    </row>
    <row r="2766" spans="12:16">
      <c r="L2766" s="21"/>
      <c r="M2766" s="21"/>
      <c r="P2766" s="21"/>
    </row>
    <row r="2767" spans="12:16">
      <c r="L2767" s="21"/>
      <c r="M2767" s="21"/>
      <c r="P2767" s="21"/>
    </row>
    <row r="2768" spans="12:16">
      <c r="L2768" s="21"/>
      <c r="M2768" s="21"/>
      <c r="P2768" s="21"/>
    </row>
    <row r="2769" spans="12:16">
      <c r="L2769" s="21"/>
      <c r="M2769" s="21"/>
      <c r="P2769" s="21"/>
    </row>
    <row r="2770" spans="12:16">
      <c r="L2770" s="21"/>
      <c r="M2770" s="21"/>
      <c r="P2770" s="21"/>
    </row>
    <row r="2771" spans="12:16">
      <c r="L2771" s="21"/>
      <c r="M2771" s="21"/>
      <c r="P2771" s="21"/>
    </row>
    <row r="2772" spans="12:16">
      <c r="L2772" s="21"/>
      <c r="M2772" s="21"/>
      <c r="P2772" s="21"/>
    </row>
    <row r="2773" spans="12:16">
      <c r="L2773" s="21"/>
      <c r="M2773" s="21"/>
      <c r="P2773" s="21"/>
    </row>
    <row r="2774" spans="12:16">
      <c r="L2774" s="21"/>
      <c r="M2774" s="21"/>
      <c r="P2774" s="21"/>
    </row>
    <row r="2775" spans="12:16">
      <c r="L2775" s="21"/>
      <c r="M2775" s="21"/>
      <c r="P2775" s="21"/>
    </row>
    <row r="2776" spans="12:16">
      <c r="L2776" s="21"/>
      <c r="M2776" s="21"/>
      <c r="P2776" s="21"/>
    </row>
    <row r="2777" spans="12:16">
      <c r="L2777" s="21"/>
      <c r="M2777" s="21"/>
      <c r="P2777" s="21"/>
    </row>
    <row r="2778" spans="12:16">
      <c r="L2778" s="21"/>
      <c r="M2778" s="21"/>
      <c r="P2778" s="21"/>
    </row>
    <row r="2779" spans="12:16">
      <c r="L2779" s="21"/>
      <c r="M2779" s="21"/>
      <c r="P2779" s="21"/>
    </row>
    <row r="2780" spans="12:16">
      <c r="L2780" s="21"/>
      <c r="M2780" s="21"/>
      <c r="P2780" s="21"/>
    </row>
    <row r="2781" spans="12:16">
      <c r="L2781" s="21"/>
      <c r="M2781" s="21"/>
      <c r="P2781" s="21"/>
    </row>
    <row r="2782" spans="12:16">
      <c r="L2782" s="21"/>
      <c r="M2782" s="21"/>
      <c r="P2782" s="21"/>
    </row>
    <row r="2783" spans="12:16">
      <c r="L2783" s="21"/>
      <c r="M2783" s="21"/>
      <c r="P2783" s="21"/>
    </row>
    <row r="2784" spans="12:16">
      <c r="L2784" s="21"/>
      <c r="M2784" s="21"/>
      <c r="P2784" s="21"/>
    </row>
    <row r="2785" spans="12:16">
      <c r="L2785" s="21"/>
      <c r="M2785" s="21"/>
      <c r="P2785" s="21"/>
    </row>
    <row r="2786" spans="12:16">
      <c r="L2786" s="21"/>
      <c r="M2786" s="21"/>
      <c r="P2786" s="21"/>
    </row>
    <row r="2787" spans="12:16">
      <c r="L2787" s="21"/>
      <c r="M2787" s="21"/>
      <c r="P2787" s="21"/>
    </row>
    <row r="2788" spans="12:16">
      <c r="L2788" s="21"/>
      <c r="M2788" s="21"/>
      <c r="P2788" s="21"/>
    </row>
    <row r="2789" spans="12:16">
      <c r="L2789" s="21"/>
      <c r="M2789" s="21"/>
      <c r="P2789" s="21"/>
    </row>
    <row r="2790" spans="12:16">
      <c r="L2790" s="21"/>
      <c r="M2790" s="21"/>
      <c r="P2790" s="21"/>
    </row>
    <row r="2791" spans="12:16">
      <c r="L2791" s="21"/>
      <c r="M2791" s="21"/>
      <c r="P2791" s="21"/>
    </row>
    <row r="2792" spans="12:16">
      <c r="L2792" s="21"/>
      <c r="M2792" s="21"/>
      <c r="P2792" s="21"/>
    </row>
    <row r="2793" spans="12:16">
      <c r="L2793" s="21"/>
      <c r="M2793" s="21"/>
      <c r="P2793" s="21"/>
    </row>
    <row r="2794" spans="12:16">
      <c r="L2794" s="21"/>
      <c r="M2794" s="21"/>
      <c r="P2794" s="21"/>
    </row>
    <row r="2795" spans="12:16">
      <c r="L2795" s="21"/>
      <c r="M2795" s="21"/>
      <c r="P2795" s="21"/>
    </row>
    <row r="2796" spans="12:16">
      <c r="L2796" s="21"/>
      <c r="M2796" s="21"/>
      <c r="P2796" s="21"/>
    </row>
    <row r="2797" spans="12:16">
      <c r="L2797" s="21"/>
      <c r="M2797" s="21"/>
      <c r="P2797" s="21"/>
    </row>
    <row r="2798" spans="12:16">
      <c r="L2798" s="21"/>
      <c r="M2798" s="21"/>
      <c r="P2798" s="21"/>
    </row>
    <row r="2799" spans="12:16">
      <c r="L2799" s="21"/>
      <c r="M2799" s="21"/>
      <c r="P2799" s="21"/>
    </row>
    <row r="2800" spans="12:16">
      <c r="L2800" s="21"/>
      <c r="M2800" s="21"/>
      <c r="P2800" s="21"/>
    </row>
    <row r="2801" spans="12:16">
      <c r="L2801" s="21"/>
      <c r="M2801" s="21"/>
      <c r="P2801" s="21"/>
    </row>
    <row r="2802" spans="12:16">
      <c r="L2802" s="21"/>
      <c r="M2802" s="21"/>
      <c r="P2802" s="21"/>
    </row>
    <row r="2803" spans="12:16">
      <c r="L2803" s="21"/>
      <c r="M2803" s="21"/>
      <c r="P2803" s="21"/>
    </row>
    <row r="2804" spans="12:16">
      <c r="L2804" s="21"/>
      <c r="M2804" s="21"/>
      <c r="P2804" s="21"/>
    </row>
    <row r="2805" spans="12:16">
      <c r="L2805" s="21"/>
      <c r="M2805" s="21"/>
      <c r="P2805" s="21"/>
    </row>
    <row r="2806" spans="12:16">
      <c r="L2806" s="21"/>
      <c r="M2806" s="21"/>
      <c r="P2806" s="21"/>
    </row>
    <row r="2807" spans="12:16">
      <c r="L2807" s="21"/>
      <c r="M2807" s="21"/>
      <c r="P2807" s="21"/>
    </row>
    <row r="2808" spans="12:16">
      <c r="L2808" s="21"/>
      <c r="M2808" s="21"/>
      <c r="P2808" s="21"/>
    </row>
    <row r="2809" spans="12:16">
      <c r="L2809" s="21"/>
      <c r="M2809" s="21"/>
      <c r="P2809" s="21"/>
    </row>
    <row r="2810" spans="12:16">
      <c r="L2810" s="21"/>
      <c r="M2810" s="21"/>
      <c r="P2810" s="21"/>
    </row>
    <row r="2811" spans="12:16">
      <c r="L2811" s="21"/>
      <c r="M2811" s="21"/>
      <c r="P2811" s="21"/>
    </row>
    <row r="2812" spans="12:16">
      <c r="L2812" s="21"/>
      <c r="M2812" s="21"/>
      <c r="P2812" s="21"/>
    </row>
    <row r="2813" spans="12:16">
      <c r="L2813" s="21"/>
      <c r="M2813" s="21"/>
      <c r="P2813" s="21"/>
    </row>
    <row r="2814" spans="12:16">
      <c r="L2814" s="21"/>
      <c r="M2814" s="21"/>
      <c r="P2814" s="21"/>
    </row>
    <row r="2815" spans="12:16">
      <c r="L2815" s="21"/>
      <c r="M2815" s="21"/>
      <c r="P2815" s="21"/>
    </row>
    <row r="2816" spans="12:16">
      <c r="L2816" s="21"/>
      <c r="M2816" s="21"/>
      <c r="P2816" s="21"/>
    </row>
    <row r="2817" spans="12:16">
      <c r="L2817" s="21"/>
      <c r="M2817" s="21"/>
      <c r="P2817" s="21"/>
    </row>
    <row r="2818" spans="12:16">
      <c r="L2818" s="21"/>
      <c r="M2818" s="21"/>
      <c r="P2818" s="21"/>
    </row>
    <row r="2819" spans="12:16">
      <c r="L2819" s="21"/>
      <c r="M2819" s="21"/>
      <c r="P2819" s="21"/>
    </row>
    <row r="2820" spans="12:16">
      <c r="L2820" s="21"/>
      <c r="M2820" s="21"/>
      <c r="P2820" s="21"/>
    </row>
    <row r="2821" spans="12:16">
      <c r="L2821" s="21"/>
      <c r="M2821" s="21"/>
      <c r="P2821" s="21"/>
    </row>
    <row r="2822" spans="12:16">
      <c r="L2822" s="21"/>
      <c r="M2822" s="21"/>
      <c r="P2822" s="21"/>
    </row>
    <row r="2823" spans="12:16">
      <c r="L2823" s="21"/>
      <c r="M2823" s="21"/>
      <c r="P2823" s="21"/>
    </row>
    <row r="2824" spans="12:16">
      <c r="L2824" s="21"/>
      <c r="M2824" s="21"/>
      <c r="P2824" s="21"/>
    </row>
    <row r="2825" spans="12:16">
      <c r="L2825" s="21"/>
      <c r="M2825" s="21"/>
      <c r="P2825" s="21"/>
    </row>
    <row r="2826" spans="12:16">
      <c r="L2826" s="21"/>
      <c r="M2826" s="21"/>
      <c r="P2826" s="21"/>
    </row>
    <row r="2827" spans="12:16">
      <c r="L2827" s="21"/>
      <c r="M2827" s="21"/>
      <c r="P2827" s="21"/>
    </row>
    <row r="2828" spans="12:16">
      <c r="L2828" s="21"/>
      <c r="M2828" s="21"/>
      <c r="P2828" s="21"/>
    </row>
    <row r="2829" spans="12:16">
      <c r="L2829" s="21"/>
      <c r="M2829" s="21"/>
      <c r="P2829" s="21"/>
    </row>
    <row r="2830" spans="12:16">
      <c r="L2830" s="21"/>
      <c r="M2830" s="21"/>
      <c r="P2830" s="21"/>
    </row>
    <row r="2831" spans="12:16">
      <c r="L2831" s="21"/>
      <c r="M2831" s="21"/>
      <c r="P2831" s="21"/>
    </row>
    <row r="2832" spans="12:16">
      <c r="L2832" s="21"/>
      <c r="M2832" s="21"/>
      <c r="P2832" s="21"/>
    </row>
    <row r="2833" spans="12:16">
      <c r="L2833" s="21"/>
      <c r="M2833" s="21"/>
      <c r="P2833" s="21"/>
    </row>
    <row r="2834" spans="12:16">
      <c r="L2834" s="21"/>
      <c r="M2834" s="21"/>
      <c r="P2834" s="21"/>
    </row>
    <row r="2835" spans="12:16">
      <c r="L2835" s="21"/>
      <c r="M2835" s="21"/>
      <c r="P2835" s="21"/>
    </row>
    <row r="2836" spans="12:16">
      <c r="L2836" s="21"/>
      <c r="M2836" s="21"/>
      <c r="P2836" s="21"/>
    </row>
    <row r="2837" spans="12:16">
      <c r="L2837" s="21"/>
      <c r="M2837" s="21"/>
      <c r="P2837" s="21"/>
    </row>
    <row r="2838" spans="12:16">
      <c r="L2838" s="21"/>
      <c r="M2838" s="21"/>
      <c r="P2838" s="21"/>
    </row>
    <row r="2839" spans="12:16">
      <c r="L2839" s="21"/>
      <c r="M2839" s="21"/>
      <c r="P2839" s="21"/>
    </row>
    <row r="2840" spans="12:16">
      <c r="L2840" s="21"/>
      <c r="M2840" s="21"/>
      <c r="P2840" s="21"/>
    </row>
    <row r="2841" spans="12:16">
      <c r="L2841" s="21"/>
      <c r="M2841" s="21"/>
      <c r="P2841" s="21"/>
    </row>
    <row r="2842" spans="12:16">
      <c r="L2842" s="21"/>
      <c r="M2842" s="21"/>
      <c r="P2842" s="21"/>
    </row>
    <row r="2843" spans="12:16">
      <c r="L2843" s="21"/>
      <c r="M2843" s="21"/>
      <c r="P2843" s="21"/>
    </row>
    <row r="2844" spans="12:16">
      <c r="L2844" s="21"/>
      <c r="M2844" s="21"/>
      <c r="P2844" s="21"/>
    </row>
    <row r="2845" spans="12:16">
      <c r="L2845" s="21"/>
      <c r="M2845" s="21"/>
      <c r="P2845" s="21"/>
    </row>
    <row r="2846" spans="12:16">
      <c r="L2846" s="21"/>
      <c r="M2846" s="21"/>
      <c r="P2846" s="21"/>
    </row>
    <row r="2847" spans="12:16">
      <c r="L2847" s="21"/>
      <c r="M2847" s="21"/>
      <c r="P2847" s="21"/>
    </row>
    <row r="2848" spans="12:16">
      <c r="L2848" s="21"/>
      <c r="M2848" s="21"/>
      <c r="P2848" s="21"/>
    </row>
    <row r="2849" spans="12:16">
      <c r="L2849" s="21"/>
      <c r="M2849" s="21"/>
      <c r="P2849" s="21"/>
    </row>
    <row r="2850" spans="12:16">
      <c r="L2850" s="21"/>
      <c r="M2850" s="21"/>
      <c r="P2850" s="21"/>
    </row>
    <row r="2851" spans="12:16">
      <c r="L2851" s="21"/>
      <c r="M2851" s="21"/>
      <c r="P2851" s="21"/>
    </row>
    <row r="2852" spans="12:16">
      <c r="L2852" s="21"/>
      <c r="M2852" s="21"/>
      <c r="P2852" s="21"/>
    </row>
    <row r="2853" spans="12:16">
      <c r="L2853" s="21"/>
      <c r="M2853" s="21"/>
      <c r="P2853" s="21"/>
    </row>
    <row r="2854" spans="12:16">
      <c r="L2854" s="21"/>
      <c r="M2854" s="21"/>
      <c r="P2854" s="21"/>
    </row>
    <row r="2855" spans="12:16">
      <c r="L2855" s="21"/>
      <c r="M2855" s="21"/>
      <c r="P2855" s="21"/>
    </row>
    <row r="2856" spans="12:16">
      <c r="L2856" s="21"/>
      <c r="M2856" s="21"/>
      <c r="P2856" s="21"/>
    </row>
    <row r="2857" spans="12:16">
      <c r="L2857" s="21"/>
      <c r="M2857" s="21"/>
      <c r="P2857" s="21"/>
    </row>
    <row r="2858" spans="12:16">
      <c r="L2858" s="21"/>
      <c r="M2858" s="21"/>
      <c r="P2858" s="21"/>
    </row>
    <row r="2859" spans="12:16">
      <c r="L2859" s="21"/>
      <c r="M2859" s="21"/>
      <c r="P2859" s="21"/>
    </row>
    <row r="2860" spans="12:16">
      <c r="L2860" s="21"/>
      <c r="M2860" s="21"/>
      <c r="P2860" s="21"/>
    </row>
    <row r="2861" spans="12:16">
      <c r="L2861" s="21"/>
      <c r="M2861" s="21"/>
      <c r="P2861" s="21"/>
    </row>
    <row r="2862" spans="12:16">
      <c r="L2862" s="21"/>
      <c r="M2862" s="21"/>
      <c r="P2862" s="21"/>
    </row>
    <row r="2863" spans="12:16">
      <c r="L2863" s="21"/>
      <c r="M2863" s="21"/>
      <c r="P2863" s="21"/>
    </row>
    <row r="2864" spans="12:16">
      <c r="L2864" s="21"/>
      <c r="M2864" s="21"/>
      <c r="P2864" s="21"/>
    </row>
    <row r="2865" spans="12:16">
      <c r="L2865" s="21"/>
      <c r="M2865" s="21"/>
      <c r="P2865" s="21"/>
    </row>
    <row r="2866" spans="12:16">
      <c r="L2866" s="21"/>
      <c r="M2866" s="21"/>
      <c r="P2866" s="21"/>
    </row>
    <row r="2867" spans="12:16">
      <c r="L2867" s="21"/>
      <c r="M2867" s="21"/>
      <c r="P2867" s="21"/>
    </row>
    <row r="2868" spans="12:16">
      <c r="L2868" s="21"/>
      <c r="M2868" s="21"/>
      <c r="P2868" s="21"/>
    </row>
    <row r="2869" spans="12:16">
      <c r="L2869" s="21"/>
      <c r="M2869" s="21"/>
      <c r="P2869" s="21"/>
    </row>
    <row r="2870" spans="12:16">
      <c r="L2870" s="21"/>
      <c r="M2870" s="21"/>
      <c r="P2870" s="21"/>
    </row>
    <row r="2871" spans="12:16">
      <c r="L2871" s="21"/>
      <c r="M2871" s="21"/>
      <c r="P2871" s="21"/>
    </row>
    <row r="2872" spans="12:16">
      <c r="L2872" s="21"/>
      <c r="M2872" s="21"/>
      <c r="P2872" s="21"/>
    </row>
    <row r="2873" spans="12:16">
      <c r="L2873" s="21"/>
      <c r="M2873" s="21"/>
      <c r="P2873" s="21"/>
    </row>
    <row r="2874" spans="12:16">
      <c r="L2874" s="21"/>
      <c r="M2874" s="21"/>
      <c r="P2874" s="21"/>
    </row>
    <row r="2875" spans="12:16">
      <c r="L2875" s="21"/>
      <c r="M2875" s="21"/>
      <c r="P2875" s="21"/>
    </row>
    <row r="2876" spans="12:16">
      <c r="L2876" s="21"/>
      <c r="M2876" s="21"/>
      <c r="P2876" s="21"/>
    </row>
    <row r="2877" spans="12:16">
      <c r="L2877" s="21"/>
      <c r="M2877" s="21"/>
      <c r="P2877" s="21"/>
    </row>
    <row r="2878" spans="12:16">
      <c r="L2878" s="21"/>
      <c r="M2878" s="21"/>
      <c r="P2878" s="21"/>
    </row>
    <row r="2879" spans="12:16">
      <c r="L2879" s="21"/>
      <c r="M2879" s="21"/>
      <c r="P2879" s="21"/>
    </row>
    <row r="2880" spans="12:16">
      <c r="L2880" s="21"/>
      <c r="M2880" s="21"/>
      <c r="P2880" s="21"/>
    </row>
    <row r="2881" spans="12:16">
      <c r="L2881" s="21"/>
      <c r="M2881" s="21"/>
      <c r="P2881" s="21"/>
    </row>
    <row r="2882" spans="12:16">
      <c r="L2882" s="21"/>
      <c r="M2882" s="21"/>
      <c r="P2882" s="21"/>
    </row>
    <row r="2883" spans="12:16">
      <c r="L2883" s="21"/>
      <c r="M2883" s="21"/>
      <c r="P2883" s="21"/>
    </row>
    <row r="2884" spans="12:16">
      <c r="L2884" s="21"/>
      <c r="M2884" s="21"/>
      <c r="P2884" s="21"/>
    </row>
    <row r="2885" spans="12:16">
      <c r="L2885" s="21"/>
      <c r="M2885" s="21"/>
      <c r="P2885" s="21"/>
    </row>
    <row r="2886" spans="12:16">
      <c r="L2886" s="21"/>
      <c r="M2886" s="21"/>
      <c r="P2886" s="21"/>
    </row>
    <row r="2887" spans="12:16">
      <c r="L2887" s="21"/>
      <c r="M2887" s="21"/>
      <c r="P2887" s="21"/>
    </row>
    <row r="2888" spans="12:16">
      <c r="L2888" s="21"/>
      <c r="M2888" s="21"/>
      <c r="P2888" s="21"/>
    </row>
    <row r="2889" spans="12:16">
      <c r="L2889" s="21"/>
      <c r="M2889" s="21"/>
      <c r="P2889" s="21"/>
    </row>
    <row r="2890" spans="12:16">
      <c r="L2890" s="21"/>
      <c r="M2890" s="21"/>
      <c r="P2890" s="21"/>
    </row>
    <row r="2891" spans="12:16">
      <c r="L2891" s="21"/>
      <c r="M2891" s="21"/>
      <c r="P2891" s="21"/>
    </row>
    <row r="2892" spans="12:16">
      <c r="L2892" s="21"/>
      <c r="M2892" s="21"/>
      <c r="P2892" s="21"/>
    </row>
    <row r="2893" spans="12:16">
      <c r="L2893" s="21"/>
      <c r="M2893" s="21"/>
      <c r="P2893" s="21"/>
    </row>
    <row r="2894" spans="12:16">
      <c r="L2894" s="21"/>
      <c r="M2894" s="21"/>
      <c r="P2894" s="21"/>
    </row>
    <row r="2895" spans="12:16">
      <c r="L2895" s="21"/>
      <c r="M2895" s="21"/>
      <c r="P2895" s="21"/>
    </row>
    <row r="2896" spans="12:16">
      <c r="L2896" s="21"/>
      <c r="M2896" s="21"/>
      <c r="P2896" s="21"/>
    </row>
    <row r="2897" spans="12:16">
      <c r="L2897" s="21"/>
      <c r="M2897" s="21"/>
      <c r="P2897" s="21"/>
    </row>
    <row r="2898" spans="12:16">
      <c r="L2898" s="21"/>
      <c r="M2898" s="21"/>
      <c r="P2898" s="21"/>
    </row>
    <row r="2899" spans="12:16">
      <c r="L2899" s="21"/>
      <c r="M2899" s="21"/>
      <c r="P2899" s="21"/>
    </row>
    <row r="2900" spans="12:16">
      <c r="L2900" s="21"/>
      <c r="M2900" s="21"/>
      <c r="P2900" s="21"/>
    </row>
    <row r="2901" spans="12:16">
      <c r="L2901" s="21"/>
      <c r="M2901" s="21"/>
      <c r="P2901" s="21"/>
    </row>
    <row r="2902" spans="12:16">
      <c r="L2902" s="21"/>
      <c r="M2902" s="21"/>
      <c r="P2902" s="21"/>
    </row>
    <row r="2903" spans="12:16">
      <c r="L2903" s="21"/>
      <c r="M2903" s="21"/>
      <c r="P2903" s="21"/>
    </row>
    <row r="2904" spans="12:16">
      <c r="L2904" s="21"/>
      <c r="M2904" s="21"/>
      <c r="P2904" s="21"/>
    </row>
    <row r="2905" spans="12:16">
      <c r="L2905" s="21"/>
      <c r="M2905" s="21"/>
      <c r="P2905" s="21"/>
    </row>
    <row r="2906" spans="12:16">
      <c r="L2906" s="21"/>
      <c r="M2906" s="21"/>
      <c r="P2906" s="21"/>
    </row>
    <row r="2907" spans="12:16">
      <c r="L2907" s="21"/>
      <c r="M2907" s="21"/>
      <c r="P2907" s="21"/>
    </row>
    <row r="2908" spans="12:16">
      <c r="L2908" s="21"/>
      <c r="M2908" s="21"/>
      <c r="P2908" s="21"/>
    </row>
    <row r="2909" spans="12:16">
      <c r="L2909" s="21"/>
      <c r="M2909" s="21"/>
      <c r="P2909" s="21"/>
    </row>
    <row r="2910" spans="12:16">
      <c r="L2910" s="21"/>
      <c r="M2910" s="21"/>
      <c r="P2910" s="21"/>
    </row>
    <row r="2911" spans="12:16">
      <c r="L2911" s="21"/>
      <c r="M2911" s="21"/>
      <c r="P2911" s="21"/>
    </row>
    <row r="2912" spans="12:16">
      <c r="L2912" s="21"/>
      <c r="M2912" s="21"/>
      <c r="P2912" s="21"/>
    </row>
    <row r="2913" spans="12:16">
      <c r="L2913" s="21"/>
      <c r="M2913" s="21"/>
      <c r="P2913" s="21"/>
    </row>
    <row r="2914" spans="12:16">
      <c r="L2914" s="21"/>
      <c r="M2914" s="21"/>
      <c r="P2914" s="21"/>
    </row>
    <row r="2915" spans="12:16">
      <c r="L2915" s="21"/>
      <c r="M2915" s="21"/>
      <c r="P2915" s="21"/>
    </row>
    <row r="2916" spans="12:16">
      <c r="L2916" s="21"/>
      <c r="M2916" s="21"/>
      <c r="P2916" s="21"/>
    </row>
    <row r="2917" spans="12:16">
      <c r="L2917" s="21"/>
      <c r="M2917" s="21"/>
      <c r="P2917" s="21"/>
    </row>
    <row r="2918" spans="12:16">
      <c r="L2918" s="21"/>
      <c r="M2918" s="21"/>
      <c r="P2918" s="21"/>
    </row>
    <row r="2919" spans="12:16">
      <c r="L2919" s="21"/>
      <c r="M2919" s="21"/>
      <c r="P2919" s="21"/>
    </row>
    <row r="2920" spans="12:16">
      <c r="L2920" s="21"/>
      <c r="M2920" s="21"/>
      <c r="P2920" s="21"/>
    </row>
    <row r="2921" spans="12:16">
      <c r="L2921" s="21"/>
      <c r="M2921" s="21"/>
      <c r="P2921" s="21"/>
    </row>
    <row r="2922" spans="12:16">
      <c r="L2922" s="21"/>
      <c r="M2922" s="21"/>
      <c r="P2922" s="21"/>
    </row>
    <row r="2923" spans="12:16">
      <c r="L2923" s="21"/>
      <c r="M2923" s="21"/>
      <c r="P2923" s="21"/>
    </row>
    <row r="2924" spans="12:16">
      <c r="L2924" s="21"/>
      <c r="M2924" s="21"/>
      <c r="P2924" s="21"/>
    </row>
    <row r="2925" spans="12:16">
      <c r="L2925" s="21"/>
      <c r="M2925" s="21"/>
      <c r="P2925" s="21"/>
    </row>
    <row r="2926" spans="12:16">
      <c r="L2926" s="21"/>
      <c r="M2926" s="21"/>
      <c r="P2926" s="21"/>
    </row>
    <row r="2927" spans="12:16">
      <c r="L2927" s="21"/>
      <c r="M2927" s="21"/>
      <c r="P2927" s="21"/>
    </row>
    <row r="2928" spans="12:16">
      <c r="L2928" s="21"/>
      <c r="M2928" s="21"/>
      <c r="P2928" s="21"/>
    </row>
    <row r="2929" spans="12:16">
      <c r="L2929" s="21"/>
      <c r="M2929" s="21"/>
      <c r="P2929" s="21"/>
    </row>
    <row r="2930" spans="12:16">
      <c r="L2930" s="21"/>
      <c r="M2930" s="21"/>
      <c r="P2930" s="21"/>
    </row>
    <row r="2931" spans="12:16">
      <c r="L2931" s="21"/>
      <c r="M2931" s="21"/>
      <c r="P2931" s="21"/>
    </row>
    <row r="2932" spans="12:16">
      <c r="L2932" s="21"/>
      <c r="M2932" s="21"/>
      <c r="P2932" s="21"/>
    </row>
    <row r="2933" spans="12:16">
      <c r="L2933" s="21"/>
      <c r="M2933" s="21"/>
      <c r="P2933" s="21"/>
    </row>
    <row r="2934" spans="12:16">
      <c r="L2934" s="21"/>
      <c r="M2934" s="21"/>
      <c r="P2934" s="21"/>
    </row>
    <row r="2935" spans="12:16">
      <c r="L2935" s="21"/>
      <c r="M2935" s="21"/>
      <c r="P2935" s="21"/>
    </row>
    <row r="2936" spans="12:16">
      <c r="L2936" s="21"/>
      <c r="M2936" s="21"/>
      <c r="P2936" s="21"/>
    </row>
    <row r="2937" spans="12:16">
      <c r="L2937" s="21"/>
      <c r="M2937" s="21"/>
      <c r="P2937" s="21"/>
    </row>
    <row r="2938" spans="12:16">
      <c r="L2938" s="21"/>
      <c r="M2938" s="21"/>
      <c r="P2938" s="21"/>
    </row>
    <row r="2939" spans="12:16">
      <c r="L2939" s="21"/>
      <c r="M2939" s="21"/>
      <c r="P2939" s="21"/>
    </row>
    <row r="2940" spans="12:16">
      <c r="L2940" s="21"/>
      <c r="M2940" s="21"/>
      <c r="P2940" s="21"/>
    </row>
    <row r="2941" spans="12:16">
      <c r="L2941" s="21"/>
      <c r="M2941" s="21"/>
      <c r="P2941" s="21"/>
    </row>
    <row r="2942" spans="12:16">
      <c r="L2942" s="21"/>
      <c r="M2942" s="21"/>
      <c r="P2942" s="21"/>
    </row>
    <row r="2943" spans="12:16">
      <c r="L2943" s="21"/>
      <c r="M2943" s="21"/>
      <c r="P2943" s="21"/>
    </row>
    <row r="2944" spans="12:16">
      <c r="L2944" s="21"/>
      <c r="M2944" s="21"/>
      <c r="P2944" s="21"/>
    </row>
    <row r="2945" spans="12:16">
      <c r="L2945" s="21"/>
      <c r="M2945" s="21"/>
      <c r="P2945" s="21"/>
    </row>
    <row r="2946" spans="12:16">
      <c r="L2946" s="21"/>
      <c r="M2946" s="21"/>
      <c r="P2946" s="21"/>
    </row>
    <row r="2947" spans="12:16">
      <c r="L2947" s="21"/>
      <c r="M2947" s="21"/>
      <c r="P2947" s="21"/>
    </row>
    <row r="2948" spans="12:16">
      <c r="L2948" s="21"/>
      <c r="M2948" s="21"/>
      <c r="P2948" s="21"/>
    </row>
    <row r="2949" spans="12:16">
      <c r="L2949" s="21"/>
      <c r="M2949" s="21"/>
      <c r="P2949" s="21"/>
    </row>
    <row r="2950" spans="12:16">
      <c r="L2950" s="21"/>
      <c r="M2950" s="21"/>
      <c r="P2950" s="21"/>
    </row>
    <row r="2951" spans="12:16">
      <c r="L2951" s="21"/>
      <c r="M2951" s="21"/>
      <c r="P2951" s="21"/>
    </row>
    <row r="2952" spans="12:16">
      <c r="L2952" s="21"/>
      <c r="M2952" s="21"/>
      <c r="P2952" s="21"/>
    </row>
    <row r="2953" spans="12:16">
      <c r="L2953" s="21"/>
      <c r="M2953" s="21"/>
      <c r="P2953" s="21"/>
    </row>
    <row r="2954" spans="12:16">
      <c r="L2954" s="21"/>
      <c r="M2954" s="21"/>
      <c r="P2954" s="21"/>
    </row>
    <row r="2955" spans="12:16">
      <c r="L2955" s="21"/>
      <c r="M2955" s="21"/>
      <c r="P2955" s="21"/>
    </row>
    <row r="2956" spans="12:16">
      <c r="L2956" s="21"/>
      <c r="M2956" s="21"/>
      <c r="P2956" s="21"/>
    </row>
    <row r="2957" spans="12:16">
      <c r="L2957" s="21"/>
      <c r="M2957" s="21"/>
      <c r="P2957" s="21"/>
    </row>
    <row r="2958" spans="12:16">
      <c r="L2958" s="21"/>
      <c r="M2958" s="21"/>
      <c r="P2958" s="21"/>
    </row>
    <row r="2959" spans="12:16">
      <c r="L2959" s="21"/>
      <c r="M2959" s="21"/>
      <c r="P2959" s="21"/>
    </row>
    <row r="2960" spans="12:16">
      <c r="L2960" s="21"/>
      <c r="M2960" s="21"/>
      <c r="P2960" s="21"/>
    </row>
    <row r="2961" spans="12:16">
      <c r="L2961" s="21"/>
      <c r="M2961" s="21"/>
      <c r="P2961" s="21"/>
    </row>
    <row r="2962" spans="12:16">
      <c r="L2962" s="21"/>
      <c r="M2962" s="21"/>
      <c r="P2962" s="21"/>
    </row>
    <row r="2963" spans="12:16">
      <c r="L2963" s="21"/>
      <c r="M2963" s="21"/>
      <c r="P2963" s="21"/>
    </row>
    <row r="2964" spans="12:16">
      <c r="L2964" s="21"/>
      <c r="M2964" s="21"/>
      <c r="P2964" s="21"/>
    </row>
    <row r="2965" spans="12:16">
      <c r="L2965" s="21"/>
      <c r="M2965" s="21"/>
      <c r="P2965" s="21"/>
    </row>
    <row r="2966" spans="12:16">
      <c r="L2966" s="21"/>
      <c r="M2966" s="21"/>
      <c r="P2966" s="21"/>
    </row>
    <row r="2967" spans="12:16">
      <c r="L2967" s="21"/>
      <c r="M2967" s="21"/>
      <c r="P2967" s="21"/>
    </row>
    <row r="2968" spans="12:16">
      <c r="L2968" s="21"/>
      <c r="M2968" s="21"/>
      <c r="P2968" s="21"/>
    </row>
    <row r="2969" spans="12:16">
      <c r="L2969" s="21"/>
      <c r="M2969" s="21"/>
      <c r="P2969" s="21"/>
    </row>
    <row r="2970" spans="12:16">
      <c r="L2970" s="21"/>
      <c r="M2970" s="21"/>
      <c r="P2970" s="21"/>
    </row>
    <row r="2971" spans="12:16">
      <c r="L2971" s="21"/>
      <c r="M2971" s="21"/>
      <c r="P2971" s="21"/>
    </row>
    <row r="2972" spans="12:16">
      <c r="L2972" s="21"/>
      <c r="M2972" s="21"/>
      <c r="P2972" s="21"/>
    </row>
    <row r="2973" spans="12:16">
      <c r="L2973" s="21"/>
      <c r="M2973" s="21"/>
      <c r="P2973" s="21"/>
    </row>
    <row r="2974" spans="12:16">
      <c r="L2974" s="21"/>
      <c r="M2974" s="21"/>
      <c r="P2974" s="21"/>
    </row>
    <row r="2975" spans="12:16">
      <c r="L2975" s="21"/>
      <c r="M2975" s="21"/>
      <c r="P2975" s="21"/>
    </row>
    <row r="2976" spans="12:16">
      <c r="L2976" s="21"/>
      <c r="M2976" s="21"/>
      <c r="P2976" s="21"/>
    </row>
    <row r="2977" spans="12:16">
      <c r="L2977" s="21"/>
      <c r="M2977" s="21"/>
      <c r="P2977" s="21"/>
    </row>
    <row r="2978" spans="12:16">
      <c r="L2978" s="21"/>
      <c r="M2978" s="21"/>
      <c r="P2978" s="21"/>
    </row>
    <row r="2979" spans="12:16">
      <c r="L2979" s="21"/>
      <c r="M2979" s="21"/>
      <c r="P2979" s="21"/>
    </row>
    <row r="2980" spans="12:16">
      <c r="L2980" s="21"/>
      <c r="M2980" s="21"/>
      <c r="P2980" s="21"/>
    </row>
    <row r="2981" spans="12:16">
      <c r="L2981" s="21"/>
      <c r="M2981" s="21"/>
      <c r="P2981" s="21"/>
    </row>
    <row r="2982" spans="12:16">
      <c r="L2982" s="21"/>
      <c r="M2982" s="21"/>
      <c r="P2982" s="21"/>
    </row>
    <row r="2983" spans="12:16">
      <c r="L2983" s="21"/>
      <c r="M2983" s="21"/>
      <c r="P2983" s="21"/>
    </row>
    <row r="2984" spans="12:16">
      <c r="L2984" s="21"/>
      <c r="M2984" s="21"/>
      <c r="P2984" s="21"/>
    </row>
    <row r="2985" spans="12:16">
      <c r="L2985" s="21"/>
      <c r="M2985" s="21"/>
      <c r="P2985" s="21"/>
    </row>
    <row r="2986" spans="12:16">
      <c r="L2986" s="21"/>
      <c r="M2986" s="21"/>
      <c r="P2986" s="21"/>
    </row>
    <row r="2987" spans="12:16">
      <c r="L2987" s="21"/>
      <c r="M2987" s="21"/>
      <c r="P2987" s="21"/>
    </row>
    <row r="2988" spans="12:16">
      <c r="L2988" s="21"/>
      <c r="M2988" s="21"/>
      <c r="P2988" s="21"/>
    </row>
    <row r="2989" spans="12:16">
      <c r="L2989" s="21"/>
      <c r="M2989" s="21"/>
      <c r="P2989" s="21"/>
    </row>
    <row r="2990" spans="12:16">
      <c r="L2990" s="21"/>
      <c r="M2990" s="21"/>
      <c r="P2990" s="21"/>
    </row>
    <row r="2991" spans="12:16">
      <c r="L2991" s="21"/>
      <c r="M2991" s="21"/>
      <c r="P2991" s="21"/>
    </row>
    <row r="2992" spans="12:16">
      <c r="L2992" s="21"/>
      <c r="M2992" s="21"/>
      <c r="P2992" s="21"/>
    </row>
    <row r="2993" spans="12:16">
      <c r="L2993" s="21"/>
      <c r="M2993" s="21"/>
      <c r="P2993" s="21"/>
    </row>
    <row r="2994" spans="12:16">
      <c r="L2994" s="21"/>
      <c r="M2994" s="21"/>
      <c r="P2994" s="21"/>
    </row>
    <row r="2995" spans="12:16">
      <c r="L2995" s="21"/>
      <c r="M2995" s="21"/>
      <c r="P2995" s="21"/>
    </row>
    <row r="2996" spans="12:16">
      <c r="L2996" s="21"/>
      <c r="M2996" s="21"/>
      <c r="P2996" s="21"/>
    </row>
    <row r="2997" spans="12:16">
      <c r="L2997" s="21"/>
      <c r="M2997" s="21"/>
      <c r="P2997" s="21"/>
    </row>
    <row r="2998" spans="12:16">
      <c r="L2998" s="21"/>
      <c r="M2998" s="21"/>
      <c r="P2998" s="21"/>
    </row>
    <row r="2999" spans="12:16">
      <c r="L2999" s="21"/>
      <c r="M2999" s="21"/>
      <c r="P2999" s="21"/>
    </row>
    <row r="3000" spans="12:16">
      <c r="L3000" s="21"/>
      <c r="M3000" s="21"/>
      <c r="P3000" s="21"/>
    </row>
    <row r="3001" spans="12:16">
      <c r="L3001" s="21"/>
      <c r="M3001" s="21"/>
      <c r="P3001" s="21"/>
    </row>
    <row r="3002" spans="12:16">
      <c r="L3002" s="21"/>
      <c r="M3002" s="21"/>
      <c r="P3002" s="21"/>
    </row>
    <row r="3003" spans="12:16">
      <c r="L3003" s="21"/>
      <c r="M3003" s="21"/>
      <c r="P3003" s="21"/>
    </row>
    <row r="3004" spans="12:16">
      <c r="L3004" s="21"/>
      <c r="M3004" s="21"/>
      <c r="P3004" s="21"/>
    </row>
    <row r="3005" spans="12:16">
      <c r="L3005" s="21"/>
      <c r="M3005" s="21"/>
      <c r="P3005" s="21"/>
    </row>
    <row r="3006" spans="12:16">
      <c r="L3006" s="21"/>
      <c r="M3006" s="21"/>
      <c r="P3006" s="21"/>
    </row>
    <row r="3007" spans="12:16">
      <c r="L3007" s="21"/>
      <c r="M3007" s="21"/>
      <c r="P3007" s="21"/>
    </row>
    <row r="3008" spans="12:16">
      <c r="L3008" s="21"/>
      <c r="M3008" s="21"/>
      <c r="P3008" s="21"/>
    </row>
    <row r="3009" spans="12:16">
      <c r="L3009" s="21"/>
      <c r="M3009" s="21"/>
      <c r="P3009" s="21"/>
    </row>
    <row r="3010" spans="12:16">
      <c r="L3010" s="21"/>
      <c r="M3010" s="21"/>
      <c r="P3010" s="21"/>
    </row>
    <row r="3011" spans="12:16">
      <c r="L3011" s="21"/>
      <c r="M3011" s="21"/>
      <c r="P3011" s="21"/>
    </row>
    <row r="3012" spans="12:16">
      <c r="L3012" s="21"/>
      <c r="M3012" s="21"/>
      <c r="P3012" s="21"/>
    </row>
    <row r="3013" spans="12:16">
      <c r="L3013" s="21"/>
      <c r="M3013" s="21"/>
      <c r="P3013" s="21"/>
    </row>
    <row r="3014" spans="12:16">
      <c r="L3014" s="21"/>
      <c r="M3014" s="21"/>
      <c r="P3014" s="21"/>
    </row>
    <row r="3015" spans="12:16">
      <c r="L3015" s="21"/>
      <c r="M3015" s="21"/>
      <c r="P3015" s="21"/>
    </row>
    <row r="3016" spans="12:16">
      <c r="L3016" s="21"/>
      <c r="M3016" s="21"/>
      <c r="P3016" s="21"/>
    </row>
    <row r="3017" spans="12:16">
      <c r="L3017" s="21"/>
      <c r="M3017" s="21"/>
      <c r="P3017" s="21"/>
    </row>
    <row r="3018" spans="12:16">
      <c r="L3018" s="21"/>
      <c r="M3018" s="21"/>
      <c r="P3018" s="21"/>
    </row>
    <row r="3019" spans="12:16">
      <c r="L3019" s="21"/>
      <c r="M3019" s="21"/>
      <c r="P3019" s="21"/>
    </row>
    <row r="3020" spans="12:16">
      <c r="L3020" s="21"/>
      <c r="M3020" s="21"/>
      <c r="P3020" s="21"/>
    </row>
    <row r="3021" spans="12:16">
      <c r="L3021" s="21"/>
      <c r="M3021" s="21"/>
      <c r="P3021" s="21"/>
    </row>
    <row r="3022" spans="12:16">
      <c r="L3022" s="21"/>
      <c r="M3022" s="21"/>
      <c r="P3022" s="21"/>
    </row>
    <row r="3023" spans="12:16">
      <c r="L3023" s="21"/>
      <c r="M3023" s="21"/>
      <c r="P3023" s="21"/>
    </row>
    <row r="3024" spans="12:16">
      <c r="L3024" s="21"/>
      <c r="M3024" s="21"/>
      <c r="P3024" s="21"/>
    </row>
    <row r="3025" spans="12:16">
      <c r="L3025" s="21"/>
      <c r="M3025" s="21"/>
      <c r="P3025" s="21"/>
    </row>
    <row r="3026" spans="12:16">
      <c r="L3026" s="21"/>
      <c r="M3026" s="21"/>
      <c r="P3026" s="21"/>
    </row>
    <row r="3027" spans="12:16">
      <c r="L3027" s="21"/>
      <c r="M3027" s="21"/>
      <c r="P3027" s="21"/>
    </row>
    <row r="3028" spans="12:16">
      <c r="L3028" s="21"/>
      <c r="M3028" s="21"/>
      <c r="P3028" s="21"/>
    </row>
    <row r="3029" spans="12:16">
      <c r="L3029" s="21"/>
      <c r="M3029" s="21"/>
      <c r="P3029" s="21"/>
    </row>
    <row r="3030" spans="12:16">
      <c r="L3030" s="21"/>
      <c r="M3030" s="21"/>
      <c r="P3030" s="21"/>
    </row>
    <row r="3031" spans="12:16">
      <c r="L3031" s="21"/>
      <c r="M3031" s="21"/>
      <c r="P3031" s="21"/>
    </row>
    <row r="3032" spans="12:16">
      <c r="L3032" s="21"/>
      <c r="M3032" s="21"/>
      <c r="P3032" s="21"/>
    </row>
    <row r="3033" spans="12:16">
      <c r="L3033" s="21"/>
      <c r="M3033" s="21"/>
      <c r="P3033" s="21"/>
    </row>
    <row r="3034" spans="12:16">
      <c r="L3034" s="21"/>
      <c r="M3034" s="21"/>
      <c r="P3034" s="21"/>
    </row>
    <row r="3035" spans="12:16">
      <c r="L3035" s="21"/>
      <c r="M3035" s="21"/>
      <c r="P3035" s="21"/>
    </row>
    <row r="3036" spans="12:16">
      <c r="L3036" s="21"/>
      <c r="M3036" s="21"/>
      <c r="P3036" s="21"/>
    </row>
    <row r="3037" spans="12:16">
      <c r="L3037" s="21"/>
      <c r="M3037" s="21"/>
      <c r="P3037" s="21"/>
    </row>
    <row r="3038" spans="12:16">
      <c r="L3038" s="21"/>
      <c r="M3038" s="21"/>
      <c r="P3038" s="21"/>
    </row>
    <row r="3039" spans="12:16">
      <c r="L3039" s="21"/>
      <c r="M3039" s="21"/>
      <c r="P3039" s="21"/>
    </row>
    <row r="3040" spans="12:16">
      <c r="L3040" s="21"/>
      <c r="M3040" s="21"/>
      <c r="P3040" s="21"/>
    </row>
    <row r="3041" spans="12:16">
      <c r="L3041" s="21"/>
      <c r="M3041" s="21"/>
      <c r="P3041" s="21"/>
    </row>
    <row r="3042" spans="12:16">
      <c r="L3042" s="21"/>
      <c r="M3042" s="21"/>
      <c r="P3042" s="21"/>
    </row>
    <row r="3043" spans="12:16">
      <c r="L3043" s="21"/>
      <c r="M3043" s="21"/>
      <c r="P3043" s="21"/>
    </row>
    <row r="3044" spans="12:16">
      <c r="L3044" s="21"/>
      <c r="M3044" s="21"/>
      <c r="P3044" s="21"/>
    </row>
    <row r="3045" spans="12:16">
      <c r="L3045" s="21"/>
      <c r="M3045" s="21"/>
      <c r="P3045" s="21"/>
    </row>
    <row r="3046" spans="12:16">
      <c r="L3046" s="21"/>
      <c r="M3046" s="21"/>
      <c r="P3046" s="21"/>
    </row>
    <row r="3047" spans="12:16">
      <c r="L3047" s="21"/>
      <c r="M3047" s="21"/>
      <c r="P3047" s="21"/>
    </row>
    <row r="3048" spans="12:16">
      <c r="L3048" s="21"/>
      <c r="M3048" s="21"/>
      <c r="P3048" s="21"/>
    </row>
    <row r="3049" spans="12:16">
      <c r="L3049" s="21"/>
      <c r="M3049" s="21"/>
      <c r="P3049" s="21"/>
    </row>
    <row r="3050" spans="12:16">
      <c r="L3050" s="21"/>
      <c r="M3050" s="21"/>
      <c r="P3050" s="21"/>
    </row>
    <row r="3051" spans="12:16">
      <c r="L3051" s="21"/>
      <c r="M3051" s="21"/>
      <c r="P3051" s="21"/>
    </row>
    <row r="3052" spans="12:16">
      <c r="L3052" s="21"/>
      <c r="M3052" s="21"/>
      <c r="P3052" s="21"/>
    </row>
    <row r="3053" spans="12:16">
      <c r="L3053" s="21"/>
      <c r="M3053" s="21"/>
      <c r="P3053" s="21"/>
    </row>
    <row r="3054" spans="12:16">
      <c r="L3054" s="21"/>
      <c r="M3054" s="21"/>
      <c r="P3054" s="21"/>
    </row>
    <row r="3055" spans="12:16">
      <c r="L3055" s="21"/>
      <c r="M3055" s="21"/>
      <c r="P3055" s="21"/>
    </row>
    <row r="3056" spans="12:16">
      <c r="L3056" s="21"/>
      <c r="M3056" s="21"/>
      <c r="P3056" s="21"/>
    </row>
    <row r="3057" spans="12:16">
      <c r="L3057" s="21"/>
      <c r="M3057" s="21"/>
      <c r="P3057" s="21"/>
    </row>
    <row r="3058" spans="12:16">
      <c r="L3058" s="21"/>
      <c r="M3058" s="21"/>
      <c r="P3058" s="21"/>
    </row>
    <row r="3059" spans="12:16">
      <c r="L3059" s="21"/>
      <c r="M3059" s="21"/>
      <c r="P3059" s="21"/>
    </row>
    <row r="3060" spans="12:16">
      <c r="L3060" s="21"/>
      <c r="M3060" s="21"/>
      <c r="P3060" s="21"/>
    </row>
    <row r="3061" spans="12:16">
      <c r="L3061" s="21"/>
      <c r="M3061" s="21"/>
      <c r="P3061" s="21"/>
    </row>
    <row r="3062" spans="12:16">
      <c r="L3062" s="21"/>
      <c r="M3062" s="21"/>
      <c r="P3062" s="21"/>
    </row>
    <row r="3063" spans="12:16">
      <c r="L3063" s="21"/>
      <c r="M3063" s="21"/>
      <c r="P3063" s="21"/>
    </row>
    <row r="3064" spans="12:16">
      <c r="L3064" s="21"/>
      <c r="M3064" s="21"/>
      <c r="P3064" s="21"/>
    </row>
    <row r="3065" spans="12:16">
      <c r="L3065" s="21"/>
      <c r="M3065" s="21"/>
      <c r="P3065" s="21"/>
    </row>
    <row r="3066" spans="12:16">
      <c r="L3066" s="21"/>
      <c r="M3066" s="21"/>
      <c r="P3066" s="21"/>
    </row>
    <row r="3067" spans="12:16">
      <c r="L3067" s="21"/>
      <c r="M3067" s="21"/>
      <c r="P3067" s="21"/>
    </row>
    <row r="3068" spans="12:16">
      <c r="L3068" s="21"/>
      <c r="M3068" s="21"/>
      <c r="P3068" s="21"/>
    </row>
    <row r="3069" spans="12:16">
      <c r="L3069" s="21"/>
      <c r="M3069" s="21"/>
      <c r="P3069" s="21"/>
    </row>
    <row r="3070" spans="12:16">
      <c r="L3070" s="21"/>
      <c r="M3070" s="21"/>
      <c r="P3070" s="21"/>
    </row>
    <row r="3071" spans="12:16">
      <c r="L3071" s="21"/>
      <c r="M3071" s="21"/>
      <c r="P3071" s="21"/>
    </row>
    <row r="3072" spans="12:16">
      <c r="L3072" s="21"/>
      <c r="M3072" s="21"/>
      <c r="P3072" s="21"/>
    </row>
    <row r="3073" spans="12:16">
      <c r="L3073" s="21"/>
      <c r="M3073" s="21"/>
      <c r="P3073" s="21"/>
    </row>
    <row r="3074" spans="12:16">
      <c r="L3074" s="21"/>
      <c r="M3074" s="21"/>
      <c r="P3074" s="21"/>
    </row>
    <row r="3075" spans="12:16">
      <c r="L3075" s="21"/>
      <c r="M3075" s="21"/>
      <c r="P3075" s="21"/>
    </row>
    <row r="3076" spans="12:16">
      <c r="L3076" s="21"/>
      <c r="M3076" s="21"/>
      <c r="P3076" s="21"/>
    </row>
    <row r="3077" spans="12:16">
      <c r="L3077" s="21"/>
      <c r="M3077" s="21"/>
      <c r="P3077" s="21"/>
    </row>
    <row r="3078" spans="12:16">
      <c r="L3078" s="21"/>
      <c r="M3078" s="21"/>
      <c r="P3078" s="21"/>
    </row>
    <row r="3079" spans="12:16">
      <c r="L3079" s="21"/>
      <c r="M3079" s="21"/>
      <c r="P3079" s="21"/>
    </row>
    <row r="3080" spans="12:16">
      <c r="L3080" s="21"/>
      <c r="M3080" s="21"/>
      <c r="P3080" s="21"/>
    </row>
    <row r="3081" spans="12:16">
      <c r="L3081" s="21"/>
      <c r="M3081" s="21"/>
      <c r="P3081" s="21"/>
    </row>
    <row r="3082" spans="12:16">
      <c r="L3082" s="21"/>
      <c r="M3082" s="21"/>
      <c r="P3082" s="21"/>
    </row>
    <row r="3083" spans="12:16">
      <c r="L3083" s="21"/>
      <c r="M3083" s="21"/>
      <c r="P3083" s="21"/>
    </row>
    <row r="3084" spans="12:16">
      <c r="L3084" s="21"/>
      <c r="M3084" s="21"/>
      <c r="P3084" s="21"/>
    </row>
    <row r="3085" spans="12:16">
      <c r="L3085" s="21"/>
      <c r="M3085" s="21"/>
      <c r="P3085" s="21"/>
    </row>
    <row r="3086" spans="12:16">
      <c r="L3086" s="21"/>
      <c r="M3086" s="21"/>
      <c r="P3086" s="21"/>
    </row>
    <row r="3087" spans="12:16">
      <c r="L3087" s="21"/>
      <c r="M3087" s="21"/>
      <c r="P3087" s="21"/>
    </row>
    <row r="3088" spans="12:16">
      <c r="L3088" s="21"/>
      <c r="M3088" s="21"/>
      <c r="P3088" s="21"/>
    </row>
    <row r="3089" spans="12:16">
      <c r="L3089" s="21"/>
      <c r="M3089" s="21"/>
      <c r="P3089" s="21"/>
    </row>
    <row r="3090" spans="12:16">
      <c r="L3090" s="21"/>
      <c r="M3090" s="21"/>
      <c r="P3090" s="21"/>
    </row>
    <row r="3091" spans="12:16">
      <c r="L3091" s="21"/>
      <c r="M3091" s="21"/>
      <c r="P3091" s="21"/>
    </row>
    <row r="3092" spans="12:16">
      <c r="L3092" s="21"/>
      <c r="M3092" s="21"/>
      <c r="P3092" s="21"/>
    </row>
    <row r="3093" spans="12:16">
      <c r="L3093" s="21"/>
      <c r="M3093" s="21"/>
      <c r="P3093" s="21"/>
    </row>
    <row r="3094" spans="12:16">
      <c r="L3094" s="21"/>
      <c r="M3094" s="21"/>
      <c r="P3094" s="21"/>
    </row>
    <row r="3095" spans="12:16">
      <c r="L3095" s="21"/>
      <c r="M3095" s="21"/>
      <c r="P3095" s="21"/>
    </row>
    <row r="3096" spans="12:16">
      <c r="L3096" s="21"/>
      <c r="M3096" s="21"/>
      <c r="P3096" s="21"/>
    </row>
    <row r="3097" spans="12:16">
      <c r="L3097" s="21"/>
      <c r="M3097" s="21"/>
      <c r="P3097" s="21"/>
    </row>
    <row r="3098" spans="12:16">
      <c r="L3098" s="21"/>
      <c r="M3098" s="21"/>
      <c r="P3098" s="21"/>
    </row>
    <row r="3099" spans="12:16">
      <c r="L3099" s="21"/>
      <c r="M3099" s="21"/>
      <c r="P3099" s="21"/>
    </row>
    <row r="3100" spans="12:16">
      <c r="L3100" s="21"/>
      <c r="M3100" s="21"/>
      <c r="P3100" s="21"/>
    </row>
    <row r="3101" spans="12:16">
      <c r="L3101" s="21"/>
      <c r="M3101" s="21"/>
      <c r="P3101" s="21"/>
    </row>
    <row r="3102" spans="12:16">
      <c r="L3102" s="21"/>
      <c r="M3102" s="21"/>
      <c r="P3102" s="21"/>
    </row>
    <row r="3103" spans="12:16">
      <c r="L3103" s="21"/>
      <c r="M3103" s="21"/>
      <c r="P3103" s="21"/>
    </row>
    <row r="3104" spans="12:16">
      <c r="L3104" s="21"/>
      <c r="M3104" s="21"/>
      <c r="P3104" s="21"/>
    </row>
    <row r="3105" spans="12:16">
      <c r="L3105" s="21"/>
      <c r="M3105" s="21"/>
      <c r="P3105" s="21"/>
    </row>
    <row r="3106" spans="12:16">
      <c r="L3106" s="21"/>
      <c r="M3106" s="21"/>
      <c r="P3106" s="21"/>
    </row>
    <row r="3107" spans="12:16">
      <c r="L3107" s="21"/>
      <c r="M3107" s="21"/>
      <c r="P3107" s="21"/>
    </row>
    <row r="3108" spans="12:16">
      <c r="L3108" s="21"/>
      <c r="M3108" s="21"/>
      <c r="P3108" s="21"/>
    </row>
    <row r="3109" spans="12:16">
      <c r="L3109" s="21"/>
      <c r="M3109" s="21"/>
      <c r="P3109" s="21"/>
    </row>
    <row r="3110" spans="12:16">
      <c r="L3110" s="21"/>
      <c r="M3110" s="21"/>
      <c r="P3110" s="21"/>
    </row>
    <row r="3111" spans="12:16">
      <c r="L3111" s="21"/>
      <c r="M3111" s="21"/>
      <c r="P3111" s="21"/>
    </row>
    <row r="3112" spans="12:16">
      <c r="L3112" s="21"/>
      <c r="M3112" s="21"/>
      <c r="P3112" s="21"/>
    </row>
    <row r="3113" spans="12:16">
      <c r="L3113" s="21"/>
      <c r="M3113" s="21"/>
      <c r="P3113" s="21"/>
    </row>
    <row r="3114" spans="12:16">
      <c r="L3114" s="21"/>
      <c r="M3114" s="21"/>
      <c r="P3114" s="21"/>
    </row>
    <row r="3115" spans="12:16">
      <c r="L3115" s="21"/>
      <c r="M3115" s="21"/>
      <c r="P3115" s="21"/>
    </row>
    <row r="3116" spans="12:16">
      <c r="L3116" s="21"/>
      <c r="M3116" s="21"/>
      <c r="P3116" s="21"/>
    </row>
    <row r="3117" spans="12:16">
      <c r="L3117" s="21"/>
      <c r="M3117" s="21"/>
      <c r="P3117" s="2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0000"/>
  </sheetPr>
  <dimension ref="B1:D70"/>
  <sheetViews>
    <sheetView showGridLines="0" zoomScale="95" zoomScaleNormal="95" workbookViewId="0">
      <selection sqref="A1:XFD1048576"/>
    </sheetView>
  </sheetViews>
  <sheetFormatPr defaultRowHeight="15"/>
  <cols>
    <col min="1" max="1" width="2.85546875" customWidth="1"/>
    <col min="2" max="2" width="22" customWidth="1"/>
    <col min="3" max="3" width="72" style="27" customWidth="1"/>
    <col min="4" max="4" width="64.7109375" style="27" customWidth="1"/>
  </cols>
  <sheetData>
    <row r="1" spans="2:4" ht="6.75" customHeight="1"/>
    <row r="2" spans="2:4" ht="18.75">
      <c r="B2" s="24" t="s">
        <v>81</v>
      </c>
    </row>
    <row r="3" spans="2:4" ht="7.5" customHeight="1"/>
    <row r="4" spans="2:4">
      <c r="B4" s="22" t="s">
        <v>82</v>
      </c>
      <c r="C4" s="28" t="s">
        <v>83</v>
      </c>
      <c r="D4" s="28" t="s">
        <v>84</v>
      </c>
    </row>
    <row r="5" spans="2:4">
      <c r="B5" s="6" t="s">
        <v>43</v>
      </c>
      <c r="C5" s="29" t="s">
        <v>88</v>
      </c>
      <c r="D5" s="29" t="s">
        <v>89</v>
      </c>
    </row>
    <row r="6" spans="2:4">
      <c r="B6" s="6" t="s">
        <v>0</v>
      </c>
      <c r="C6" s="29" t="s">
        <v>90</v>
      </c>
      <c r="D6" s="29" t="s">
        <v>91</v>
      </c>
    </row>
    <row r="7" spans="2:4">
      <c r="B7" s="6" t="s">
        <v>1</v>
      </c>
      <c r="C7" s="29" t="s">
        <v>92</v>
      </c>
      <c r="D7" s="29" t="s">
        <v>91</v>
      </c>
    </row>
    <row r="8" spans="2:4">
      <c r="B8" s="6" t="s">
        <v>2</v>
      </c>
      <c r="C8" s="29" t="s">
        <v>93</v>
      </c>
      <c r="D8" s="29" t="s">
        <v>94</v>
      </c>
    </row>
    <row r="9" spans="2:4">
      <c r="B9" s="6" t="s">
        <v>44</v>
      </c>
      <c r="C9" s="29" t="s">
        <v>95</v>
      </c>
      <c r="D9" s="29" t="s">
        <v>94</v>
      </c>
    </row>
    <row r="10" spans="2:4">
      <c r="B10" s="6" t="s">
        <v>45</v>
      </c>
      <c r="C10" s="29" t="s">
        <v>96</v>
      </c>
      <c r="D10" s="29" t="s">
        <v>94</v>
      </c>
    </row>
    <row r="11" spans="2:4">
      <c r="B11" s="6" t="s">
        <v>46</v>
      </c>
      <c r="C11" s="29" t="s">
        <v>97</v>
      </c>
      <c r="D11" s="29" t="s">
        <v>89</v>
      </c>
    </row>
    <row r="12" spans="2:4" ht="30">
      <c r="B12" s="6" t="s">
        <v>47</v>
      </c>
      <c r="C12" s="29" t="s">
        <v>98</v>
      </c>
      <c r="D12" s="29" t="s">
        <v>99</v>
      </c>
    </row>
    <row r="13" spans="2:4" ht="30">
      <c r="B13" s="6" t="s">
        <v>3</v>
      </c>
      <c r="C13" s="29" t="s">
        <v>100</v>
      </c>
      <c r="D13" s="29" t="s">
        <v>101</v>
      </c>
    </row>
    <row r="14" spans="2:4">
      <c r="B14" s="6" t="s">
        <v>48</v>
      </c>
      <c r="C14" s="29" t="s">
        <v>102</v>
      </c>
      <c r="D14" s="29" t="s">
        <v>103</v>
      </c>
    </row>
    <row r="15" spans="2:4">
      <c r="B15" s="6" t="s">
        <v>4</v>
      </c>
      <c r="C15" s="29" t="s">
        <v>104</v>
      </c>
      <c r="D15" s="29" t="s">
        <v>103</v>
      </c>
    </row>
    <row r="16" spans="2:4" ht="30">
      <c r="B16" s="6" t="s">
        <v>49</v>
      </c>
      <c r="C16" s="29" t="s">
        <v>105</v>
      </c>
      <c r="D16" s="29" t="s">
        <v>106</v>
      </c>
    </row>
    <row r="17" spans="2:4">
      <c r="B17" s="6" t="s">
        <v>50</v>
      </c>
      <c r="C17" s="29" t="s">
        <v>107</v>
      </c>
      <c r="D17" s="29" t="s">
        <v>108</v>
      </c>
    </row>
    <row r="18" spans="2:4">
      <c r="B18" s="6" t="s">
        <v>51</v>
      </c>
      <c r="C18" s="29" t="s">
        <v>109</v>
      </c>
      <c r="D18" s="29" t="s">
        <v>108</v>
      </c>
    </row>
    <row r="19" spans="2:4">
      <c r="B19" s="6" t="s">
        <v>52</v>
      </c>
      <c r="C19" s="29" t="s">
        <v>110</v>
      </c>
      <c r="D19" s="29" t="s">
        <v>108</v>
      </c>
    </row>
    <row r="20" spans="2:4">
      <c r="B20" s="6" t="s">
        <v>53</v>
      </c>
      <c r="C20" s="29" t="s">
        <v>111</v>
      </c>
      <c r="D20" s="29" t="s">
        <v>103</v>
      </c>
    </row>
    <row r="21" spans="2:4">
      <c r="B21" s="6" t="s">
        <v>5</v>
      </c>
      <c r="C21" s="29" t="s">
        <v>112</v>
      </c>
      <c r="D21" s="29" t="s">
        <v>113</v>
      </c>
    </row>
    <row r="22" spans="2:4">
      <c r="B22" s="6" t="s">
        <v>6</v>
      </c>
      <c r="C22" s="29" t="s">
        <v>114</v>
      </c>
      <c r="D22" s="29" t="s">
        <v>168</v>
      </c>
    </row>
    <row r="23" spans="2:4">
      <c r="B23" s="6" t="s">
        <v>7</v>
      </c>
      <c r="C23" s="29" t="s">
        <v>115</v>
      </c>
      <c r="D23" s="29" t="s">
        <v>103</v>
      </c>
    </row>
    <row r="24" spans="2:4">
      <c r="B24" s="6" t="s">
        <v>8</v>
      </c>
      <c r="C24" s="29" t="s">
        <v>116</v>
      </c>
      <c r="D24" s="29" t="s">
        <v>103</v>
      </c>
    </row>
    <row r="25" spans="2:4">
      <c r="B25" s="6" t="s">
        <v>9</v>
      </c>
      <c r="C25" s="29" t="s">
        <v>117</v>
      </c>
      <c r="D25" s="29" t="s">
        <v>103</v>
      </c>
    </row>
    <row r="26" spans="2:4">
      <c r="B26" s="6" t="s">
        <v>10</v>
      </c>
      <c r="C26" s="29" t="s">
        <v>118</v>
      </c>
      <c r="D26" s="29" t="s">
        <v>103</v>
      </c>
    </row>
    <row r="27" spans="2:4">
      <c r="B27" s="6" t="s">
        <v>54</v>
      </c>
      <c r="C27" s="29" t="s">
        <v>119</v>
      </c>
      <c r="D27" s="29" t="s">
        <v>103</v>
      </c>
    </row>
    <row r="28" spans="2:4">
      <c r="B28" s="6" t="s">
        <v>55</v>
      </c>
      <c r="C28" s="29" t="s">
        <v>120</v>
      </c>
      <c r="D28" s="29" t="s">
        <v>103</v>
      </c>
    </row>
    <row r="29" spans="2:4">
      <c r="B29" s="6" t="s">
        <v>56</v>
      </c>
      <c r="C29" s="29" t="s">
        <v>121</v>
      </c>
      <c r="D29" s="29" t="s">
        <v>103</v>
      </c>
    </row>
    <row r="30" spans="2:4">
      <c r="B30" s="6" t="s">
        <v>57</v>
      </c>
      <c r="C30" s="29" t="s">
        <v>122</v>
      </c>
      <c r="D30" s="29" t="s">
        <v>103</v>
      </c>
    </row>
    <row r="31" spans="2:4">
      <c r="B31" s="6" t="s">
        <v>58</v>
      </c>
      <c r="C31" s="29" t="s">
        <v>123</v>
      </c>
      <c r="D31" s="29" t="s">
        <v>170</v>
      </c>
    </row>
    <row r="32" spans="2:4">
      <c r="B32" s="6" t="s">
        <v>59</v>
      </c>
      <c r="C32" s="29" t="s">
        <v>124</v>
      </c>
      <c r="D32" s="29" t="s">
        <v>103</v>
      </c>
    </row>
    <row r="33" spans="2:4">
      <c r="B33" s="6" t="s">
        <v>60</v>
      </c>
      <c r="C33" s="29" t="s">
        <v>125</v>
      </c>
      <c r="D33" s="29" t="s">
        <v>103</v>
      </c>
    </row>
    <row r="34" spans="2:4">
      <c r="B34" s="6" t="s">
        <v>61</v>
      </c>
      <c r="C34" s="29" t="s">
        <v>126</v>
      </c>
      <c r="D34" s="29" t="s">
        <v>103</v>
      </c>
    </row>
    <row r="35" spans="2:4">
      <c r="B35" s="6" t="s">
        <v>62</v>
      </c>
      <c r="C35" s="29" t="s">
        <v>127</v>
      </c>
      <c r="D35" s="29" t="s">
        <v>103</v>
      </c>
    </row>
    <row r="36" spans="2:4">
      <c r="B36" s="6" t="s">
        <v>63</v>
      </c>
      <c r="C36" s="29" t="s">
        <v>128</v>
      </c>
      <c r="D36" s="29" t="s">
        <v>103</v>
      </c>
    </row>
    <row r="37" spans="2:4" ht="30">
      <c r="B37" s="6" t="s">
        <v>64</v>
      </c>
      <c r="C37" s="29" t="s">
        <v>129</v>
      </c>
      <c r="D37" s="29" t="s">
        <v>103</v>
      </c>
    </row>
    <row r="38" spans="2:4">
      <c r="B38" s="6" t="s">
        <v>65</v>
      </c>
      <c r="C38" s="29" t="s">
        <v>130</v>
      </c>
      <c r="D38" s="29" t="s">
        <v>103</v>
      </c>
    </row>
    <row r="39" spans="2:4">
      <c r="B39" s="6" t="s">
        <v>66</v>
      </c>
      <c r="C39" s="29" t="s">
        <v>131</v>
      </c>
      <c r="D39" s="29" t="s">
        <v>103</v>
      </c>
    </row>
    <row r="40" spans="2:4">
      <c r="B40" s="6" t="s">
        <v>67</v>
      </c>
      <c r="C40" s="29" t="s">
        <v>132</v>
      </c>
      <c r="D40" s="29" t="s">
        <v>103</v>
      </c>
    </row>
    <row r="41" spans="2:4">
      <c r="B41" s="6" t="s">
        <v>68</v>
      </c>
      <c r="C41" s="29" t="s">
        <v>133</v>
      </c>
      <c r="D41" s="29" t="s">
        <v>103</v>
      </c>
    </row>
    <row r="42" spans="2:4" ht="30">
      <c r="B42" s="6" t="s">
        <v>11</v>
      </c>
      <c r="C42" s="29" t="s">
        <v>134</v>
      </c>
      <c r="D42" s="29" t="s">
        <v>135</v>
      </c>
    </row>
    <row r="43" spans="2:4" ht="30">
      <c r="B43" s="6" t="s">
        <v>26</v>
      </c>
      <c r="C43" s="29" t="s">
        <v>136</v>
      </c>
      <c r="D43" s="29" t="s">
        <v>135</v>
      </c>
    </row>
    <row r="44" spans="2:4" ht="30">
      <c r="B44" s="6" t="s">
        <v>27</v>
      </c>
      <c r="C44" s="29" t="s">
        <v>137</v>
      </c>
      <c r="D44" s="29" t="s">
        <v>135</v>
      </c>
    </row>
    <row r="45" spans="2:4" ht="30">
      <c r="B45" s="6" t="s">
        <v>28</v>
      </c>
      <c r="C45" s="29" t="s">
        <v>138</v>
      </c>
      <c r="D45" s="29" t="s">
        <v>135</v>
      </c>
    </row>
    <row r="46" spans="2:4" ht="30">
      <c r="B46" s="6" t="s">
        <v>29</v>
      </c>
      <c r="C46" s="29" t="s">
        <v>139</v>
      </c>
      <c r="D46" s="29" t="s">
        <v>135</v>
      </c>
    </row>
    <row r="47" spans="2:4">
      <c r="B47" s="6" t="s">
        <v>69</v>
      </c>
      <c r="C47" s="29" t="s">
        <v>140</v>
      </c>
      <c r="D47" s="29" t="s">
        <v>141</v>
      </c>
    </row>
    <row r="48" spans="2:4">
      <c r="B48" s="6" t="s">
        <v>70</v>
      </c>
      <c r="C48" s="29" t="s">
        <v>142</v>
      </c>
      <c r="D48" s="29" t="s">
        <v>143</v>
      </c>
    </row>
    <row r="49" spans="2:4">
      <c r="B49" s="6" t="s">
        <v>71</v>
      </c>
      <c r="C49" s="29" t="s">
        <v>144</v>
      </c>
      <c r="D49" s="29" t="s">
        <v>145</v>
      </c>
    </row>
    <row r="50" spans="2:4">
      <c r="B50" s="6" t="s">
        <v>171</v>
      </c>
      <c r="C50" s="29" t="s">
        <v>146</v>
      </c>
      <c r="D50" s="29" t="s">
        <v>147</v>
      </c>
    </row>
    <row r="51" spans="2:4" ht="45">
      <c r="B51" s="6" t="s">
        <v>172</v>
      </c>
      <c r="C51" s="29" t="s">
        <v>148</v>
      </c>
      <c r="D51" s="29" t="s">
        <v>149</v>
      </c>
    </row>
    <row r="52" spans="2:4" ht="30">
      <c r="B52" s="6" t="s">
        <v>173</v>
      </c>
      <c r="C52" s="29" t="s">
        <v>150</v>
      </c>
      <c r="D52" s="29" t="s">
        <v>151</v>
      </c>
    </row>
    <row r="53" spans="2:4" ht="45">
      <c r="B53" s="36" t="s">
        <v>176</v>
      </c>
      <c r="C53" s="37" t="s">
        <v>186</v>
      </c>
      <c r="D53" s="37" t="s">
        <v>184</v>
      </c>
    </row>
    <row r="54" spans="2:4" ht="30">
      <c r="B54" s="36" t="s">
        <v>190</v>
      </c>
      <c r="C54" s="37" t="s">
        <v>187</v>
      </c>
      <c r="D54" s="37" t="s">
        <v>185</v>
      </c>
    </row>
    <row r="55" spans="2:4">
      <c r="B55" s="36" t="s">
        <v>183</v>
      </c>
      <c r="C55" s="37" t="s">
        <v>188</v>
      </c>
      <c r="D55" s="37" t="s">
        <v>159</v>
      </c>
    </row>
    <row r="56" spans="2:4">
      <c r="B56" s="6" t="s">
        <v>72</v>
      </c>
      <c r="C56" s="29" t="s">
        <v>152</v>
      </c>
      <c r="D56" s="29" t="s">
        <v>153</v>
      </c>
    </row>
    <row r="57" spans="2:4">
      <c r="B57" s="6" t="s">
        <v>73</v>
      </c>
      <c r="C57" s="29" t="s">
        <v>154</v>
      </c>
      <c r="D57" s="29" t="s">
        <v>153</v>
      </c>
    </row>
    <row r="58" spans="2:4">
      <c r="B58" s="6" t="s">
        <v>74</v>
      </c>
      <c r="C58" s="29" t="s">
        <v>155</v>
      </c>
      <c r="D58" s="29" t="s">
        <v>153</v>
      </c>
    </row>
    <row r="59" spans="2:4">
      <c r="B59" s="6" t="s">
        <v>75</v>
      </c>
      <c r="C59" s="29" t="s">
        <v>156</v>
      </c>
      <c r="D59" s="29" t="s">
        <v>153</v>
      </c>
    </row>
    <row r="60" spans="2:4" ht="45">
      <c r="B60" s="6" t="s">
        <v>76</v>
      </c>
      <c r="C60" s="29" t="s">
        <v>157</v>
      </c>
      <c r="D60" s="29" t="s">
        <v>153</v>
      </c>
    </row>
    <row r="61" spans="2:4" ht="30">
      <c r="B61" s="6" t="s">
        <v>77</v>
      </c>
      <c r="C61" s="29" t="s">
        <v>158</v>
      </c>
      <c r="D61" s="29" t="s">
        <v>159</v>
      </c>
    </row>
    <row r="62" spans="2:4">
      <c r="B62" s="6" t="s">
        <v>78</v>
      </c>
      <c r="C62" s="29" t="s">
        <v>160</v>
      </c>
      <c r="D62" s="29" t="s">
        <v>161</v>
      </c>
    </row>
    <row r="63" spans="2:4">
      <c r="B63" s="6" t="s">
        <v>87</v>
      </c>
      <c r="C63" s="29" t="s">
        <v>162</v>
      </c>
      <c r="D63" s="29" t="s">
        <v>163</v>
      </c>
    </row>
    <row r="65" spans="2:3">
      <c r="B65" s="25" t="s">
        <v>86</v>
      </c>
      <c r="C65" s="28" t="s">
        <v>85</v>
      </c>
    </row>
    <row r="66" spans="2:3">
      <c r="B66" s="23">
        <v>1</v>
      </c>
      <c r="C66" s="29" t="s">
        <v>164</v>
      </c>
    </row>
    <row r="67" spans="2:3">
      <c r="B67" s="23">
        <v>2</v>
      </c>
      <c r="C67" s="29" t="s">
        <v>165</v>
      </c>
    </row>
    <row r="68" spans="2:3" ht="30">
      <c r="B68" s="23">
        <v>3</v>
      </c>
      <c r="C68" s="29" t="s">
        <v>166</v>
      </c>
    </row>
    <row r="69" spans="2:3" ht="30">
      <c r="B69" s="23">
        <v>4</v>
      </c>
      <c r="C69" s="29" t="s">
        <v>167</v>
      </c>
    </row>
    <row r="70" spans="2:3" ht="60">
      <c r="B70" s="23">
        <v>5</v>
      </c>
      <c r="C70" s="29" t="s">
        <v>169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Summary(Document)</vt:lpstr>
      <vt:lpstr>RawData</vt:lpstr>
      <vt:lpstr>Def</vt:lpstr>
      <vt:lpstr>RawData!ExternalData_4</vt:lpstr>
    </vt:vector>
  </TitlesOfParts>
  <Company>Groupe SEB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dcterms:created xsi:type="dcterms:W3CDTF">2012-03-27T01:10:52Z</dcterms:created>
  <dcterms:modified xsi:type="dcterms:W3CDTF">2014-05-22T03:26:48Z</dcterms:modified>
</cp:coreProperties>
</file>